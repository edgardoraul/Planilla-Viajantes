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<sst xmlns="http://schemas.openxmlformats.org/spreadsheetml/2006/main" count="25813" uniqueCount="15539">
  <si>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</si>
  <si>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</si>
  <si>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</si>
  <si>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</si>
  <si>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</si>
  <si>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</si>
  <si>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</si>
  <si>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</si>
  <si>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</si>
  <si>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</si>
  <si>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</si>
  <si>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</si>
  <si>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</si>
  <si>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</si>
  <si>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</si>
  <si>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</si>
  <si>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</si>
  <si>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</si>
  <si>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</si>
  <si>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</si>
  <si>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</si>
  <si>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</si>
  <si>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</si>
  <si>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</si>
  <si>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</si>
  <si>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</si>
  <si>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</si>
  <si>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</si>
  <si>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</si>
  <si>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</si>
  <si>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</si>
  <si>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</si>
  <si>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</si>
  <si>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</si>
  <si>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</si>
  <si>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</si>
  <si>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</si>
  <si>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</si>
  <si>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</si>
  <si>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</si>
  <si>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</si>
  <si>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</si>
  <si>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</si>
  <si>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</si>
  <si>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</si>
  <si>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</si>
  <si>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</si>
  <si>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</si>
  <si>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</si>
  <si>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</si>
  <si>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</si>
  <si>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</si>
  <si>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</si>
  <si>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</si>
  <si>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</si>
  <si>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</si>
  <si>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</si>
  <si>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</si>
  <si>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</si>
  <si>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</si>
  <si>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</si>
  <si>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</si>
  <si>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</si>
  <si>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</si>
  <si>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</si>
  <si>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</si>
  <si>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</si>
  <si>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</si>
  <si>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</si>
  <si>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</si>
  <si>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</si>
  <si>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</si>
  <si>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</si>
  <si>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</si>
  <si>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</si>
  <si>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</si>
  <si>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</si>
  <si>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</si>
  <si>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</si>
  <si>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</si>
  <si>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</si>
  <si>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</si>
  <si>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</si>
  <si>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</si>
  <si>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</si>
  <si>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</si>
  <si>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</si>
  <si>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</si>
  <si>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</si>
  <si>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</si>
  <si>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</si>
  <si>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</si>
  <si>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</si>
  <si>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</si>
  <si>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</si>
  <si>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</si>
  <si>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</si>
  <si>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</si>
  <si>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</si>
  <si>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</si>
  <si>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</si>
  <si>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</si>
  <si>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</si>
  <si>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</si>
  <si>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</si>
  <si>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</si>
  <si>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</si>
  <si>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</si>
  <si>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</si>
  <si>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</si>
  <si>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</si>
  <si>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</si>
  <si>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</si>
  <si>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</si>
  <si>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</si>
  <si>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</si>
  <si>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</si>
  <si>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</si>
  <si>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</si>
  <si>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</si>
  <si>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</si>
  <si>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</si>
  <si>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</si>
  <si>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</si>
  <si>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</si>
  <si>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</si>
  <si>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</si>
  <si>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</si>
  <si>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</si>
  <si>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</si>
  <si>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</si>
  <si>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</si>
  <si>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</si>
  <si>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</si>
  <si>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</si>
  <si>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</si>
  <si>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</si>
  <si>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</si>
  <si>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</si>
  <si>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</si>
  <si>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</si>
  <si>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</si>
  <si>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</si>
  <si>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</si>
  <si>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</si>
  <si>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</si>
  <si>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</si>
  <si>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</si>
  <si>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</si>
  <si>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</si>
  <si>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</si>
  <si>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</si>
  <si>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</si>
  <si>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</si>
  <si>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</si>
  <si>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</si>
  <si>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</si>
  <si>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</si>
  <si>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</si>
  <si>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</si>
  <si>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</si>
  <si>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</si>
  <si>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</si>
  <si>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</si>
  <si>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</si>
  <si>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</si>
  <si>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</si>
  <si>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</si>
  <si>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</si>
  <si>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</si>
  <si>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</si>
  <si>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</si>
  <si>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</si>
  <si>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</si>
  <si>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</si>
  <si>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</si>
  <si>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</si>
  <si>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</si>
  <si>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</si>
  <si>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</si>
  <si>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</si>
  <si>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</si>
  <si>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</si>
  <si>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</si>
  <si>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</si>
  <si>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</si>
  <si>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</si>
  <si>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</si>
  <si>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</si>
  <si>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</si>
  <si>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</si>
  <si>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</si>
  <si>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</si>
  <si>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</si>
  <si>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</si>
  <si>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</si>
  <si>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</si>
  <si>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</si>
  <si>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</si>
  <si>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</si>
  <si>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</si>
  <si>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</si>
  <si>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</si>
  <si>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</si>
  <si>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</si>
  <si>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</si>
  <si>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</si>
  <si>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</si>
  <si>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</si>
  <si>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</si>
  <si>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</si>
  <si>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</si>
  <si>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</si>
  <si>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</si>
  <si>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</si>
  <si>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</si>
  <si>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</si>
  <si>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</si>
  <si>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</si>
  <si>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</si>
  <si>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</si>
  <si>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</si>
  <si>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</si>
  <si>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</si>
  <si>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</si>
  <si>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</si>
  <si>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</si>
  <si>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</si>
  <si>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</si>
  <si>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</si>
  <si>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</si>
  <si>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</si>
  <si>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</si>
  <si>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</si>
  <si>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</si>
  <si>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</si>
  <si>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</si>
  <si>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</si>
  <si>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</si>
  <si>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</si>
  <si>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</si>
  <si>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</si>
  <si>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</si>
  <si>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</si>
  <si>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</si>
  <si>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</si>
  <si>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</si>
  <si>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</si>
  <si>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</si>
  <si>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</si>
  <si>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</si>
  <si>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</si>
  <si>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</si>
  <si>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</si>
  <si>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</si>
  <si>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</si>
  <si>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</si>
  <si>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</si>
  <si>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</si>
  <si>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</si>
  <si>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</si>
  <si>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</si>
  <si>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</si>
  <si>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</si>
  <si>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</si>
  <si>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</si>
  <si>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</si>
  <si>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</si>
  <si>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</si>
  <si>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</si>
  <si>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</si>
  <si>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</si>
  <si>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</si>
  <si>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</si>
  <si>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</si>
  <si>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</si>
  <si>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</si>
  <si>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</si>
  <si>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</si>
  <si>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</si>
  <si>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</si>
  <si>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</si>
  <si>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</si>
  <si>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</si>
  <si>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</si>
  <si>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</si>
  <si>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</si>
  <si>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</si>
  <si>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</si>
  <si>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</si>
  <si>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</si>
  <si>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</si>
  <si>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</si>
  <si>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</si>
  <si>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</si>
  <si>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</si>
  <si>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</si>
  <si>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</si>
  <si>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</si>
  <si>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</si>
  <si>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</si>
  <si>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</si>
  <si>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</si>
  <si>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</si>
  <si>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</si>
  <si>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</si>
  <si>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</si>
  <si>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</si>
  <si>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</si>
  <si>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</si>
  <si>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</si>
  <si>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</si>
  <si>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</si>
  <si>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</si>
  <si>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</si>
  <si>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</si>
  <si>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</si>
  <si>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</si>
  <si>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</si>
  <si>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</si>
  <si>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</si>
  <si>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</si>
  <si>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</si>
  <si>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</si>
  <si>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</si>
  <si>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</si>
  <si>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</si>
  <si>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</si>
  <si>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</si>
  <si>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</si>
  <si>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</si>
  <si>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</si>
  <si>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</si>
  <si>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</si>
  <si>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</si>
  <si>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</si>
  <si>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</si>
  <si>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</si>
  <si>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</si>
  <si>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</si>
  <si>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</si>
  <si>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</si>
  <si>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</si>
  <si>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</si>
  <si>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</si>
  <si>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</si>
  <si>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</si>
  <si>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</si>
  <si>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</si>
  <si>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</si>
  <si>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</si>
  <si>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</si>
  <si>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</si>
  <si>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</si>
  <si>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</si>
  <si>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</si>
  <si>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</si>
  <si>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</si>
  <si>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</si>
  <si>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</si>
  <si>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</si>
  <si>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</si>
  <si>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</si>
  <si>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</si>
  <si>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</si>
  <si>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</si>
  <si>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</si>
  <si>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</si>
  <si>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</si>
  <si>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</si>
  <si>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</si>
  <si>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</si>
  <si>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</si>
  <si>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</si>
  <si>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</si>
  <si>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</si>
  <si>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</si>
  <si>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</si>
  <si>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</si>
  <si>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</si>
  <si>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</si>
  <si>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</si>
  <si>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</si>
  <si>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</si>
  <si>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</si>
  <si>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</si>
  <si>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</si>
  <si>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</si>
  <si>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</si>
  <si>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</si>
  <si>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</si>
  <si>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</si>
  <si>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</si>
  <si>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</si>
  <si>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</si>
  <si>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</si>
  <si>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</si>
  <si>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</si>
  <si>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</si>
  <si>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</si>
  <si>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</si>
  <si>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</si>
  <si>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</si>
  <si>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</si>
  <si>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</si>
  <si>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</si>
  <si>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</si>
  <si>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</si>
  <si>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</si>
  <si>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</si>
  <si>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</si>
  <si>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</si>
  <si>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</si>
  <si>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</si>
  <si>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</si>
  <si>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</si>
  <si>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</si>
  <si>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</si>
  <si>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</si>
  <si>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</si>
  <si>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</si>
  <si>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</si>
  <si>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</si>
  <si>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</si>
  <si>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</si>
  <si>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</si>
  <si>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</si>
  <si>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</si>
  <si>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</si>
  <si>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</si>
  <si>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</si>
  <si>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</si>
  <si>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</si>
  <si>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</si>
  <si>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</si>
  <si>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</si>
  <si>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</si>
  <si>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</si>
  <si>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</si>
  <si>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</si>
  <si>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</si>
  <si>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</si>
  <si>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</si>
  <si>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</si>
  <si>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</si>
  <si>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</si>
  <si>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</si>
  <si>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</si>
  <si>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</si>
  <si>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</si>
  <si>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</si>
  <si>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</si>
  <si>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</si>
  <si>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</si>
  <si>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</si>
  <si>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</si>
  <si>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</si>
  <si>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</si>
  <si>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</si>
  <si>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</si>
  <si>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</si>
  <si>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</si>
  <si>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</si>
  <si>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</si>
  <si>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</si>
  <si>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</si>
  <si>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</si>
  <si>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</si>
  <si>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</si>
  <si>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</si>
  <si>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</si>
  <si>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</si>
  <si>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</si>
  <si>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</si>
  <si>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</si>
  <si>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</si>
  <si>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</si>
  <si>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</si>
  <si>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</si>
  <si>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</si>
  <si>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</si>
  <si>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</si>
  <si>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</si>
  <si>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</si>
  <si>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</si>
  <si>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</si>
  <si>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</si>
  <si>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</si>
  <si>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</si>
  <si>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</si>
  <si>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</si>
  <si>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</si>
  <si>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</si>
  <si>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</si>
  <si>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</si>
  <si>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</si>
  <si>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</si>
  <si>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</si>
  <si>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</si>
  <si>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</si>
  <si>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</si>
  <si>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</si>
  <si>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</si>
  <si>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</si>
  <si>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</si>
  <si>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</si>
  <si>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</si>
  <si>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</si>
  <si>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</si>
  <si>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</si>
  <si>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</si>
  <si>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</si>
  <si>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</si>
  <si>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</si>
  <si>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</si>
  <si>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</si>
  <si>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</si>
  <si>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</si>
  <si>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</si>
  <si>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</si>
  <si>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</si>
  <si>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</si>
  <si>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</si>
  <si>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</si>
  <si>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</si>
  <si>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</si>
  <si>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</si>
  <si>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</si>
  <si>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</si>
  <si>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</si>
  <si>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</si>
  <si>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</si>
  <si>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</si>
  <si>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</si>
  <si>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</si>
  <si>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</si>
  <si>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</si>
  <si>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</si>
  <si>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</si>
  <si>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</si>
  <si>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</si>
  <si>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</si>
  <si>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</si>
  <si>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</si>
  <si>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</si>
  <si>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</si>
  <si>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</si>
  <si>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</si>
  <si>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</si>
  <si>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</si>
  <si>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</si>
  <si>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</si>
  <si>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</si>
  <si>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</si>
  <si>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</si>
  <si>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</si>
  <si>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</si>
  <si>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</si>
  <si>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</si>
  <si>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</si>
  <si>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</si>
  <si>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</si>
  <si>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</si>
  <si>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</si>
  <si>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</si>
  <si>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</si>
  <si>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</si>
  <si>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</si>
  <si>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</si>
  <si>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</si>
  <si>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</si>
  <si>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</si>
  <si>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</si>
  <si>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</si>
  <si>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</si>
  <si>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</si>
  <si>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</si>
  <si>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</si>
  <si>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</si>
  <si>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</si>
  <si>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</si>
  <si>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</si>
  <si>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</si>
  <si>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</si>
  <si>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</si>
  <si>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</si>
  <si>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</si>
  <si>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</si>
  <si>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</si>
  <si>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</si>
  <si>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</si>
  <si>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</si>
  <si>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</si>
  <si>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</si>
  <si>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</si>
  <si>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</si>
  <si>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</si>
  <si>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</si>
  <si>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</si>
  <si>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</si>
  <si>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</si>
  <si>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</si>
  <si>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</si>
  <si>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</si>
  <si>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</si>
  <si>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</si>
  <si>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</si>
  <si>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</si>
  <si>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</si>
  <si>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</si>
  <si>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</si>
  <si>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</si>
  <si>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</si>
  <si>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</si>
  <si>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</si>
  <si>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</si>
  <si>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</si>
  <si>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</si>
  <si>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</si>
  <si>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</si>
  <si>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</si>
  <si>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</si>
  <si>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</si>
  <si>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</si>
  <si>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</si>
  <si>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</si>
  <si>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</si>
  <si>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</si>
  <si>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</si>
  <si>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</si>
  <si>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</si>
  <si>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</si>
  <si>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</si>
  <si>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</si>
  <si>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</si>
  <si>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</si>
  <si>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</si>
  <si>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</si>
  <si>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</si>
  <si>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</si>
  <si>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</si>
  <si>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</si>
  <si>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</si>
  <si>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</si>
  <si>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</si>
  <si>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</si>
  <si>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</si>
  <si>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</si>
  <si>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</si>
  <si>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</si>
  <si>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</si>
  <si>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</si>
  <si>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</si>
  <si>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</si>
  <si>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</si>
  <si>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</si>
  <si>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</si>
  <si>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</si>
  <si>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</si>
  <si>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</si>
  <si>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</si>
  <si>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</si>
  <si>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</si>
  <si>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</si>
  <si>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</si>
  <si>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</si>
  <si>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</si>
  <si>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</si>
  <si>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</si>
  <si>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</si>
  <si>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</si>
  <si>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</si>
  <si>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</si>
  <si>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</si>
  <si>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</si>
  <si>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</si>
  <si>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</si>
  <si>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</si>
  <si>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</si>
  <si>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</si>
  <si>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</si>
  <si>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</si>
  <si>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</si>
  <si>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</si>
  <si>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</si>
  <si>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</si>
  <si>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</si>
  <si>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</si>
  <si>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</si>
  <si>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</si>
  <si>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</si>
  <si>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</si>
  <si>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</si>
  <si>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</si>
  <si>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</si>
  <si>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</si>
  <si>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</si>
  <si>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</si>
  <si>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</si>
  <si>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</si>
  <si>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</si>
  <si>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</si>
  <si>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</si>
  <si>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</si>
  <si>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</si>
  <si>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</si>
  <si>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</si>
  <si>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</si>
  <si>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</si>
  <si>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</si>
  <si>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</si>
  <si>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</si>
  <si>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</si>
  <si>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</si>
  <si>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</si>
  <si>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</si>
  <si>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</si>
  <si>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</si>
  <si>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</si>
  <si>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</si>
  <si>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</si>
  <si>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</si>
  <si>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</si>
  <si>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</si>
  <si>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</si>
  <si>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</si>
  <si>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</si>
  <si>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</si>
  <si>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</si>
  <si>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</si>
  <si>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</si>
  <si>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</si>
  <si>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</si>
  <si>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</si>
  <si>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</si>
  <si>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</si>
  <si>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</si>
  <si>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</si>
  <si>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</si>
  <si>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</si>
  <si>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</si>
  <si>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</si>
  <si>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</si>
  <si>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</si>
  <si>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</si>
  <si>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</si>
  <si>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</si>
  <si>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</si>
  <si>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</si>
  <si>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</si>
  <si>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</si>
  <si>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</si>
  <si>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</si>
  <si>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</si>
  <si>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</si>
  <si>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</si>
  <si>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</si>
  <si>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</si>
  <si>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</si>
  <si>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</si>
  <si>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</si>
  <si>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</si>
  <si>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</si>
  <si>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</si>
  <si>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</si>
  <si>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</si>
  <si>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</si>
  <si>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</si>
  <si>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</si>
  <si>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</si>
  <si>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</si>
  <si>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</si>
  <si>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</si>
  <si>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</si>
  <si>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</si>
  <si>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</si>
  <si>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</si>
  <si>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</si>
  <si>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</si>
  <si>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</si>
  <si>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</si>
  <si>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</si>
  <si>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</si>
  <si>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</si>
  <si>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</si>
  <si>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</si>
  <si>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</si>
  <si>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</si>
  <si>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</si>
  <si>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</si>
  <si>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</si>
  <si>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</si>
  <si>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</si>
  <si>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</si>
  <si>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</si>
  <si>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</si>
  <si>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</si>
  <si>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</si>
  <si>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</si>
  <si>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</si>
  <si>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</si>
  <si>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</si>
  <si>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</si>
  <si>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</si>
  <si>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</si>
  <si>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</si>
  <si>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</si>
  <si>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</si>
  <si>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</si>
  <si>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</si>
  <si>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</si>
  <si>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</si>
  <si>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</si>
  <si>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</si>
  <si>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</si>
  <si>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</si>
  <si>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</si>
  <si>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</si>
  <si>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</si>
  <si>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</si>
  <si>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</si>
  <si>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</si>
  <si>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</si>
  <si>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</si>
  <si>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</si>
  <si>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</si>
  <si>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</si>
  <si>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</si>
  <si>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</si>
  <si>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</si>
  <si>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</si>
  <si>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</si>
  <si>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</si>
  <si>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</si>
  <si>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</si>
  <si>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</si>
  <si>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</si>
  <si>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</si>
  <si>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</si>
  <si>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</si>
  <si>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</si>
  <si>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</si>
  <si>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</si>
  <si>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</si>
  <si>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</si>
  <si>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</si>
  <si>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</si>
  <si>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</si>
  <si>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</si>
  <si>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</si>
  <si>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</si>
  <si>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</si>
  <si>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</si>
  <si>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</si>
  <si>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</si>
  <si>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</si>
  <si>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</si>
  <si>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</si>
  <si>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</si>
  <si>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</si>
  <si>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</si>
  <si>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</si>
  <si>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</si>
  <si>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</si>
  <si>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</si>
  <si>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</si>
  <si>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</si>
  <si>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</si>
  <si>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</si>
  <si>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</si>
  <si>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</si>
  <si>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</si>
  <si>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</si>
  <si>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</si>
  <si>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</si>
  <si>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</si>
  <si>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</si>
  <si>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</si>
  <si>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</si>
  <si>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</si>
  <si>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</si>
  <si>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</si>
  <si>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</si>
  <si>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</si>
  <si>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</si>
  <si>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</si>
  <si>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</si>
  <si>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</si>
  <si>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</si>
  <si>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</si>
  <si>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</si>
  <si>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</si>
  <si>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</si>
  <si>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</si>
  <si>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</si>
  <si>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</si>
  <si>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</si>
  <si>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</si>
  <si>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</si>
  <si>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</si>
  <si>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</si>
  <si>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</si>
  <si>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</si>
  <si>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</si>
  <si>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</si>
  <si>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</si>
  <si>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</si>
  <si>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</si>
  <si>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</si>
  <si>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</si>
  <si>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</si>
  <si>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</si>
  <si>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</si>
  <si>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</si>
  <si>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</si>
  <si>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</si>
  <si>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</si>
  <si>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</si>
  <si>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</si>
  <si>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</si>
  <si>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</si>
  <si>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</si>
  <si>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</si>
  <si>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</si>
  <si>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</si>
  <si>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</si>
  <si>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</si>
  <si>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</si>
  <si>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</si>
  <si>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</si>
  <si>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</si>
  <si>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</si>
  <si>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</si>
  <si>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</si>
  <si>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</si>
  <si>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</si>
  <si>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</si>
  <si>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</si>
  <si>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</si>
  <si>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</si>
  <si>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</si>
  <si>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</si>
  <si>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</si>
  <si>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</si>
  <si>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</si>
  <si>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</si>
  <si>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</si>
  <si>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</si>
  <si>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</si>
  <si>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</si>
  <si>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</si>
  <si>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</si>
  <si>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</si>
  <si>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</si>
  <si>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</si>
  <si>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</si>
  <si>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</si>
  <si>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</si>
  <si>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</si>
  <si>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</si>
  <si>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</si>
  <si>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</si>
  <si>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</si>
  <si>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</si>
  <si>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</si>
  <si>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</si>
  <si>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</si>
  <si>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</si>
  <si>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</si>
  <si>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</si>
  <si>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</si>
  <si>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</si>
  <si>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</si>
  <si>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</si>
  <si>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</si>
  <si>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</si>
  <si>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</si>
  <si>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</si>
  <si>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</si>
  <si>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</si>
  <si>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</si>
  <si>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</si>
  <si>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</si>
  <si>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</si>
  <si>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</si>
  <si>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</si>
  <si>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</si>
  <si>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</si>
  <si>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</si>
  <si>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</si>
  <si>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</si>
  <si>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</si>
  <si>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</si>
  <si>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</si>
  <si>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</si>
  <si>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</si>
  <si>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</si>
  <si>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</si>
  <si>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</si>
  <si>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</si>
  <si>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</si>
  <si>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</si>
  <si>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</si>
  <si>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</si>
  <si>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</si>
  <si>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</si>
  <si>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</si>
  <si>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</si>
  <si>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</si>
  <si>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</si>
  <si>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</si>
  <si>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</si>
  <si>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</si>
  <si>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</si>
  <si>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</si>
  <si>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</si>
  <si>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</si>
  <si>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</si>
  <si>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</si>
  <si>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</si>
  <si>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</si>
  <si>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</si>
  <si>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</si>
  <si>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</si>
  <si>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</si>
  <si>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</si>
  <si>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</si>
  <si>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</si>
  <si>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</si>
  <si>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</si>
  <si>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</si>
  <si>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</si>
  <si>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</si>
  <si>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</si>
  <si>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</si>
  <si>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</si>
  <si>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</si>
  <si>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</si>
  <si>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</si>
  <si>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</si>
  <si>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</si>
  <si>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</si>
  <si>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</si>
  <si>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</si>
  <si>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</si>
  <si>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</si>
  <si>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</si>
  <si>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</si>
  <si>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</si>
  <si>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</si>
  <si>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</si>
  <si>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</si>
  <si>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</si>
  <si>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</si>
  <si>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</si>
  <si>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</si>
  <si>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</si>
  <si>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</si>
  <si>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</si>
  <si>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</si>
  <si>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</si>
  <si>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</si>
  <si>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</si>
  <si>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</si>
  <si>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</si>
  <si>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</si>
  <si>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</si>
  <si>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</si>
  <si>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</si>
  <si>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</si>
  <si>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</si>
  <si>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</si>
  <si>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</si>
  <si>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</si>
  <si>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</si>
  <si>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</si>
  <si>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</si>
  <si>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</si>
  <si>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</si>
  <si>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</si>
  <si>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</si>
  <si>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</si>
  <si>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</si>
  <si>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</si>
  <si>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</si>
  <si>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</si>
  <si>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</si>
  <si>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</si>
  <si>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</si>
  <si>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</si>
  <si>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</si>
  <si>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</si>
  <si>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</si>
  <si>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</si>
  <si>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</si>
  <si>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</si>
  <si>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</si>
  <si>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</si>
  <si>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</si>
  <si>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</si>
  <si>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</si>
  <si>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</si>
  <si>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</si>
  <si>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</si>
  <si>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</si>
  <si>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</si>
  <si>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</si>
  <si>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</si>
  <si>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</si>
  <si>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</si>
  <si>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</si>
  <si>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</si>
  <si>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</si>
  <si>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</si>
  <si>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</si>
  <si>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</si>
  <si>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</si>
  <si>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</si>
  <si>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</si>
  <si>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</si>
  <si>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</si>
  <si>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</si>
  <si>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</si>
  <si>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</si>
  <si>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</si>
  <si>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</si>
  <si>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</si>
  <si>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</si>
  <si>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</si>
  <si>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</si>
  <si>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</si>
  <si>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</si>
  <si>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</si>
  <si>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</si>
  <si>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</si>
  <si>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</si>
  <si>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</si>
  <si>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</si>
  <si>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</si>
  <si>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</si>
  <si>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</si>
  <si>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</si>
  <si>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</si>
  <si>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</si>
  <si>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</si>
  <si>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</si>
  <si>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</si>
  <si>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</si>
  <si>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</si>
  <si>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</si>
  <si>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</si>
  <si>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</si>
  <si>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</si>
  <si>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</si>
  <si>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</si>
  <si>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</si>
  <si>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</si>
  <si>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</si>
  <si>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</si>
  <si>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</si>
  <si>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</si>
  <si>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</si>
  <si>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</si>
  <si>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</si>
  <si>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</si>
  <si>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</si>
  <si>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</si>
  <si>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</si>
  <si>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</si>
  <si>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</si>
  <si>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</si>
  <si>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</si>
  <si>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</si>
  <si>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</si>
  <si>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</si>
  <si>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</si>
  <si>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</si>
  <si>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</si>
  <si>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</si>
  <si>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</si>
  <si>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</si>
  <si>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</si>
  <si>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</si>
  <si>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</si>
  <si>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</si>
  <si>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</si>
  <si>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</si>
  <si>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</si>
  <si>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</si>
  <si>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</si>
  <si>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</si>
  <si>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</si>
  <si>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</si>
  <si>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</si>
  <si>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</si>
  <si>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</si>
  <si>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</si>
  <si>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</si>
  <si>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</si>
  <si>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</si>
  <si>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</si>
  <si>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</si>
  <si>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</si>
  <si>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</si>
  <si>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</si>
  <si>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</si>
  <si>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</si>
  <si>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</si>
  <si>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</si>
  <si>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</si>
  <si>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</si>
  <si>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</si>
  <si>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</si>
  <si>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</si>
  <si>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</si>
  <si>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</si>
  <si>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</si>
  <si>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</si>
  <si>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</si>
  <si>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</si>
  <si>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</si>
  <si>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</si>
  <si>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</si>
  <si>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</si>
  <si>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</si>
  <si>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</si>
  <si>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</si>
  <si>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</si>
  <si>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</si>
  <si>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</si>
  <si>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</si>
  <si>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</si>
  <si>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</si>
  <si>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</si>
  <si>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</si>
  <si>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</si>
  <si>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</si>
  <si>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</si>
  <si>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</si>
  <si>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</si>
  <si>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</si>
  <si>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</si>
  <si>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</si>
  <si>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</si>
  <si>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</si>
  <si>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</si>
  <si>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</si>
  <si>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</si>
  <si>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</si>
  <si>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</si>
  <si>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</si>
  <si>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</si>
  <si>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</si>
  <si>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</si>
  <si>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</si>
  <si>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</si>
  <si>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</si>
  <si>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</si>
  <si>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</si>
  <si>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</si>
  <si>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</si>
  <si>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</si>
  <si>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</si>
  <si>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</si>
  <si>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</si>
  <si>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</si>
  <si>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</si>
  <si>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</si>
  <si>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</si>
  <si>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</si>
  <si>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</si>
  <si>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</si>
  <si>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</si>
  <si>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</si>
  <si>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</si>
  <si>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</si>
  <si>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</si>
  <si>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</si>
  <si>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</si>
  <si>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</si>
  <si>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</si>
  <si>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</si>
  <si>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</si>
  <si>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</si>
  <si>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</si>
  <si>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</si>
  <si>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</si>
  <si>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</si>
  <si>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</si>
  <si>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</si>
  <si>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</si>
  <si>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</si>
  <si>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</si>
  <si>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</si>
  <si>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</si>
  <si>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</si>
  <si>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</si>
  <si>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</si>
  <si>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</si>
  <si>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</si>
  <si>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</si>
  <si>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</si>
  <si>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</si>
  <si>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</si>
  <si>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</si>
  <si>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</si>
  <si>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</si>
  <si>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</si>
  <si>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</si>
  <si>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</si>
  <si>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</si>
  <si>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</si>
  <si>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</si>
  <si>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</si>
  <si>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</si>
  <si>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</si>
  <si>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</si>
  <si>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</si>
  <si>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</si>
  <si>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</si>
  <si>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</si>
  <si>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</si>
  <si>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</si>
  <si>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</si>
  <si>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</si>
  <si>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</si>
  <si>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</si>
  <si>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</si>
  <si>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</si>
  <si>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</si>
  <si>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</si>
  <si>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</si>
  <si>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</si>
  <si>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</si>
  <si>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</si>
  <si>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</si>
  <si>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</si>
  <si>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</si>
  <si>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</si>
  <si>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</si>
  <si>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</si>
  <si>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</si>
  <si>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</si>
  <si>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</si>
  <si>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</si>
  <si>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</si>
  <si>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</si>
  <si>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</si>
  <si>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</si>
  <si>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</si>
  <si>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</si>
  <si>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</si>
  <si>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</si>
  <si>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</si>
  <si>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</si>
  <si>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</si>
  <si>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</si>
  <si>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</si>
  <si>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</si>
  <si>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</si>
  <si>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</si>
  <si>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</si>
  <si>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</si>
  <si>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</si>
  <si>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</si>
  <si>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</si>
  <si>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</si>
  <si>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</si>
  <si>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</si>
  <si>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</si>
  <si>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</si>
  <si>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</si>
  <si>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</si>
  <si>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</si>
  <si>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</si>
  <si>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</si>
  <si>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</si>
  <si>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</si>
  <si>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</si>
  <si>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</si>
  <si>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</si>
  <si>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</si>
  <si>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</si>
  <si>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</si>
  <si>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</si>
  <si>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</si>
  <si>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</si>
  <si>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</si>
  <si>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</si>
  <si>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</si>
  <si>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</si>
  <si>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</si>
  <si>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</si>
  <si>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</si>
  <si>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</si>
  <si>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</si>
  <si>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</si>
  <si>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</si>
  <si>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</si>
  <si>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</si>
  <si>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</si>
  <si>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</si>
  <si>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</si>
  <si>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</si>
  <si>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</si>
  <si>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</si>
  <si>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</si>
  <si>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</si>
  <si>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</si>
  <si>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</si>
  <si>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</si>
  <si>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</si>
  <si>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</si>
  <si>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</si>
  <si>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</si>
  <si>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</si>
  <si>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</si>
  <si>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</si>
  <si>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</si>
  <si>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</si>
  <si>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</si>
  <si>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</si>
  <si>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</si>
  <si>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</si>
  <si>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</si>
  <si>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</si>
  <si>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</si>
  <si>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</si>
  <si>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</si>
  <si>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</si>
  <si>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</si>
  <si>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</si>
  <si>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</si>
  <si>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</si>
  <si>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</si>
  <si>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</si>
  <si>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</si>
  <si>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</si>
  <si>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</si>
  <si>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</si>
  <si>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</si>
  <si>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</si>
  <si>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</si>
  <si>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</si>
  <si>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</si>
  <si>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</si>
  <si>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</si>
  <si>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</si>
  <si>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</si>
  <si>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</si>
  <si>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</si>
  <si>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</si>
  <si>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</si>
  <si>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</si>
  <si>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</si>
  <si>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</si>
  <si>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</si>
  <si>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</si>
  <si>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</si>
  <si>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</si>
  <si>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</si>
  <si>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</si>
  <si>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</si>
  <si>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</si>
  <si>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</si>
  <si>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</si>
  <si>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</si>
  <si>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</si>
  <si>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</si>
  <si>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</si>
  <si>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</si>
  <si>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</si>
  <si>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</si>
  <si>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</si>
  <si>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</si>
  <si>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</si>
  <si>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</si>
  <si>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</si>
  <si>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</si>
  <si>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</si>
  <si>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</si>
  <si>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</si>
  <si>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</si>
  <si>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</si>
  <si>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</si>
  <si>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</si>
  <si>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</si>
  <si>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</si>
  <si>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</si>
  <si>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</si>
  <si>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</si>
  <si>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</si>
  <si>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</si>
  <si>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</si>
  <si>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</si>
  <si>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</si>
  <si>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</si>
  <si>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</si>
  <si>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</si>
  <si>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</si>
  <si>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</si>
  <si>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</si>
  <si>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</si>
  <si>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</si>
  <si>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</si>
  <si>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</si>
  <si>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</si>
  <si>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</si>
  <si>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</si>
  <si>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</si>
  <si>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</si>
  <si>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</si>
  <si>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</si>
  <si>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</si>
  <si>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</si>
  <si>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</si>
  <si>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</si>
  <si>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</si>
  <si>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</si>
  <si>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</si>
  <si>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</si>
  <si>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</si>
  <si>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</si>
  <si>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</si>
  <si>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</si>
  <si>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</si>
  <si>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</si>
  <si>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</si>
  <si>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</si>
  <si>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</si>
  <si>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</si>
  <si>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</si>
  <si>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</si>
  <si>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</si>
  <si>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</si>
  <si>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</si>
  <si>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</si>
  <si>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</si>
  <si>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</si>
  <si>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</si>
  <si>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</si>
  <si>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</si>
  <si>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</si>
  <si>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</si>
  <si>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</si>
  <si>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</si>
  <si>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</si>
  <si>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</si>
  <si>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</si>
  <si>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</si>
  <si>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</si>
  <si>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</si>
  <si>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</si>
  <si>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</si>
  <si>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</si>
  <si>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</si>
  <si>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</si>
  <si>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</si>
  <si>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</si>
  <si>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</si>
  <si>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</si>
  <si>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</si>
  <si>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</si>
  <si>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</si>
  <si>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</si>
  <si>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</si>
  <si>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</si>
  <si>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</si>
  <si>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</si>
  <si>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</si>
  <si>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</si>
  <si>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</si>
  <si>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</si>
  <si>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</si>
  <si>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</si>
  <si>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</si>
  <si>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</si>
  <si>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</si>
  <si>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</si>
  <si>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</si>
  <si>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</si>
  <si>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</si>
  <si>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</si>
  <si>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</si>
  <si>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</si>
  <si>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</si>
  <si>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</si>
  <si>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</si>
  <si>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</si>
  <si>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</si>
  <si>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</si>
  <si>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</si>
  <si>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</si>
  <si>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</si>
  <si>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</si>
  <si>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</si>
  <si>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</si>
  <si>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</si>
  <si>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</si>
  <si>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</si>
  <si>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</si>
  <si>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</si>
  <si>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</si>
  <si>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</si>
  <si>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</si>
  <si>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</si>
  <si>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</si>
  <si>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</si>
  <si>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</si>
  <si>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</si>
  <si>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</si>
  <si>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</si>
  <si>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</si>
  <si>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</si>
  <si>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</si>
  <si>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</si>
  <si>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</si>
  <si>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</si>
  <si>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</si>
  <si>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</si>
  <si>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</si>
  <si>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</si>
  <si>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</si>
  <si>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</si>
  <si>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</si>
  <si>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</si>
  <si>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</si>
  <si>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</si>
  <si>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</si>
  <si>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</si>
  <si>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</si>
  <si>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</si>
  <si>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</si>
  <si>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</si>
  <si>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</si>
  <si>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</si>
  <si>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</si>
  <si>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</si>
  <si>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</si>
  <si>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</si>
  <si>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</si>
  <si>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</si>
  <si>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</si>
  <si>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</si>
  <si>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</si>
  <si>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</si>
  <si>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</si>
  <si>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</si>
  <si>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</si>
  <si>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</si>
  <si>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</si>
  <si>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</si>
  <si>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</si>
  <si>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</si>
  <si>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</si>
  <si>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</si>
  <si>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</si>
  <si>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</si>
  <si>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</si>
  <si>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</si>
  <si>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</si>
  <si>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</si>
  <si>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</si>
  <si>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</si>
  <si>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</si>
  <si>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</si>
  <si>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</si>
  <si>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</si>
  <si>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</si>
  <si>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</si>
  <si>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</si>
  <si>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</si>
  <si>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</si>
  <si>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</si>
  <si>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</si>
  <si>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</si>
  <si>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</si>
  <si>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</si>
  <si>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</si>
  <si>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</si>
  <si>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</si>
  <si>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</si>
  <si>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</si>
  <si>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</si>
  <si>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</si>
  <si>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</si>
  <si>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</si>
  <si>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</si>
  <si>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</si>
  <si>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</si>
  <si>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</si>
  <si>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</si>
  <si>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</si>
  <si>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</si>
  <si>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</si>
  <si>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</si>
  <si>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</si>
  <si>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</si>
  <si>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</si>
  <si>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</si>
  <si>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</si>
  <si>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</si>
  <si>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</si>
  <si>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</si>
  <si>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</si>
  <si>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</si>
  <si>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</si>
  <si>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</si>
  <si>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</si>
  <si>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</si>
  <si>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</si>
  <si>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</si>
  <si>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</si>
  <si>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</si>
  <si>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</si>
  <si>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</si>
  <si>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</si>
  <si>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</si>
  <si>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</si>
  <si>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</si>
  <si>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</si>
  <si>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</si>
  <si>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</si>
  <si>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</si>
  <si>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</si>
  <si>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</si>
  <si>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</si>
  <si>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</si>
  <si>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</si>
  <si>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</si>
  <si>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</si>
  <si>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</si>
  <si>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</si>
  <si>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</si>
  <si>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</si>
  <si>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</si>
  <si>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</si>
  <si>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</si>
  <si>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</si>
  <si>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</si>
  <si>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</si>
  <si>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</si>
  <si>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</si>
  <si>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</si>
  <si>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</si>
  <si>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</si>
  <si>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</si>
  <si>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</si>
  <si>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</si>
  <si>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</si>
  <si>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</si>
  <si>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</si>
  <si>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</si>
  <si>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</si>
  <si>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</si>
  <si>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</si>
  <si>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</si>
  <si>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</si>
  <si>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</si>
  <si>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</si>
  <si>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</si>
  <si>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</si>
  <si>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</si>
  <si>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</si>
  <si>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</si>
  <si>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</si>
  <si>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</si>
  <si>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</si>
  <si>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</si>
  <si>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</si>
  <si>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</si>
  <si>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</si>
  <si>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</si>
  <si>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</si>
  <si>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</si>
  <si>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</si>
  <si>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</si>
  <si>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</si>
  <si>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</si>
  <si>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</si>
  <si>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</si>
  <si>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</si>
  <si>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</si>
  <si>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</si>
  <si>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</si>
  <si>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</si>
  <si>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</si>
  <si>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</si>
  <si>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</si>
  <si>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</si>
  <si>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</si>
  <si>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</si>
  <si>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</si>
  <si>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</si>
  <si>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</si>
  <si>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</si>
  <si>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</si>
  <si>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</si>
  <si>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</si>
  <si>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</si>
  <si>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</si>
  <si>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</si>
  <si>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</si>
  <si>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</si>
  <si>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</si>
  <si>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</si>
  <si>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</si>
  <si>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</si>
  <si>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</si>
  <si>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</si>
  <si>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</si>
  <si>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</si>
  <si>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</si>
  <si>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</si>
  <si>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</si>
  <si>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</si>
  <si>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</si>
  <si>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</si>
  <si>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</si>
  <si>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</si>
  <si>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</si>
  <si>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</si>
  <si>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</si>
  <si>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</si>
  <si>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</si>
  <si>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</si>
  <si>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</si>
  <si>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</si>
  <si>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</si>
  <si>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</si>
  <si>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</si>
  <si>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</si>
  <si>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</si>
  <si>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</si>
  <si>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</si>
  <si>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</si>
  <si>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</si>
  <si>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</si>
  <si>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</si>
  <si>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</si>
  <si>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</si>
  <si>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</si>
  <si>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</si>
  <si>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</si>
  <si>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</si>
  <si>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</si>
  <si>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</si>
  <si>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</si>
  <si>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</si>
  <si>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</si>
  <si>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</si>
  <si>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</si>
  <si>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</si>
  <si>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</si>
  <si>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</si>
  <si>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</si>
  <si>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</si>
  <si>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</si>
  <si>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</si>
  <si>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</si>
  <si>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</si>
  <si>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</si>
  <si>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</si>
  <si>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</si>
  <si>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</si>
  <si>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</si>
  <si>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</si>
  <si>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</si>
  <si>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</si>
  <si>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</si>
  <si>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</si>
  <si>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</si>
  <si>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</si>
  <si>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</si>
  <si>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</si>
  <si>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</si>
  <si>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</si>
  <si>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</si>
  <si>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</si>
  <si>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</si>
  <si>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</si>
  <si>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</si>
  <si>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</si>
  <si>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</si>
  <si>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</si>
  <si>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</si>
  <si>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</si>
  <si>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</si>
  <si>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</si>
  <si>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</si>
  <si>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</si>
  <si>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</si>
  <si>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</si>
  <si>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</si>
  <si>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</si>
  <si>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</si>
  <si>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</si>
  <si>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</si>
  <si>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</si>
  <si>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</si>
  <si>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</si>
  <si>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</si>
  <si>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</si>
  <si>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</si>
  <si>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</si>
  <si>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</si>
  <si>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</si>
  <si>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</si>
  <si>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</si>
  <si>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</si>
  <si>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</si>
  <si>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</si>
  <si>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</si>
  <si>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</si>
  <si>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</si>
  <si>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</si>
  <si>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</si>
  <si>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</si>
  <si>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</si>
  <si>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</si>
  <si>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</si>
  <si>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</si>
  <si>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</si>
  <si>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</si>
  <si>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</si>
  <si>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</si>
  <si>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</si>
  <si>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</si>
  <si>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</si>
  <si>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</si>
  <si>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</si>
  <si>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</si>
  <si>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</si>
  <si>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</si>
  <si>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</si>
  <si>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</si>
  <si>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</si>
  <si>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</si>
  <si>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</si>
  <si>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</si>
  <si>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</si>
  <si>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</si>
  <si>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</si>
  <si>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</si>
  <si>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</si>
  <si>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</si>
  <si>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</si>
  <si>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</si>
  <si>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</si>
  <si>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</si>
  <si>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</si>
  <si>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</si>
  <si>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</si>
  <si>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</si>
  <si>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</si>
  <si>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</si>
  <si>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</si>
  <si>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</si>
  <si>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</si>
  <si>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</si>
  <si>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</si>
  <si>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</si>
  <si>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</si>
  <si>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</si>
  <si>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</si>
  <si>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</si>
  <si>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</si>
  <si>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</si>
  <si>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</si>
  <si>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</si>
  <si>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</si>
  <si>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</si>
  <si>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</si>
  <si>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</si>
  <si>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</si>
  <si>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</si>
  <si>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</si>
  <si>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</si>
  <si>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</si>
  <si>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</si>
  <si>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</si>
  <si>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</si>
  <si>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</si>
  <si>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</si>
  <si>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</si>
  <si>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</si>
  <si>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</si>
  <si>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</si>
  <si>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</si>
  <si>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</si>
  <si>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</si>
  <si>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</si>
  <si>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</si>
  <si>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</si>
  <si>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</si>
  <si>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</si>
  <si>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</si>
  <si>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</si>
  <si>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</si>
  <si>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</si>
  <si>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</si>
  <si>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</si>
  <si>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</si>
  <si>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</si>
  <si>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</si>
  <si>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</si>
  <si>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</si>
  <si>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</si>
  <si>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</si>
  <si>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</si>
  <si>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</si>
  <si>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</si>
  <si>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</si>
  <si>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</si>
  <si>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</si>
  <si>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</si>
  <si>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</si>
  <si>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</si>
  <si>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</si>
  <si>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</si>
  <si>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</si>
  <si>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</si>
  <si>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</si>
  <si>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</si>
  <si>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</si>
  <si>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</si>
  <si>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</si>
  <si>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</si>
  <si>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</si>
  <si>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</si>
  <si>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</si>
  <si>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</si>
  <si>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</si>
  <si>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</si>
  <si>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</si>
  <si>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</si>
  <si>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</si>
  <si>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</si>
  <si>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</si>
  <si>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</si>
  <si>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</si>
  <si>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</si>
  <si>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</si>
  <si>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</si>
  <si>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</si>
  <si>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</si>
  <si>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</si>
  <si>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</si>
  <si>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</si>
  <si>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</si>
  <si>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</si>
  <si>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</si>
  <si>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</si>
  <si>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</si>
  <si>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</si>
  <si>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</si>
  <si>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</si>
  <si>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</si>
  <si>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</si>
  <si>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</si>
  <si>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</si>
  <si>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</si>
  <si>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</si>
  <si>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</si>
  <si>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</si>
  <si>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</si>
  <si>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</si>
  <si>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</si>
  <si>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</si>
  <si>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</si>
  <si>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</si>
  <si>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</si>
  <si>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</si>
  <si>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</si>
  <si>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</si>
  <si>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</si>
  <si>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</si>
  <si>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</si>
  <si>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</si>
  <si>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</si>
  <si>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</si>
  <si>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</si>
  <si>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</si>
  <si>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</si>
  <si>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</si>
  <si>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</si>
  <si>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</si>
  <si>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</si>
  <si>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</si>
  <si>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</si>
  <si>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</si>
  <si>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</si>
  <si>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</si>
  <si>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</si>
  <si>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</si>
  <si>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</si>
  <si>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</si>
  <si>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</si>
  <si>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</si>
  <si>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</si>
  <si>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</si>
  <si>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</si>
  <si>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</si>
  <si>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</si>
  <si>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</si>
  <si>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</si>
  <si>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</si>
  <si>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</si>
  <si>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</si>
  <si>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</si>
  <si>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</si>
  <si>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</si>
  <si>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</si>
  <si>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</si>
  <si>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</si>
  <si>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</si>
  <si>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</si>
  <si>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</si>
  <si>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</si>
  <si>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</si>
  <si>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</si>
  <si>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</si>
  <si>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</si>
  <si>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</si>
  <si>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</si>
  <si>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</si>
  <si>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</si>
  <si>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</si>
  <si>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</si>
  <si>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</si>
  <si>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</si>
  <si>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</si>
  <si>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</si>
  <si>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</si>
  <si>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</si>
  <si>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</si>
  <si>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</si>
  <si>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</si>
  <si>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</si>
  <si>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</si>
  <si>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</si>
  <si>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</si>
  <si>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</si>
  <si>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</si>
  <si>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</si>
  <si>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</si>
  <si>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</si>
  <si>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</si>
  <si>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</si>
  <si>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</si>
  <si>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</si>
  <si>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</si>
  <si>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</si>
  <si>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</si>
  <si>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</si>
  <si>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</si>
  <si>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</si>
  <si>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</si>
  <si>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</si>
  <si>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</si>
  <si>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</si>
  <si>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</si>
  <si>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</si>
  <si>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</si>
  <si>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</si>
  <si>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</si>
  <si>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</si>
  <si>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</si>
  <si>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</si>
  <si>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</si>
  <si>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</si>
  <si>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</si>
  <si>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</si>
  <si>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</si>
  <si>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</si>
  <si>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</si>
  <si>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</si>
  <si>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</si>
  <si>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</si>
  <si>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</si>
  <si>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</si>
  <si>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</si>
  <si>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</si>
  <si>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</si>
  <si>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</si>
  <si>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</si>
  <si>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</si>
  <si>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</si>
  <si>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</si>
  <si>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</si>
  <si>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</si>
  <si>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</si>
  <si>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</si>
  <si>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</si>
  <si>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</si>
  <si>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</si>
  <si>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</si>
  <si>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</si>
  <si>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</si>
  <si>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</si>
  <si>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</si>
  <si>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</si>
  <si>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</si>
  <si>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</si>
  <si>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</si>
  <si>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</si>
  <si>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</si>
  <si>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</si>
  <si>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</si>
  <si>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</si>
  <si>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</si>
  <si>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</si>
  <si>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</si>
  <si>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</si>
  <si>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</si>
  <si>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</si>
  <si>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</si>
  <si>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</si>
  <si>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</si>
  <si>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</si>
  <si>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</si>
  <si>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</si>
  <si>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</si>
  <si>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</si>
  <si>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</si>
  <si>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</si>
  <si>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</si>
  <si>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</si>
  <si>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</si>
  <si>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</si>
  <si>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</si>
  <si>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</si>
  <si>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</si>
  <si>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</si>
  <si>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</si>
  <si>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</si>
  <si>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</si>
  <si>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</si>
  <si>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</si>
  <si>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</si>
  <si>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</si>
  <si>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</si>
  <si>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</si>
  <si>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</si>
  <si>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</si>
  <si>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</si>
  <si>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</si>
  <si>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</si>
  <si>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</si>
  <si>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</si>
  <si>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</si>
  <si>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</si>
  <si>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</si>
  <si>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</si>
  <si>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</si>
  <si>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</si>
  <si>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</si>
  <si>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</si>
  <si>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</si>
  <si>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</si>
  <si>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</si>
  <si>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</si>
  <si>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</si>
  <si>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</si>
  <si>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</si>
  <si>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</si>
  <si>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</si>
  <si>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</si>
  <si>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</si>
  <si>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</si>
  <si>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</si>
  <si>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</si>
  <si>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</si>
  <si>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</si>
  <si>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</si>
  <si>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</si>
  <si>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</si>
  <si>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</si>
  <si>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</si>
  <si>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</si>
  <si>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</si>
  <si>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</si>
  <si>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</si>
  <si>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</si>
  <si>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</si>
  <si>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</si>
  <si>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</si>
  <si>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</si>
  <si>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</si>
  <si>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</si>
  <si>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</si>
  <si>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</si>
  <si>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</si>
  <si>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</si>
  <si>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</si>
  <si>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</si>
  <si>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</si>
  <si>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</si>
  <si>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</si>
  <si>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</si>
  <si>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</si>
  <si>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</si>
  <si>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</si>
  <si>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</si>
  <si>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</si>
  <si>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</si>
  <si>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</si>
  <si>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</si>
  <si>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</si>
  <si>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</si>
  <si>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</si>
  <si>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</si>
  <si>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</si>
  <si>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</si>
  <si>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</si>
  <si>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</si>
  <si>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</si>
  <si>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</si>
  <si>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</si>
  <si>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</si>
  <si>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</si>
  <si>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</si>
  <si>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</si>
  <si>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</si>
  <si>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</si>
  <si>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</si>
  <si>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</si>
  <si>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</si>
  <si>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</si>
  <si>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</si>
  <si>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</si>
  <si>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</si>
  <si>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</si>
  <si>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</si>
  <si>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</si>
  <si>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</si>
  <si>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</si>
  <si>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</si>
  <si>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</si>
  <si>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</si>
  <si>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</si>
  <si>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</si>
  <si>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</si>
  <si>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</si>
  <si>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</si>
  <si>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</si>
  <si>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</si>
  <si>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</si>
  <si>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</si>
  <si>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</si>
  <si>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</si>
  <si>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</si>
  <si>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</si>
  <si>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</si>
  <si>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</si>
  <si>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</si>
  <si>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</si>
  <si>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</si>
  <si>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</si>
  <si>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</si>
  <si>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</si>
  <si>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</si>
  <si>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</si>
  <si>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</si>
  <si>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</si>
  <si>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</si>
  <si>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</si>
  <si>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</si>
  <si>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</si>
  <si>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</si>
  <si>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</si>
  <si>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</si>
  <si>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</si>
  <si>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</si>
  <si>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</si>
  <si>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</si>
  <si>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</si>
  <si>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</si>
  <si>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</si>
  <si>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</si>
  <si>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</si>
  <si>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</si>
  <si>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</si>
  <si>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</si>
  <si>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</si>
  <si>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</si>
  <si>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</si>
  <si>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</si>
  <si>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</si>
  <si>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</si>
  <si>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</si>
  <si>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</si>
  <si>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</si>
  <si>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</si>
  <si>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</si>
  <si>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</si>
  <si>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</si>
  <si>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</si>
  <si>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</si>
  <si>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</si>
  <si>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</si>
  <si>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</si>
  <si>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</si>
  <si>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</si>
  <si>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</si>
  <si>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</si>
  <si>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</si>
  <si>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</si>
  <si>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</si>
  <si>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</si>
  <si>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</si>
  <si>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</si>
  <si>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</si>
  <si>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</si>
  <si>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</si>
  <si>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</si>
  <si>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</si>
  <si>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</si>
  <si>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</si>
  <si>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</si>
  <si>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</si>
  <si>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</si>
  <si>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</si>
  <si>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</si>
  <si>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</si>
  <si>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</si>
  <si>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</si>
  <si>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</si>
  <si>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</si>
  <si>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</si>
  <si>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</si>
  <si>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</si>
  <si>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</si>
  <si>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</si>
  <si>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</si>
  <si>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</si>
  <si>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</si>
  <si>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</si>
  <si>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</si>
  <si>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</si>
  <si>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</si>
  <si>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</si>
  <si>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</si>
  <si>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</si>
  <si>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</si>
  <si>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</si>
  <si>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</si>
  <si>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</si>
  <si>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</si>
  <si>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</si>
  <si>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</si>
  <si>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</si>
  <si>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</si>
  <si>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</si>
  <si>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</si>
  <si>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</si>
  <si>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</si>
  <si>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</si>
  <si>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</si>
  <si>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</si>
  <si>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</si>
  <si>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</si>
  <si>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</si>
  <si>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</si>
  <si>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</si>
  <si>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</si>
  <si>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</si>
  <si>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</si>
  <si>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</si>
  <si>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</si>
  <si>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</si>
  <si>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</si>
  <si>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</si>
  <si>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</si>
  <si>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</si>
  <si>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</si>
  <si>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</si>
  <si>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</si>
  <si>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</si>
  <si>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</si>
  <si>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</si>
  <si>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</si>
  <si>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</si>
  <si>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</si>
  <si>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</si>
  <si>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</si>
  <si>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</si>
  <si>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</si>
  <si>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</si>
  <si>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</si>
  <si>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</si>
  <si>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</si>
  <si>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</si>
  <si>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</si>
  <si>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</si>
  <si>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</si>
  <si>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</si>
  <si>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</si>
  <si>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</si>
  <si>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</si>
  <si>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</si>
  <si>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</si>
  <si>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</si>
  <si>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</si>
  <si>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</si>
  <si>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</si>
  <si>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</si>
  <si>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</si>
  <si>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</si>
  <si>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</si>
  <si>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</si>
  <si>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</si>
  <si>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</si>
  <si>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</si>
  <si>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</si>
  <si>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</si>
  <si>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</si>
  <si>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</si>
  <si>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</si>
  <si>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</si>
  <si>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</si>
  <si>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</si>
  <si>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</si>
  <si>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</si>
  <si>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</si>
  <si>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</si>
  <si>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</si>
  <si>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</si>
  <si>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</si>
  <si>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</si>
  <si>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</si>
  <si>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</si>
  <si>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</si>
  <si>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</si>
  <si>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</si>
  <si>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</si>
  <si>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</si>
  <si>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</si>
  <si>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</si>
  <si>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</si>
  <si>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</si>
  <si>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</si>
  <si>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</si>
  <si>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</si>
  <si>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</si>
  <si>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</si>
  <si>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</si>
  <si>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</si>
  <si>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</si>
  <si>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</si>
  <si>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</si>
  <si>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</si>
  <si>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</si>
  <si>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</si>
  <si>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</si>
  <si>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</si>
  <si>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</si>
  <si>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</si>
  <si>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</si>
  <si>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</si>
  <si>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</si>
  <si>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</si>
  <si>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</si>
  <si>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</si>
  <si>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</si>
  <si>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</si>
  <si>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</si>
  <si>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</si>
  <si>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</si>
  <si>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</si>
  <si>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</si>
  <si>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</si>
  <si>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</si>
  <si>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</si>
  <si>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</si>
  <si>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</si>
  <si>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</si>
  <si>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</si>
  <si>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</si>
  <si>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</si>
  <si>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</si>
  <si>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</si>
  <si>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</si>
  <si>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</si>
  <si>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</si>
  <si>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</si>
  <si>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</si>
  <si>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</si>
  <si>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</si>
  <si>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</si>
  <si>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</si>
  <si>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</si>
  <si>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</si>
  <si>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</si>
  <si>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</si>
  <si>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</si>
  <si>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</si>
  <si>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</si>
  <si>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</si>
  <si>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</si>
  <si>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</si>
  <si>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</si>
  <si>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</si>
  <si>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</si>
  <si>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</si>
  <si>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</si>
  <si>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</si>
  <si>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</si>
  <si>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</si>
  <si>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</si>
  <si>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</si>
  <si>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</si>
  <si>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</si>
  <si>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</si>
  <si>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</si>
  <si>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</si>
  <si>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</si>
  <si>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</si>
  <si>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</si>
  <si>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</si>
  <si>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</si>
  <si>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</si>
  <si>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</si>
  <si>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</si>
  <si>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</si>
  <si>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</si>
  <si>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</si>
  <si>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</si>
  <si>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</si>
  <si>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</si>
  <si>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</si>
  <si>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</si>
  <si>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</si>
  <si>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</si>
  <si>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</si>
  <si>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</si>
  <si>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</si>
  <si>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</si>
  <si>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</si>
  <si>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</si>
  <si>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</si>
  <si>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</si>
  <si>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</si>
  <si>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</si>
  <si>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</si>
  <si>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</si>
  <si>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</si>
  <si>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</si>
  <si>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</si>
  <si>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</si>
  <si>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</si>
  <si>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</si>
  <si>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</si>
  <si>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</si>
  <si>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</si>
  <si>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</si>
  <si>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</si>
  <si>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</si>
  <si>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</si>
  <si>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</si>
  <si>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</si>
  <si>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</si>
  <si>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</si>
  <si>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</si>
  <si>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</si>
  <si>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</si>
  <si>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</si>
  <si>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</si>
  <si>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</si>
  <si>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</si>
  <si>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</si>
  <si>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</si>
  <si>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</si>
  <si>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</si>
  <si>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</si>
  <si>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</si>
  <si>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</si>
  <si>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</si>
  <si>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</si>
  <si>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</si>
  <si>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</si>
  <si>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</si>
  <si>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</si>
  <si>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</si>
  <si>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</si>
  <si>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</si>
  <si>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</si>
  <si>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</si>
  <si>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</si>
  <si>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</si>
  <si>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</si>
  <si>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</si>
  <si>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</si>
  <si>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</si>
  <si>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</si>
  <si>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</si>
  <si>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</si>
  <si>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</si>
  <si>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</si>
  <si>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</si>
  <si>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</si>
  <si>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</si>
  <si>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</si>
  <si>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</si>
  <si>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</si>
  <si>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</si>
  <si>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</si>
  <si>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</si>
  <si>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</si>
  <si>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</si>
  <si>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</si>
  <si>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</si>
  <si>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</si>
  <si>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</si>
  <si>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</si>
  <si>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</si>
  <si>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</si>
  <si>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</si>
  <si>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</si>
  <si>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</si>
  <si>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</si>
  <si>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</si>
  <si>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</si>
  <si>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</si>
  <si>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</si>
  <si>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</si>
  <si>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</si>
  <si>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</si>
  <si>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</si>
  <si>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</si>
  <si>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</si>
  <si>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</si>
  <si>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</si>
  <si>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</si>
  <si>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</si>
  <si>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</si>
  <si>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</si>
  <si>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</si>
  <si>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</si>
  <si>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</si>
  <si>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</si>
  <si>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</si>
  <si>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</si>
  <si>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</si>
  <si>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</si>
  <si>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</si>
  <si>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</si>
  <si>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</si>
  <si>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</si>
  <si>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</si>
  <si>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</si>
  <si>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</si>
  <si>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</si>
  <si>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</si>
  <si>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</si>
  <si>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</si>
  <si>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</si>
  <si>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</si>
  <si>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</si>
  <si>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</si>
  <si>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</si>
  <si>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</si>
  <si>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</si>
  <si>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</si>
  <si>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</si>
  <si>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</si>
  <si>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</si>
  <si>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</si>
  <si>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</si>
  <si>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</si>
  <si>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</si>
  <si>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</si>
  <si>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</si>
  <si>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</si>
  <si>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</si>
  <si>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</si>
  <si>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</si>
  <si>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</si>
  <si>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</si>
  <si>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</si>
  <si>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</si>
  <si>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</si>
  <si>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</si>
  <si>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</si>
  <si>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</si>
  <si>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</si>
  <si>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</si>
  <si>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</si>
  <si>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</si>
  <si>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</si>
  <si>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</si>
  <si>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</si>
  <si>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</si>
  <si>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</si>
  <si>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</si>
  <si>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</si>
  <si>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</si>
  <si>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</si>
  <si>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</si>
  <si>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</si>
  <si>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</si>
  <si>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</si>
  <si>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</si>
  <si>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</si>
  <si>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</si>
  <si>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</si>
  <si>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</si>
  <si>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</si>
  <si>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</si>
  <si>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</si>
  <si>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</si>
  <si>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</si>
  <si>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</si>
  <si>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</si>
  <si>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</si>
  <si>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</si>
  <si>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</si>
  <si>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</si>
  <si>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</si>
  <si>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</si>
  <si>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</si>
  <si>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</si>
  <si>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</si>
  <si>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</si>
  <si>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</si>
  <si>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</si>
  <si>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</si>
  <si>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</si>
  <si>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</si>
  <si>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</si>
  <si>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</si>
  <si>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</si>
  <si>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</si>
  <si>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</si>
  <si>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</si>
  <si>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</si>
  <si>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</si>
  <si>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</si>
  <si>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</si>
  <si>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</si>
  <si>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</si>
  <si>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</si>
  <si>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</si>
  <si>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</si>
  <si>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</si>
  <si>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</si>
  <si>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</si>
  <si>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</si>
  <si>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</si>
  <si>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</si>
  <si>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</si>
  <si>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</si>
  <si>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</si>
  <si>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</si>
  <si>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</si>
  <si>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</si>
  <si>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</si>
  <si>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</si>
  <si>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</si>
  <si>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</si>
  <si>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</si>
  <si>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</si>
  <si>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</si>
  <si>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</si>
  <si>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</si>
  <si>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</si>
  <si>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</si>
  <si>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</si>
  <si>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</si>
  <si>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</si>
  <si>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</si>
  <si>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</si>
  <si>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</si>
  <si>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</si>
  <si>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</si>
  <si>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</si>
  <si>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</si>
  <si>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</si>
  <si>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</si>
  <si>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</si>
  <si>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</si>
  <si>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</si>
  <si>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</si>
  <si>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</si>
  <si>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</si>
  <si>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</si>
  <si>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</si>
  <si>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</si>
  <si>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</si>
  <si>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</si>
  <si>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</si>
  <si>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</si>
  <si>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</si>
  <si>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</si>
  <si>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</si>
  <si>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</si>
  <si>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</si>
  <si>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</si>
  <si>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</si>
  <si>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</si>
  <si>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</si>
  <si>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</si>
  <si>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</si>
  <si>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</si>
  <si>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</si>
  <si>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</si>
  <si>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</si>
  <si>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</si>
  <si>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</si>
  <si>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</si>
  <si>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</si>
  <si>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</si>
  <si>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</si>
  <si>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</si>
  <si>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</si>
  <si>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</si>
  <si>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</si>
  <si>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</si>
  <si>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</si>
  <si>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</si>
  <si>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</si>
  <si>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</si>
  <si>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</si>
  <si>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</si>
  <si>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</si>
  <si>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</si>
  <si>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</si>
  <si>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</si>
  <si>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</si>
  <si>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</si>
  <si>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</si>
  <si>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</si>
  <si>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</si>
  <si>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</si>
  <si>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</si>
  <si>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</si>
  <si>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</si>
  <si>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</si>
  <si>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</si>
  <si>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</si>
  <si>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</si>
  <si>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</si>
  <si>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</si>
  <si>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</si>
  <si>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</si>
  <si>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</si>
  <si>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</si>
  <si>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</si>
  <si>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</si>
  <si>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</si>
  <si>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</si>
  <si>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</si>
  <si>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</si>
  <si>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</si>
  <si>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</si>
  <si>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</si>
  <si>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</si>
  <si>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</si>
  <si>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</si>
  <si>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</si>
  <si>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</si>
  <si>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</si>
  <si>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</si>
  <si>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</si>
  <si>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</si>
  <si>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</si>
  <si>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</si>
  <si>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</si>
  <si>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</si>
  <si>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</si>
  <si>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</si>
  <si>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</si>
  <si>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</si>
  <si>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</si>
  <si>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</si>
  <si>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</si>
  <si>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</si>
  <si>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</si>
  <si>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</si>
  <si>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</si>
  <si>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</si>
  <si>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</si>
  <si>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</si>
  <si>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</si>
  <si>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</si>
  <si>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</si>
  <si>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</si>
  <si>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</si>
  <si>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</si>
  <si>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</si>
  <si>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</si>
  <si>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</si>
  <si>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</si>
  <si>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</si>
  <si>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</si>
  <si>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</si>
  <si>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</si>
  <si>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</si>
  <si>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</si>
  <si>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</si>
  <si>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</si>
  <si>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</si>
  <si>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</si>
  <si>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</si>
  <si>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</si>
  <si>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</si>
  <si>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</si>
  <si>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</si>
  <si>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</si>
  <si>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</si>
  <si>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</si>
  <si>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</si>
  <si>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</si>
  <si>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</si>
  <si>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</si>
  <si>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</si>
  <si>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</si>
  <si>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</si>
  <si>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</si>
  <si>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</si>
  <si>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</si>
  <si>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</si>
  <si>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</si>
  <si>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</si>
  <si>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</si>
  <si>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</si>
  <si>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</si>
  <si>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</si>
  <si>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</si>
  <si>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</si>
  <si>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</si>
  <si>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</si>
  <si>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</si>
  <si>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</si>
  <si>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</si>
  <si>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</si>
  <si>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</si>
  <si>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</si>
  <si>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</si>
  <si>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</si>
  <si>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</si>
  <si>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</si>
  <si>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</si>
  <si>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</si>
  <si>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</si>
  <si>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</si>
  <si>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</si>
  <si>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</si>
  <si>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</si>
  <si>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</si>
  <si>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</si>
  <si>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</si>
  <si>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</si>
  <si>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</si>
  <si>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</si>
  <si>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</si>
  <si>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</si>
  <si>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</si>
  <si>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</si>
  <si>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</si>
  <si>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</si>
  <si>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</si>
  <si>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</si>
  <si>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</si>
  <si>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</si>
  <si>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</si>
  <si>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</si>
  <si>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</si>
  <si>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</si>
  <si>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</si>
  <si>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</si>
  <si>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</si>
  <si>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</si>
  <si>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</si>
  <si>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</si>
  <si>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</si>
  <si>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</si>
  <si>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</si>
  <si>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</si>
  <si>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</si>
  <si>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</si>
  <si>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</si>
  <si>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</si>
  <si>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</si>
  <si>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</si>
  <si>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</si>
  <si>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</si>
  <si>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</si>
  <si>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</si>
  <si>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</si>
  <si>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</si>
  <si>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</si>
  <si>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</si>
  <si>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</si>
  <si>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</si>
  <si>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</si>
  <si>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</si>
  <si>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</si>
  <si>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</si>
  <si>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</si>
  <si>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</si>
  <si>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</si>
  <si>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</si>
  <si>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</si>
  <si>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</si>
  <si>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</si>
  <si>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</si>
  <si>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</si>
  <si>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</si>
  <si>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</si>
  <si>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</si>
  <si>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</si>
  <si>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</si>
  <si>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</si>
  <si>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</si>
  <si>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</si>
  <si>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</si>
  <si>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</si>
  <si>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</si>
  <si>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</si>
  <si>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</si>
  <si>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</si>
  <si>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</si>
  <si>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</si>
  <si>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</si>
  <si>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</si>
  <si>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</si>
  <si>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</si>
  <si>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</si>
  <si>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</si>
  <si>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</si>
  <si>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</si>
  <si>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</si>
  <si>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</si>
  <si>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</si>
  <si>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</si>
  <si>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</si>
  <si>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</si>
  <si>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</si>
  <si>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</si>
  <si>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</si>
  <si>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</si>
  <si>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</si>
  <si>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</si>
  <si>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</si>
  <si>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</si>
  <si>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</si>
  <si>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</si>
  <si>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</si>
  <si>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</si>
  <si>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</si>
  <si>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</si>
  <si>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</si>
  <si>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</si>
  <si>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</si>
  <si>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</si>
  <si>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</si>
  <si>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</si>
  <si>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</si>
  <si>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</si>
  <si>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</si>
  <si>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</si>
  <si>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</si>
  <si>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</si>
  <si>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</si>
  <si>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</si>
  <si>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</si>
  <si>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</si>
  <si>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</si>
  <si>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</si>
  <si>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</si>
  <si>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</si>
  <si>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</si>
  <si>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</si>
  <si>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</si>
  <si>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</si>
  <si>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</si>
  <si>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</si>
  <si>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</si>
  <si>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</si>
  <si>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</si>
  <si>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</si>
  <si>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</si>
  <si>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</si>
  <si>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</si>
  <si>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</si>
  <si>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</si>
  <si>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</si>
  <si>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</si>
  <si>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</si>
  <si>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</si>
  <si>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</si>
  <si>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</si>
  <si>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</si>
  <si>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</si>
  <si>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</si>
  <si>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</si>
  <si>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</si>
  <si>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</si>
  <si>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</si>
  <si>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</si>
  <si>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</si>
  <si>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</si>
  <si>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</si>
  <si>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</si>
  <si>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</si>
  <si>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</si>
  <si>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</si>
  <si>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</si>
  <si>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</si>
  <si>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</si>
  <si>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</si>
  <si>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</si>
  <si>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</si>
  <si>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</si>
  <si>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</si>
  <si>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</si>
  <si>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</si>
  <si>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</si>
  <si>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</si>
  <si>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</si>
  <si>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</si>
  <si>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</si>
  <si>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</si>
  <si>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</si>
  <si>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</si>
  <si>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</si>
  <si>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</si>
  <si>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</si>
  <si>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</si>
  <si>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</si>
  <si>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</si>
  <si>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</si>
  <si>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</si>
  <si>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</si>
  <si>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</si>
  <si>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</si>
  <si>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</si>
  <si>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</si>
  <si>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</si>
  <si>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</si>
  <si>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</si>
  <si>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</si>
  <si>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</si>
  <si>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</si>
  <si>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</si>
  <si>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</si>
  <si>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</si>
  <si>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</si>
  <si>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</si>
  <si>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</si>
  <si>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</si>
  <si>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</si>
  <si>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</si>
  <si>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</si>
  <si>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</si>
  <si>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</si>
  <si>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</si>
  <si>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</si>
  <si>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</si>
  <si>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</si>
  <si>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</si>
  <si>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</si>
  <si>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</si>
  <si>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</si>
  <si>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</si>
  <si>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</si>
  <si>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</si>
  <si>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</si>
  <si>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</si>
  <si>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</si>
  <si>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</si>
  <si>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</si>
  <si>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</si>
  <si>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</si>
  <si>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</si>
  <si>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</si>
  <si>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</si>
  <si>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</si>
  <si>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</si>
  <si>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</si>
  <si>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</si>
  <si>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</si>
  <si>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</si>
  <si>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</si>
  <si>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</si>
  <si>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</si>
  <si>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</si>
  <si>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</si>
  <si>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</si>
  <si>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</si>
  <si>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</si>
  <si>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</si>
  <si>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</si>
  <si>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</si>
  <si>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</si>
  <si>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</si>
  <si>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</si>
  <si>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</si>
  <si>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</si>
  <si>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</si>
  <si>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</si>
  <si>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</si>
  <si>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</si>
  <si>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</si>
  <si>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</si>
  <si>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</si>
  <si>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</si>
  <si>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</si>
  <si>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</si>
  <si>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</si>
  <si>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</si>
  <si>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</si>
  <si>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</si>
  <si>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</si>
  <si>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</si>
  <si>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</si>
  <si>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</si>
  <si>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</si>
  <si>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</si>
  <si>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</si>
  <si>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</si>
  <si>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</si>
  <si>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</si>
  <si>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</si>
  <si>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</si>
  <si>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</si>
  <si>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</si>
  <si>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</si>
  <si>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</si>
  <si>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</si>
  <si>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</si>
  <si>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</si>
  <si>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</si>
  <si>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</si>
  <si>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</si>
  <si>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</si>
  <si>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</si>
  <si>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</si>
  <si>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</si>
  <si>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</si>
  <si>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</si>
  <si>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</si>
  <si>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</si>
  <si>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</si>
  <si>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</si>
  <si>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</si>
  <si>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</si>
  <si>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</si>
  <si>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</si>
  <si>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</si>
  <si>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</si>
  <si>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</si>
  <si>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</si>
  <si>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</si>
  <si>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</si>
  <si>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</si>
  <si>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</si>
  <si>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</si>
  <si>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</si>
  <si>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</si>
  <si>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</si>
  <si>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</si>
  <si>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</si>
  <si>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</si>
  <si>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</si>
  <si>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</si>
  <si>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</si>
  <si>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</si>
  <si>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</si>
  <si>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</si>
  <si>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</si>
  <si>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</si>
  <si>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</si>
  <si>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</si>
  <si>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</si>
  <si>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</si>
  <si>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</si>
  <si>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</si>
  <si>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</si>
  <si>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</si>
  <si>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</si>
  <si>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</si>
  <si>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</si>
  <si>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</si>
  <si>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</si>
  <si>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</si>
  <si>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</si>
  <si>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</si>
  <si>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</si>
  <si>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</si>
  <si>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</si>
  <si>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</si>
  <si>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</si>
  <si>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</si>
  <si>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</si>
  <si>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</si>
  <si>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</si>
  <si>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</si>
  <si>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</si>
  <si>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</si>
  <si>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</si>
  <si>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</si>
  <si>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</si>
  <si>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</si>
  <si>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</si>
  <si>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</si>
  <si>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</si>
  <si>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</si>
  <si>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</si>
  <si>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</si>
  <si>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</si>
  <si>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</si>
  <si>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</si>
  <si>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</si>
  <si>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</si>
  <si>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</si>
  <si>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</si>
  <si>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</si>
  <si>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</si>
  <si>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</si>
  <si>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</si>
  <si>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</si>
  <si>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</si>
  <si>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</si>
  <si>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</si>
  <si>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</si>
  <si>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</si>
  <si>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</si>
  <si>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</si>
  <si>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</si>
  <si>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</si>
  <si>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</si>
  <si>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</si>
  <si>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</si>
  <si>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</si>
  <si>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</si>
  <si>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</si>
  <si>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</si>
  <si>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</si>
  <si>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</si>
  <si>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</si>
  <si>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</si>
  <si>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</si>
  <si>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</si>
  <si>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</si>
  <si>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</si>
  <si>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</si>
  <si>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</si>
  <si>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</si>
  <si>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</si>
  <si>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</si>
  <si>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</si>
  <si>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</si>
  <si>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</si>
  <si>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</si>
  <si>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</si>
  <si>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</si>
  <si>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</si>
  <si>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</si>
  <si>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</si>
  <si>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</si>
  <si>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</si>
  <si>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</si>
  <si>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</si>
  <si>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</si>
  <si>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</si>
  <si>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</si>
  <si>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</si>
  <si>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</si>
  <si>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</si>
  <si>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</si>
  <si>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</si>
  <si>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</si>
  <si>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</si>
  <si>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</si>
  <si>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</si>
  <si>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</si>
  <si>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</si>
  <si>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</si>
  <si>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</si>
  <si>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</si>
  <si>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</si>
  <si>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</si>
  <si>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</si>
  <si>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</si>
  <si>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</si>
  <si>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</si>
  <si>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</si>
  <si>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</si>
  <si>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</si>
  <si>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</si>
  <si>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</si>
  <si>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</si>
  <si>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</si>
  <si>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</si>
  <si>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</si>
  <si>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</si>
  <si>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</si>
  <si>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</si>
  <si>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</si>
  <si>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</si>
  <si>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</si>
  <si>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</si>
  <si>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</si>
  <si>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</si>
  <si>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</si>
  <si>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</si>
  <si>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</si>
  <si>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</si>
  <si>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</si>
  <si>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</si>
  <si>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</si>
  <si>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</si>
  <si>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</si>
  <si>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</si>
  <si>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</si>
  <si>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</si>
  <si>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</si>
  <si>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</si>
  <si>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</si>
  <si>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</si>
  <si>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</si>
  <si>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</si>
  <si>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</si>
  <si>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</si>
  <si>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</si>
  <si>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</si>
  <si>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</si>
  <si>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</si>
  <si>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</si>
  <si>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</si>
  <si>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</si>
  <si>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</si>
  <si>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</si>
  <si>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</si>
  <si>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</si>
  <si>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</si>
  <si>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</si>
  <si>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</si>
  <si>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</si>
  <si>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</si>
  <si>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</si>
  <si>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</si>
  <si>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</si>
  <si>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</si>
  <si>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</si>
  <si>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</si>
  <si>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</si>
  <si>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</si>
  <si>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</si>
  <si>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</si>
  <si>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</si>
  <si>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</si>
  <si>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</si>
  <si>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</si>
  <si>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</si>
  <si>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</si>
  <si>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</si>
  <si>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</si>
  <si>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</si>
  <si>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</si>
  <si>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</si>
  <si>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</si>
  <si>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</si>
  <si>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</si>
  <si>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</si>
  <si>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</si>
  <si>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</si>
  <si>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</si>
  <si>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</si>
  <si>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</si>
  <si>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</si>
  <si>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</si>
  <si>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</si>
  <si>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</si>
  <si>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</si>
  <si>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</si>
  <si>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</si>
  <si>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</si>
  <si>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</si>
  <si>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</si>
  <si>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</si>
  <si>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</si>
  <si>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</si>
  <si>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</si>
  <si>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</si>
  <si>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</si>
  <si>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</si>
  <si>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</si>
  <si>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</si>
  <si>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</si>
  <si>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</si>
  <si>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</si>
  <si>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</si>
  <si>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</si>
  <si>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</si>
  <si>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</si>
  <si>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</si>
  <si>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</si>
  <si>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</si>
  <si>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</si>
  <si>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</si>
  <si>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</si>
  <si>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</si>
  <si>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</si>
  <si>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</si>
  <si>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</si>
  <si>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</si>
  <si>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</si>
  <si>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</si>
  <si>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</si>
  <si>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</si>
  <si>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</si>
  <si>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</si>
  <si>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</si>
  <si>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</si>
  <si>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</si>
  <si>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</si>
  <si>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</si>
  <si>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</si>
  <si>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</si>
  <si>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</si>
  <si>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</si>
  <si>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</si>
  <si>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</si>
  <si>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</si>
  <si>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</si>
  <si>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</si>
  <si>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</si>
  <si>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</si>
  <si>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</si>
  <si>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</si>
  <si>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</si>
  <si>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</si>
  <si>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</si>
  <si>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</si>
  <si>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</si>
  <si>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</si>
  <si>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</si>
  <si>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</si>
  <si>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</si>
  <si>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</si>
  <si>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</si>
  <si>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</si>
  <si>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</si>
  <si>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</si>
  <si>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</si>
  <si>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</si>
  <si>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</si>
  <si>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</si>
  <si>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</si>
  <si>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</si>
  <si>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</si>
  <si>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</si>
  <si>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</si>
  <si>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</si>
  <si>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</si>
  <si>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</si>
  <si>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</si>
  <si>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</si>
  <si>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</si>
  <si>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</si>
  <si>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</si>
  <si>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</si>
  <si>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</si>
  <si>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</si>
  <si>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</si>
  <si>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</si>
  <si>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</si>
  <si>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</si>
  <si>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</si>
  <si>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</si>
  <si>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</si>
  <si>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</si>
  <si>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</si>
  <si>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</si>
  <si>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</si>
  <si>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</si>
  <si>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</si>
  <si>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</si>
  <si>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</si>
  <si>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</si>
  <si>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</si>
  <si>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</si>
  <si>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</si>
  <si>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</si>
  <si>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</si>
  <si>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</si>
  <si>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</si>
  <si>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</si>
  <si>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</si>
  <si>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</si>
  <si>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</si>
  <si>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</si>
  <si>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</si>
  <si>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</si>
  <si>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</si>
  <si>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</si>
  <si>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</si>
  <si>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</si>
  <si>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</si>
  <si>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</si>
  <si>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</si>
  <si>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</si>
  <si>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</si>
  <si>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</si>
  <si>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</si>
  <si>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</si>
  <si>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</si>
  <si>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</si>
  <si>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</si>
  <si>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</si>
  <si>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</si>
  <si>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</si>
  <si>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</si>
  <si>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</si>
  <si>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</si>
  <si>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</si>
  <si>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</si>
  <si>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</si>
  <si>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</si>
  <si>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</si>
  <si>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</si>
  <si>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</si>
  <si>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</si>
  <si>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</si>
  <si>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</si>
  <si>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</si>
  <si>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</si>
  <si>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</si>
  <si>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</si>
  <si>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</si>
  <si>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</si>
  <si>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</si>
  <si>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</si>
  <si>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</si>
  <si>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</si>
  <si>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</si>
  <si>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</si>
  <si>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</si>
  <si>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</si>
  <si>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</si>
  <si>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</si>
  <si>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</si>
  <si>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</si>
  <si>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</si>
  <si>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</si>
  <si>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</si>
  <si>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</si>
  <si>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</si>
  <si>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</si>
  <si>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</si>
  <si>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</si>
  <si>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</si>
  <si>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</si>
  <si>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</si>
  <si>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</si>
  <si>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</si>
  <si>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</si>
  <si>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</si>
  <si>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</si>
  <si>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</si>
  <si>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</si>
  <si>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</si>
  <si>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</si>
  <si>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</si>
  <si>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</si>
  <si>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</si>
  <si>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</si>
  <si>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</si>
  <si>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</si>
  <si>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</si>
  <si>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</si>
  <si>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</si>
  <si>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</si>
  <si>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</si>
  <si>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</si>
  <si>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</si>
  <si>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</si>
  <si>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</si>
  <si>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</si>
  <si>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</si>
  <si>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</si>
  <si>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</si>
  <si>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</si>
  <si>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</si>
  <si>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</si>
  <si>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</si>
  <si>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</si>
  <si>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</si>
  <si>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</si>
  <si>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</si>
  <si>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</si>
  <si>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</si>
  <si>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</si>
  <si>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</si>
  <si>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</si>
  <si>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</si>
  <si>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</si>
  <si>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</si>
  <si>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</si>
  <si>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</si>
  <si>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</si>
  <si>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</si>
  <si>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</si>
  <si>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</si>
  <si>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</si>
  <si>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</si>
  <si>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</si>
  <si>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</si>
  <si>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</si>
  <si>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</si>
  <si>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</si>
  <si>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</si>
  <si>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</si>
  <si>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</si>
  <si>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</si>
  <si>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</si>
  <si>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</si>
  <si>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</si>
  <si>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</si>
  <si>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</si>
  <si>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</si>
  <si>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</si>
  <si>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</si>
  <si>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</si>
  <si>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</si>
  <si>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</si>
  <si>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</si>
  <si>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</si>
  <si>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</si>
  <si>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</si>
  <si>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</si>
  <si>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</si>
  <si>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</si>
  <si>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</si>
  <si>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</si>
  <si>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</si>
  <si>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</si>
  <si>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</si>
  <si>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</si>
  <si>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</si>
  <si>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</si>
  <si>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</si>
  <si>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</si>
  <si>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</si>
  <si>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</si>
  <si>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</si>
  <si>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</si>
  <si>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</si>
  <si>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</si>
  <si>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</si>
  <si>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</si>
  <si>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</si>
  <si>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</si>
  <si>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</si>
  <si>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</si>
  <si>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</si>
  <si>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</si>
  <si>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</si>
  <si>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</si>
  <si>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</si>
  <si>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</si>
  <si>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</si>
  <si>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</si>
  <si>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</si>
  <si>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</si>
  <si>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</si>
  <si>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</si>
  <si>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</si>
  <si>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</si>
  <si>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</si>
  <si>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</si>
  <si>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</si>
  <si>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</si>
  <si>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</si>
  <si>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</si>
  <si>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</si>
  <si>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</si>
  <si>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</si>
  <si>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</si>
  <si>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</si>
  <si>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</si>
  <si>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</si>
  <si>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</si>
  <si>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</si>
  <si>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</si>
  <si>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</si>
  <si>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</si>
  <si>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</si>
  <si>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</si>
  <si>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</si>
  <si>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</si>
  <si>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</si>
  <si>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</si>
  <si>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</si>
  <si>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</si>
  <si>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</si>
  <si>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</si>
  <si>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</si>
  <si>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</si>
  <si>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</si>
  <si>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</si>
  <si>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</si>
  <si>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</si>
  <si>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</si>
  <si>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</si>
  <si>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</si>
  <si>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</si>
  <si>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</si>
  <si>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</si>
  <si>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</si>
  <si>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</si>
  <si>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</si>
  <si>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</si>
  <si>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</si>
  <si>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</si>
  <si>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</si>
  <si>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</si>
  <si>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</si>
  <si>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</si>
  <si>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</si>
  <si>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</si>
  <si>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</si>
  <si>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</si>
  <si>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</si>
  <si>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</si>
  <si>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</si>
  <si>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</si>
  <si>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</si>
  <si>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</si>
  <si>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</si>
  <si>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</si>
  <si>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</si>
  <si>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</si>
  <si>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</si>
  <si>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</si>
  <si>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</si>
  <si>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</si>
  <si>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</si>
  <si>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</si>
  <si>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</si>
  <si>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</si>
  <si>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</si>
  <si>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</si>
  <si>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</si>
  <si>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</si>
  <si>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</si>
  <si>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</si>
  <si>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</si>
  <si>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</si>
  <si>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</si>
  <si>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</si>
  <si>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</si>
  <si>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</si>
  <si>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</si>
  <si>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</si>
  <si>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</si>
  <si>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</si>
  <si>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</si>
  <si>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</si>
  <si>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</si>
  <si>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</si>
  <si>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</si>
  <si>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</si>
  <si>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</si>
  <si>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</si>
  <si>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</si>
  <si>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</si>
  <si>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</si>
  <si>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</si>
  <si>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</si>
  <si>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</si>
  <si>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</si>
  <si>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</si>
  <si>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</si>
  <si>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</si>
  <si>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</si>
  <si>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</si>
  <si>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</si>
  <si>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</si>
  <si>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</si>
  <si>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</si>
  <si>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</si>
  <si>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</si>
  <si>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</si>
  <si>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</si>
  <si>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</si>
  <si>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</si>
  <si>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</si>
  <si>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</si>
  <si>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</si>
  <si>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</si>
  <si>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</si>
  <si>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</si>
  <si>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</si>
  <si>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</si>
  <si>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</si>
  <si>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</si>
  <si>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</si>
  <si>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</si>
  <si>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</si>
  <si>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</si>
  <si>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</si>
  <si>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</si>
  <si>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</si>
  <si>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</si>
  <si>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</si>
  <si>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</si>
  <si>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</si>
  <si>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</si>
  <si>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</si>
  <si>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</si>
  <si>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</si>
  <si>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</si>
  <si>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</si>
  <si>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</si>
  <si>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</si>
  <si>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</si>
  <si>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</si>
  <si>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</si>
  <si>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</si>
  <si>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</si>
  <si>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</si>
  <si>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</si>
  <si>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</si>
  <si>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</si>
  <si>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</si>
  <si>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</si>
  <si>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</si>
  <si>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</si>
  <si>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</si>
  <si>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</si>
  <si>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</si>
  <si>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</si>
  <si>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</si>
  <si>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</si>
  <si>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</si>
  <si>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</si>
  <si>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</si>
  <si>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</si>
  <si>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</si>
  <si>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</si>
  <si>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</si>
  <si>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</si>
  <si>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</si>
  <si>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</si>
  <si>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</si>
  <si>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</si>
  <si>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</si>
  <si>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</si>
  <si>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</si>
  <si>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</si>
  <si>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</si>
  <si>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</si>
  <si>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</si>
  <si>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</si>
  <si>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</si>
  <si>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</si>
  <si>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</si>
  <si>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</si>
  <si>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</si>
  <si>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</si>
  <si>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</si>
  <si>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</si>
  <si>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</si>
  <si>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</si>
  <si>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</si>
  <si>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</si>
  <si>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</si>
  <si>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</si>
  <si>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</si>
  <si>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</si>
  <si>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</si>
  <si>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</si>
  <si>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</si>
  <si>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</si>
  <si>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</si>
  <si>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</si>
  <si>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</si>
  <si>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</si>
  <si>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</si>
  <si>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</si>
  <si>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</si>
  <si>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</si>
  <si>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</si>
  <si>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</si>
  <si>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</si>
  <si>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</si>
  <si>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</si>
  <si>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</si>
  <si>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</si>
  <si>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</si>
  <si>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</si>
  <si>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</si>
  <si>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</si>
  <si>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</si>
  <si>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</si>
  <si>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</si>
  <si>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</si>
  <si>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</si>
  <si>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</si>
  <si>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</si>
  <si>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</si>
  <si>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</si>
  <si>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</si>
  <si>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</si>
  <si>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</si>
  <si>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</si>
  <si>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</si>
  <si>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</si>
  <si>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</si>
  <si>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</si>
  <si>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</si>
  <si>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</si>
  <si>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</si>
  <si>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</si>
  <si>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</si>
  <si>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</si>
  <si>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</si>
  <si>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</si>
  <si>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</si>
  <si>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</si>
  <si>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</si>
  <si>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</si>
  <si>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</si>
  <si>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</si>
  <si>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</si>
  <si>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</si>
  <si>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</si>
  <si>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</si>
  <si>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</si>
  <si>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</si>
  <si>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</si>
  <si>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</si>
  <si>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</si>
  <si>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</si>
  <si>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</si>
  <si>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</si>
  <si>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</si>
  <si>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</si>
  <si>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</si>
  <si>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</si>
  <si>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</si>
  <si>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</si>
  <si>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</si>
  <si>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</si>
  <si>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</si>
  <si>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</si>
  <si>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</si>
  <si>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</si>
  <si>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</si>
  <si>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</si>
  <si>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</si>
  <si>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</si>
  <si>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</si>
  <si>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</si>
  <si>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</si>
  <si>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</si>
  <si>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</si>
  <si>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</si>
  <si>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</si>
  <si>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</si>
  <si>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</si>
  <si>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</si>
  <si>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</si>
  <si>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</si>
  <si>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</si>
  <si>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</si>
  <si>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</si>
  <si>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</si>
  <si>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</si>
  <si>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</si>
  <si>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</si>
  <si>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</si>
  <si>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</si>
  <si>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</si>
  <si>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</si>
  <si>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</si>
  <si>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</si>
  <si>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</si>
  <si>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</si>
  <si>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</si>
  <si>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</si>
  <si>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</si>
  <si>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</si>
  <si>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</si>
  <si>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</si>
  <si>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</si>
  <si>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</si>
  <si>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</si>
  <si>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</si>
  <si>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</si>
  <si>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</si>
  <si>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</si>
  <si>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</si>
  <si>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</si>
  <si>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</si>
  <si>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</si>
  <si>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</si>
  <si>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</si>
  <si>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</si>
  <si>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</si>
  <si>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</si>
  <si>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</si>
  <si>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</si>
  <si>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</si>
  <si>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</si>
  <si>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</si>
  <si>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</si>
  <si>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</si>
  <si>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</si>
  <si>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</si>
  <si>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</si>
  <si>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</si>
  <si>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</si>
  <si>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</si>
  <si>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</si>
  <si>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</si>
  <si>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</si>
  <si>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</si>
  <si>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</si>
  <si>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</si>
  <si>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</si>
  <si>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</si>
  <si>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</si>
  <si>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</si>
  <si>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</si>
  <si>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</si>
  <si>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</si>
  <si>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</si>
  <si>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</si>
  <si>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</si>
  <si>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</si>
  <si>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</si>
  <si>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</si>
  <si>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</si>
  <si>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</si>
  <si>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</si>
  <si>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</si>
  <si>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</si>
  <si>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</si>
  <si>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</si>
  <si>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</si>
  <si>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</si>
  <si>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</si>
  <si>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</si>
  <si>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</si>
  <si>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</si>
  <si>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</si>
  <si>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</si>
  <si>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</si>
  <si>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</si>
  <si>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</si>
  <si>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</si>
  <si>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</si>
  <si>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</si>
  <si>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</si>
  <si>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</si>
  <si>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</si>
  <si>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</si>
  <si>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</si>
  <si>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</si>
  <si>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</si>
  <si>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</si>
  <si>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</si>
  <si>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</si>
  <si>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</si>
  <si>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</si>
  <si>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</si>
  <si>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</si>
  <si>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</si>
  <si>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</si>
  <si>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</si>
  <si>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</si>
  <si>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</si>
  <si>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</si>
  <si>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</si>
  <si>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</si>
  <si>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</si>
  <si>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</si>
  <si>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</si>
  <si>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</si>
  <si>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</si>
  <si>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</si>
  <si>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</si>
  <si>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</si>
  <si>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</si>
  <si>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</si>
  <si>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</si>
  <si>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</si>
  <si>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</si>
  <si>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</si>
  <si>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</si>
  <si>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</si>
  <si>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</si>
  <si>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</si>
  <si>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</si>
  <si>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</si>
  <si>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</si>
  <si>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</si>
  <si>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</si>
  <si>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</si>
  <si>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</si>
  <si>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</si>
  <si>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</si>
  <si>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</si>
  <si>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</si>
  <si>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</si>
  <si>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</si>
  <si>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</si>
  <si>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</si>
  <si>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</si>
  <si>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</si>
  <si>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</si>
  <si>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</si>
  <si>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</si>
  <si>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</si>
  <si>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</si>
  <si>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</si>
  <si>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</si>
  <si>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</si>
  <si>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</si>
  <si>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</si>
  <si>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</si>
  <si>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</si>
  <si>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</si>
  <si>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</si>
  <si>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</si>
  <si>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</si>
  <si>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</si>
  <si>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</si>
  <si>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</si>
  <si>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</si>
  <si>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</si>
  <si>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</si>
  <si>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</si>
  <si>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</si>
  <si>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</si>
  <si>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</si>
  <si>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</si>
  <si>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</si>
  <si>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</si>
  <si>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</si>
  <si>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</si>
  <si>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</si>
  <si>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</si>
  <si>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</si>
  <si>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</si>
  <si>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</si>
  <si>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</si>
  <si>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</si>
  <si>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</si>
  <si>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</si>
  <si>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</si>
  <si>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</si>
  <si>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</si>
  <si>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</si>
  <si>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</si>
  <si>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</si>
  <si>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</si>
  <si>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</si>
  <si>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</si>
  <si>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</si>
  <si>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</si>
  <si>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</si>
  <si>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</si>
  <si>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</si>
  <si>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</si>
  <si>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</si>
  <si>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</si>
  <si>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</si>
  <si>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</si>
  <si>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</si>
  <si>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</si>
  <si>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</si>
  <si>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</si>
  <si>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</si>
  <si>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</si>
  <si>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</si>
  <si>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</si>
  <si>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</si>
  <si>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</si>
  <si>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</si>
  <si>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</si>
  <si>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</si>
  <si>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</si>
  <si>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</si>
  <si>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</si>
  <si>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</si>
  <si>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</si>
  <si>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</si>
  <si>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</si>
  <si>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</si>
  <si>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</si>
  <si>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</si>
  <si>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</si>
  <si>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</si>
  <si>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</si>
  <si>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</si>
  <si>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</si>
  <si>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</si>
  <si>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</si>
  <si>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</si>
  <si>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</si>
  <si>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</si>
  <si>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</si>
  <si>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</si>
  <si>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</si>
  <si>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</si>
  <si>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</si>
  <si>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</si>
  <si>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</si>
  <si>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</si>
  <si>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</si>
  <si>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</si>
  <si>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</si>
  <si>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</si>
  <si>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</si>
  <si>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</si>
  <si>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</si>
  <si>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</si>
  <si>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</si>
  <si>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</si>
  <si>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</si>
  <si>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</si>
  <si>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</si>
  <si>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</si>
  <si>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</si>
  <si>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</si>
  <si>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</si>
  <si>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</si>
  <si>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</si>
  <si>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</si>
  <si>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</si>
  <si>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</si>
  <si>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</si>
  <si>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</si>
  <si>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</si>
  <si>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</si>
  <si>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</si>
  <si>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</si>
  <si>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</si>
  <si>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</si>
  <si>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</si>
  <si>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</si>
  <si>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</si>
  <si>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</si>
  <si>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</si>
  <si>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</si>
  <si>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</si>
  <si>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</si>
  <si>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</si>
  <si>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</si>
  <si>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</si>
  <si>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</si>
  <si>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</si>
  <si>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</si>
  <si>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</si>
  <si>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</si>
  <si>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</si>
  <si>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</si>
  <si>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</si>
  <si>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</si>
  <si>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</si>
  <si>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</si>
  <si>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</si>
  <si>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</si>
  <si>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</si>
  <si>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</si>
  <si>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</si>
  <si>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</si>
  <si>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</si>
  <si>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</si>
  <si>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</si>
  <si>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</si>
  <si>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</si>
  <si>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</si>
  <si>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</si>
  <si>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</si>
  <si>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</si>
  <si>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</si>
  <si>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</si>
  <si>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</si>
  <si>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</si>
  <si>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</si>
  <si>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</si>
  <si>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</si>
  <si>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</si>
  <si>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</si>
  <si>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</si>
  <si>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</si>
  <si>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</si>
  <si>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</si>
  <si>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</si>
  <si>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</si>
  <si>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</si>
  <si>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</si>
  <si>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</si>
  <si>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</si>
  <si>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</si>
  <si>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</si>
  <si>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</si>
  <si>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</si>
  <si>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</si>
  <si>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</si>
  <si>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</si>
  <si>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</si>
  <si>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</si>
  <si>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</si>
  <si>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</si>
  <si>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</si>
  <si>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</si>
  <si>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</si>
  <si>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</si>
  <si>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</si>
  <si>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</si>
  <si>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</si>
  <si>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</si>
  <si>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</si>
  <si>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</si>
  <si>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</si>
  <si>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</si>
  <si>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</si>
  <si>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</si>
  <si>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</si>
  <si>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</si>
  <si>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</si>
  <si>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</si>
  <si>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</si>
  <si>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</si>
  <si>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</si>
  <si>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</si>
  <si>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</si>
  <si>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</si>
  <si>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</si>
  <si>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</si>
  <si>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</si>
  <si>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</si>
  <si>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</si>
  <si>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</si>
  <si>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</si>
  <si>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</si>
  <si>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</si>
  <si>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</si>
  <si>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</si>
  <si>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</si>
  <si>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</si>
  <si>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</si>
  <si>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</si>
  <si>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</si>
  <si>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</si>
  <si>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</si>
  <si>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</si>
  <si>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</si>
  <si>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</si>
  <si>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</si>
  <si>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</si>
  <si>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</si>
  <si>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</si>
  <si>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</si>
  <si>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</si>
  <si>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</si>
  <si>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</si>
  <si>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</si>
  <si>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</si>
  <si>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</si>
  <si>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</si>
  <si>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</si>
  <si>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</si>
  <si>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</si>
  <si>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</si>
  <si>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</si>
  <si>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</si>
  <si>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</si>
  <si>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</si>
  <si>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</si>
  <si>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</si>
  <si>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</si>
  <si>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</si>
  <si>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</si>
  <si>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</si>
  <si>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</si>
  <si>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</si>
  <si>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</si>
  <si>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</si>
  <si>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</si>
  <si>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</si>
  <si>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</si>
  <si>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</si>
  <si>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</si>
  <si>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</si>
  <si>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</si>
  <si>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</si>
  <si>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</si>
  <si>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</si>
  <si>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</si>
  <si>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</si>
  <si>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</si>
  <si>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</si>
  <si>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</si>
  <si>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</si>
  <si>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</si>
  <si>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</si>
  <si>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</si>
  <si>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</si>
  <si>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</si>
  <si>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</si>
  <si>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</si>
  <si>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</si>
  <si>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</si>
  <si>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</si>
  <si>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</si>
  <si>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</si>
  <si>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</si>
  <si>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</si>
  <si>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</si>
  <si>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</si>
  <si>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</si>
  <si>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</si>
  <si>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</si>
  <si>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</si>
  <si>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</si>
  <si>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</si>
  <si>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</si>
  <si>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</si>
  <si>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</si>
  <si>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</si>
  <si>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</si>
  <si>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</si>
  <si>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</si>
  <si>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</si>
  <si>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</si>
  <si>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</si>
  <si>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</si>
  <si>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</si>
  <si>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</si>
  <si>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</si>
  <si>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</si>
  <si>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</si>
  <si>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</si>
  <si>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</si>
  <si>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</si>
  <si>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</si>
  <si>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</si>
  <si>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</si>
  <si>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</si>
  <si>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</si>
  <si>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</si>
  <si>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</si>
  <si>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</si>
  <si>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</si>
  <si>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</si>
  <si>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</si>
  <si>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</si>
  <si>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</si>
  <si>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</si>
  <si>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</si>
  <si>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</si>
  <si>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</si>
  <si>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</si>
  <si>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</si>
  <si>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</si>
  <si>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</si>
  <si>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</si>
  <si>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</si>
  <si>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</si>
  <si>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</si>
  <si>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</si>
  <si>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</si>
  <si>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</si>
  <si>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</si>
  <si>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</si>
  <si>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</si>
  <si>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</si>
  <si>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</si>
  <si>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</si>
  <si>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</si>
  <si>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</si>
  <si>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</si>
  <si>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</si>
  <si>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</si>
  <si>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</si>
  <si>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</si>
  <si>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</si>
  <si>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</si>
  <si>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</si>
  <si>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</si>
  <si>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</si>
  <si>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</si>
  <si>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</si>
  <si>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</si>
  <si>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</si>
  <si>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</si>
  <si>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</si>
  <si>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</si>
  <si>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</si>
  <si>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</si>
  <si>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</si>
  <si>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</si>
  <si>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</si>
  <si>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</si>
  <si>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</si>
  <si>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</si>
  <si>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</si>
  <si>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</si>
  <si>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</si>
  <si>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</si>
  <si>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</si>
  <si>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</si>
  <si>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</si>
  <si>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</si>
  <si>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</si>
  <si>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</si>
  <si>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</si>
  <si>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</si>
  <si>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</si>
  <si>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</si>
  <si>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</si>
  <si>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</si>
  <si>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</si>
  <si>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</si>
  <si>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</si>
  <si>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</si>
  <si>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</si>
  <si>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</si>
  <si>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</si>
  <si>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</si>
  <si>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</si>
  <si>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</si>
  <si>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</si>
  <si>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</si>
  <si>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</si>
  <si>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</si>
  <si>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</si>
  <si>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</si>
  <si>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</si>
  <si>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</si>
  <si>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</si>
  <si>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</si>
  <si>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</si>
  <si>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</si>
  <si>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</si>
  <si>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</si>
  <si>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</si>
  <si>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</si>
  <si>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</si>
  <si>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</si>
  <si>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</si>
  <si>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</si>
  <si>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</si>
  <si>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</si>
  <si>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</si>
  <si>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</si>
  <si>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</si>
  <si>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</si>
  <si>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</si>
  <si>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</si>
  <si>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</si>
  <si>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</si>
  <si>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</si>
  <si>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</si>
  <si>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</si>
  <si>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</si>
  <si>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</si>
  <si>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</si>
  <si>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</si>
  <si>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</si>
  <si>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</si>
  <si>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</si>
  <si>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</si>
  <si>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</si>
  <si>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</si>
  <si>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</si>
  <si>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</si>
  <si>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</si>
  <si>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</si>
  <si>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</si>
  <si>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</si>
  <si>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</si>
  <si>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</si>
  <si>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</si>
  <si>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</si>
  <si>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</si>
  <si>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</si>
  <si>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</si>
  <si>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</si>
  <si>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</si>
  <si>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</si>
  <si>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</si>
  <si>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</si>
  <si>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</si>
  <si>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</si>
  <si>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</si>
  <si>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</si>
  <si>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</si>
  <si>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</si>
  <si>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</si>
  <si>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</si>
  <si>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</si>
  <si>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</si>
  <si>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</si>
  <si>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</si>
  <si>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</si>
  <si>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</si>
  <si>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</si>
  <si>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</si>
  <si>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</si>
  <si>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</si>
  <si>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</si>
  <si>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</si>
  <si>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</si>
  <si>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</si>
  <si>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</si>
  <si>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</si>
  <si>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</si>
  <si>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</si>
  <si>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</si>
  <si>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</si>
  <si>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</si>
  <si>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</si>
  <si>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</si>
  <si>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</si>
  <si>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</si>
  <si>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</si>
  <si>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</si>
  <si>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</si>
  <si>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</si>
  <si>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</si>
  <si>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</si>
  <si>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</si>
  <si>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</si>
  <si>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</si>
  <si>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</si>
  <si>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</si>
  <si>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</si>
  <si>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</si>
  <si>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</si>
  <si>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</si>
  <si>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</si>
  <si>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</si>
  <si>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</si>
  <si>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</si>
  <si>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</si>
  <si>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</si>
  <si>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</si>
  <si>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</si>
  <si>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</si>
  <si>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</si>
  <si>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</si>
  <si>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</si>
  <si>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</si>
  <si>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</si>
  <si>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</si>
  <si>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</si>
  <si>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</si>
  <si>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</si>
  <si>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</si>
  <si>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</si>
  <si>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</si>
  <si>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</si>
  <si>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</si>
  <si>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</si>
  <si>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</si>
  <si>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</si>
  <si>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</si>
  <si>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</si>
  <si>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</si>
  <si>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</si>
  <si>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</si>
  <si>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</si>
  <si>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</si>
  <si>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</si>
  <si>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</si>
  <si>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</si>
  <si>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</si>
  <si>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</si>
  <si>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</si>
  <si>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</si>
  <si>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</si>
  <si>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</si>
  <si>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</si>
  <si>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</si>
  <si>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</si>
  <si>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</si>
  <si>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</si>
  <si>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</si>
  <si>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</si>
  <si>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</si>
  <si>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</si>
  <si>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</si>
  <si>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</si>
  <si>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</si>
  <si>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</si>
  <si>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</si>
  <si>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</si>
  <si>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</si>
  <si>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</si>
  <si>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</si>
  <si>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</si>
  <si>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</si>
  <si>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</si>
  <si>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</si>
  <si>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</si>
  <si>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</si>
  <si>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</si>
  <si>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</si>
  <si>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</si>
  <si>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</si>
  <si>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</si>
  <si>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</si>
  <si>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</si>
  <si>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</si>
  <si>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</si>
  <si>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</si>
  <si>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</si>
  <si>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</si>
  <si>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</si>
  <si>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</si>
  <si>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</si>
  <si>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</si>
  <si>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</si>
  <si>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</si>
  <si>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</si>
  <si>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</si>
  <si>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</si>
  <si>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</si>
  <si>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</si>
  <si>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</si>
  <si>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</si>
  <si>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</si>
  <si>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</si>
  <si>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</si>
  <si>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</si>
  <si>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</si>
  <si>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</si>
  <si>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</si>
  <si>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</si>
  <si>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</si>
  <si>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</si>
  <si>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</si>
  <si>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</si>
  <si>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</si>
  <si>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</si>
  <si>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</si>
  <si>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</si>
  <si>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</si>
  <si>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</si>
  <si>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</si>
  <si>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</si>
  <si>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</si>
  <si>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</si>
  <si>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</si>
  <si>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</si>
  <si>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</si>
  <si>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</si>
  <si>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</si>
  <si>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</si>
  <si>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</si>
  <si>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</si>
  <si>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</si>
  <si>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</si>
  <si>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</si>
  <si>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</si>
  <si>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</si>
  <si>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</si>
  <si>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</si>
  <si>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</si>
  <si>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</si>
  <si>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</si>
  <si>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</si>
  <si>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</si>
  <si>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</si>
  <si>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</si>
  <si>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</si>
  <si>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</si>
  <si>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</si>
  <si>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</si>
  <si>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</si>
  <si>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</si>
  <si>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</si>
  <si>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</si>
  <si>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</si>
  <si>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</si>
  <si>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</si>
  <si>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</si>
  <si>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</si>
  <si>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</si>
  <si>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</si>
  <si>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</si>
  <si>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</si>
  <si>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</si>
  <si>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</si>
  <si>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</si>
  <si>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</si>
  <si>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</si>
  <si>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</si>
  <si>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</si>
  <si>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</si>
  <si>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</si>
  <si>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</si>
  <si>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</si>
  <si>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</si>
  <si>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</si>
  <si>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</si>
  <si>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</si>
  <si>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</si>
  <si>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</si>
  <si>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</si>
  <si>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</si>
  <si>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</si>
  <si>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</si>
  <si>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</si>
  <si>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</si>
  <si>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</si>
  <si>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</si>
  <si>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</si>
  <si>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</si>
  <si>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</si>
  <si>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</si>
  <si>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</si>
  <si>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</si>
  <si>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</si>
  <si>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</si>
  <si>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</si>
  <si>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</si>
  <si>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</si>
  <si>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</si>
  <si>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</si>
  <si>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</si>
  <si>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</si>
  <si>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</si>
  <si>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</si>
  <si>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</si>
  <si>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</si>
  <si>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</si>
  <si>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</si>
  <si>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</si>
  <si>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</si>
  <si>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</si>
  <si>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</si>
  <si>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</si>
  <si>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</si>
  <si>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</si>
  <si>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</si>
  <si>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</si>
  <si>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</si>
  <si>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</si>
  <si>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</si>
  <si>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</si>
  <si>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</si>
  <si>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</si>
  <si>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</si>
  <si>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</si>
  <si>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</si>
  <si>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</si>
  <si>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</si>
  <si>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</si>
  <si>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</si>
  <si>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</si>
  <si>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</si>
  <si>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</si>
  <si>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</si>
  <si>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</si>
  <si>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</si>
  <si>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</si>
  <si>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</si>
  <si>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</si>
  <si>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</si>
  <si>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</si>
  <si>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</si>
  <si>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</si>
  <si>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</si>
  <si>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</si>
  <si>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</si>
  <si>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</si>
  <si>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</si>
  <si>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</si>
  <si>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</si>
  <si>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</si>
  <si>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</si>
  <si>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</si>
  <si>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</si>
  <si>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</si>
  <si>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</si>
  <si>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</si>
  <si>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</si>
  <si>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</si>
  <si>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</si>
  <si>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</si>
  <si>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</si>
  <si>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</si>
  <si>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</si>
  <si>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</si>
  <si>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</si>
  <si>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</si>
  <si>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</si>
  <si>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</si>
  <si>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</si>
  <si>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</si>
  <si>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</si>
  <si>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</si>
  <si>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</si>
  <si>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</si>
  <si>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</si>
  <si>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</si>
  <si>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</si>
  <si>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</si>
  <si>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</si>
  <si>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</si>
  <si>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</si>
  <si>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</si>
  <si>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</si>
  <si>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</si>
  <si>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</si>
  <si>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</si>
  <si>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</si>
  <si>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</si>
  <si>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</si>
  <si>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</si>
  <si>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</si>
  <si>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</si>
  <si>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</si>
  <si>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</si>
  <si>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</si>
  <si>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</si>
  <si>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</si>
  <si>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</si>
  <si>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</si>
  <si>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</si>
  <si>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</si>
  <si>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</si>
  <si>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</si>
  <si>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</si>
  <si>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</si>
  <si>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</si>
  <si>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</si>
  <si>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</si>
  <si>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</si>
  <si>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</si>
  <si>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</si>
  <si>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</si>
  <si>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</si>
  <si>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</si>
  <si>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</si>
  <si>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</si>
  <si>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</si>
  <si>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</si>
  <si>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</si>
  <si>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</si>
  <si>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</si>
  <si>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</si>
  <si>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</si>
  <si>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</si>
  <si>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</si>
  <si>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</si>
  <si>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</si>
  <si>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</si>
  <si>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</si>
  <si>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</si>
  <si>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</si>
  <si>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</si>
  <si>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</si>
  <si>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</si>
  <si>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</si>
  <si>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</si>
  <si>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</si>
  <si>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</si>
  <si>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</si>
  <si>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</si>
  <si>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</si>
  <si>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</si>
  <si>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</si>
  <si>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</si>
  <si>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</si>
  <si>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</si>
  <si>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</si>
  <si>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</si>
  <si>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</si>
  <si>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</si>
  <si>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</si>
  <si>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</si>
  <si>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</si>
  <si>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</si>
  <si>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</si>
  <si>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</si>
  <si>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</si>
  <si>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</si>
  <si>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</si>
  <si>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</si>
  <si>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</si>
  <si>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</si>
  <si>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</si>
  <si>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</si>
  <si>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</si>
  <si>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</si>
  <si>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</si>
  <si>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</si>
  <si>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</si>
  <si>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</si>
  <si>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</si>
  <si>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</si>
  <si>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</si>
  <si>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</si>
  <si>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</si>
  <si>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</si>
  <si>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</si>
  <si>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</si>
  <si>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</si>
  <si>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</si>
  <si>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</si>
  <si>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</si>
  <si>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</si>
  <si>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</si>
  <si>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</si>
  <si>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</si>
  <si>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</si>
  <si>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</si>
  <si>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</si>
  <si>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</si>
  <si>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</si>
  <si>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</si>
  <si>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</si>
  <si>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</si>
  <si>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</si>
  <si>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</si>
  <si>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</si>
  <si>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</si>
  <si>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</si>
  <si>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</si>
  <si>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</si>
  <si>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</si>
  <si>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</si>
  <si>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</si>
  <si>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</si>
  <si>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</si>
  <si>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</si>
  <si>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</si>
  <si>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</si>
  <si>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</si>
  <si>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</si>
  <si>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</si>
  <si>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</si>
  <si>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</si>
  <si>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</si>
  <si>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</si>
  <si>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</si>
  <si>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</si>
  <si>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</si>
  <si>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</si>
  <si>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</si>
  <si>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</si>
  <si>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</si>
  <si>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</si>
  <si>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</si>
  <si>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</si>
  <si>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</si>
  <si>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</si>
  <si>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</si>
  <si>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</si>
  <si>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</si>
  <si>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</si>
  <si>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</si>
  <si>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</si>
  <si>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</si>
  <si>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</si>
  <si>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</si>
  <si>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</si>
  <si>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</si>
  <si>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</si>
  <si>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</si>
  <si>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</si>
  <si>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</si>
  <si>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</si>
  <si>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</si>
  <si>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</si>
  <si>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</si>
  <si>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</si>
  <si>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</si>
  <si>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</si>
  <si>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</si>
  <si>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</si>
  <si>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</si>
  <si>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</si>
  <si>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</si>
  <si>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</si>
  <si>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</si>
  <si>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</si>
  <si>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</si>
  <si>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</si>
  <si>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</si>
  <si>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</si>
  <si>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</si>
  <si>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</si>
  <si>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</si>
  <si>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</si>
  <si>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</si>
  <si>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</si>
  <si>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</si>
  <si>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</si>
  <si>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</si>
  <si>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</si>
  <si>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</si>
  <si>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</si>
  <si>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</si>
  <si>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</si>
  <si>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</si>
  <si>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</si>
  <si>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</si>
  <si>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</si>
  <si>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</si>
  <si>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</si>
  <si>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</si>
  <si>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</si>
  <si>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</si>
  <si>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</si>
  <si>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</si>
  <si>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</si>
  <si>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</si>
  <si>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</si>
  <si>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</si>
  <si>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</si>
  <si>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</si>
  <si>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</si>
  <si>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</si>
  <si>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</si>
  <si>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</si>
  <si>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</si>
  <si>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</si>
  <si>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</si>
  <si>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</si>
  <si>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</si>
  <si>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</si>
  <si>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</si>
  <si>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</si>
  <si>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</si>
  <si>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</si>
  <si>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</si>
  <si>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</si>
  <si>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</si>
  <si>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</si>
  <si>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</si>
  <si>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</si>
  <si>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</si>
  <si>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</si>
  <si>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</si>
  <si>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</si>
  <si>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</si>
  <si>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</si>
  <si>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</si>
  <si>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</si>
  <si>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</si>
  <si>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</si>
  <si>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</si>
  <si>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</si>
  <si>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</si>
  <si>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</si>
  <si>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</si>
  <si>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</si>
  <si>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</si>
  <si>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</si>
  <si>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</si>
  <si>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</si>
  <si>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</si>
  <si>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</si>
  <si>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</si>
  <si>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</si>
  <si>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</si>
  <si>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</si>
  <si>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</si>
  <si>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</si>
  <si>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</si>
  <si>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</si>
  <si>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</si>
  <si>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</si>
  <si>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</si>
  <si>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</si>
  <si>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</si>
  <si>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</si>
  <si>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</si>
  <si>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</si>
  <si>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</si>
  <si>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</si>
  <si>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</si>
  <si>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</si>
  <si>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</si>
  <si>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</si>
  <si>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</si>
  <si>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</si>
  <si>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</si>
  <si>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</si>
  <si>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</si>
  <si>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</si>
  <si>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</si>
  <si>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</si>
  <si>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</si>
  <si>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</si>
  <si>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</si>
  <si>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</si>
  <si>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</si>
  <si>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</si>
  <si>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</si>
  <si>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</si>
  <si>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</si>
  <si>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</si>
  <si>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</si>
  <si>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</si>
  <si>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</si>
  <si>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</si>
  <si>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</si>
  <si>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</si>
  <si>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</si>
  <si>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</si>
  <si>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</si>
  <si>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</si>
  <si>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</si>
  <si>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</si>
  <si>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</si>
  <si>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</si>
  <si>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</si>
  <si>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</si>
  <si>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</si>
  <si>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</si>
  <si>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</si>
  <si>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</si>
  <si>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</si>
  <si>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</si>
  <si>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</si>
  <si>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</si>
  <si>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</si>
  <si>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</si>
  <si>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</si>
  <si>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</si>
  <si>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</si>
  <si>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</si>
  <si>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</si>
  <si>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</si>
  <si>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</si>
  <si>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</si>
  <si>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</si>
  <si>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</si>
  <si>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</si>
  <si>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</si>
  <si>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</si>
  <si>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</si>
  <si>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</si>
  <si>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</si>
  <si>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</si>
  <si>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</si>
  <si>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</si>
  <si>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</si>
  <si>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</si>
  <si>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</si>
  <si>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</si>
  <si>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</si>
  <si>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</si>
  <si>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</si>
  <si>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</si>
  <si>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</si>
  <si>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</si>
  <si>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</si>
  <si>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</si>
  <si>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</si>
  <si>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</si>
  <si>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</si>
  <si>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</si>
  <si>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</si>
  <si>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</si>
  <si>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</si>
  <si>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</si>
  <si>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</si>
  <si>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</si>
  <si>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</si>
  <si>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</si>
  <si>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</si>
  <si>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</si>
  <si>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</si>
  <si>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</si>
  <si>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</si>
  <si>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</si>
  <si>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</si>
  <si>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</si>
  <si>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</si>
  <si>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</si>
  <si>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</si>
  <si>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</si>
  <si>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</si>
  <si>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</si>
  <si>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</si>
  <si>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</si>
  <si>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</si>
  <si>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</si>
  <si>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</si>
  <si>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</si>
  <si>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</si>
  <si>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</si>
  <si>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</si>
  <si>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</si>
  <si>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</si>
  <si>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</si>
  <si>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</si>
  <si>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</si>
  <si>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</si>
  <si>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</si>
  <si>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</si>
  <si>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</si>
  <si>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</si>
  <si>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</si>
  <si>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</si>
  <si>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</si>
  <si>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</si>
  <si>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</si>
  <si>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</si>
  <si>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</si>
  <si>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</si>
  <si>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</si>
  <si>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</si>
  <si>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</si>
  <si>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</si>
  <si>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</si>
  <si>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</si>
  <si>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</si>
  <si>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</si>
  <si>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</si>
  <si>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</si>
  <si>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</si>
  <si>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</si>
  <si>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</si>
  <si>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</si>
  <si>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</si>
  <si>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</si>
  <si>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</si>
  <si>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</si>
  <si>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</si>
  <si>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</si>
  <si>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</si>
  <si>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</si>
  <si>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</si>
  <si>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</si>
  <si>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</si>
  <si>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</si>
  <si>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</si>
  <si>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</si>
  <si>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</si>
  <si>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</si>
  <si>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</si>
  <si>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</si>
  <si>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</si>
  <si>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</si>
  <si>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</si>
  <si>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</si>
  <si>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</si>
  <si>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</si>
  <si>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</si>
  <si>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</si>
  <si>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</si>
  <si>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</si>
  <si>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</si>
  <si>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</si>
  <si>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</si>
  <si>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</si>
  <si>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</si>
  <si>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</si>
  <si>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</si>
  <si>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</si>
  <si>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</si>
  <si>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</si>
  <si>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</si>
  <si>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</si>
  <si>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</si>
  <si>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</si>
  <si>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</si>
  <si>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</si>
  <si>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</si>
  <si>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</si>
  <si>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</si>
  <si>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</si>
  <si>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</si>
  <si>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</si>
  <si>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</si>
  <si>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</si>
  <si>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</si>
  <si>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</si>
  <si>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</si>
  <si>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</si>
  <si>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</si>
  <si>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</si>
  <si>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</si>
  <si>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</si>
  <si>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</si>
  <si>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</si>
  <si>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</si>
  <si>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</si>
  <si>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</si>
  <si>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</si>
  <si>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</si>
  <si>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</si>
  <si>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</si>
  <si>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</si>
  <si>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</si>
  <si>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</si>
  <si>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</si>
  <si>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</si>
  <si>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</si>
  <si>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</si>
  <si>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</si>
  <si>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</si>
  <si>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</si>
  <si>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</si>
  <si>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</si>
  <si>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</si>
  <si>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</si>
  <si>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</si>
  <si>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</si>
  <si>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</si>
  <si>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</si>
  <si>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</si>
  <si>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</si>
  <si>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</si>
  <si>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</si>
  <si>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</si>
  <si>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</si>
  <si>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</si>
  <si>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</si>
  <si>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</si>
  <si>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</si>
  <si>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</si>
  <si>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</si>
  <si>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</si>
  <si>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</si>
  <si>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</si>
  <si>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</si>
  <si>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</si>
  <si>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</si>
  <si>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</si>
  <si>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</si>
  <si>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</si>
  <si>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</si>
  <si>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</si>
  <si>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</si>
  <si>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</si>
  <si>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</si>
  <si>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</si>
  <si>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</si>
  <si>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</si>
  <si>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</si>
  <si>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</si>
  <si>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</si>
  <si>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</si>
  <si>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</si>
  <si>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</si>
  <si>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</si>
  <si>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</si>
  <si>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</si>
  <si>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</si>
  <si>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</si>
  <si>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</si>
  <si>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</si>
  <si>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</si>
  <si>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</si>
  <si>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</si>
  <si>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</si>
  <si>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</si>
  <si>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</si>
  <si>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</si>
  <si>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</si>
  <si>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</si>
  <si>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</si>
  <si>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</si>
  <si>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</si>
  <si>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</si>
  <si>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</si>
  <si>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</si>
  <si>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</si>
  <si>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</si>
  <si>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</si>
  <si>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</si>
  <si>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</si>
  <si>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</si>
  <si>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</si>
  <si>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</si>
  <si>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</si>
  <si>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</si>
  <si>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</si>
  <si>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</si>
  <si>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</si>
  <si>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</si>
  <si>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</si>
  <si>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</si>
  <si>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</si>
  <si>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</si>
  <si>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</si>
  <si>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</si>
  <si>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</si>
  <si>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</si>
  <si>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</si>
  <si>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</si>
  <si>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</si>
  <si>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</si>
  <si>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</si>
  <si>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</si>
  <si>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</si>
  <si>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</si>
  <si>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</si>
  <si>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</si>
  <si>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</si>
  <si>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</si>
  <si>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</si>
  <si>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</si>
  <si>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</si>
  <si>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</si>
  <si>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</si>
  <si>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</si>
  <si>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</si>
  <si>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</si>
  <si>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</si>
  <si>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</si>
  <si>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</si>
  <si>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</si>
  <si>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</si>
  <si>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</si>
  <si>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</si>
  <si>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</si>
  <si>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</si>
  <si>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</si>
  <si>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</si>
  <si>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</si>
  <si>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</si>
  <si>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</si>
  <si>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</si>
  <si>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</si>
  <si>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</si>
  <si>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</si>
  <si>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</si>
  <si>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</si>
  <si>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</si>
  <si>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</si>
  <si>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</si>
  <si>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</si>
  <si>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</si>
  <si>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</si>
  <si>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</si>
  <si>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</si>
  <si>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</si>
  <si>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</si>
  <si>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</si>
  <si>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</si>
  <si>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</si>
  <si>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</si>
  <si>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</si>
  <si>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</si>
  <si>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</si>
  <si>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</si>
  <si>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</si>
  <si>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</si>
  <si>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</si>
  <si>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</si>
  <si>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</si>
  <si>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</si>
  <si>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</si>
  <si>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</si>
  <si>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</si>
  <si>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</si>
  <si>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</si>
  <si>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</si>
  <si>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</si>
  <si>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</si>
  <si>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</si>
  <si>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</si>
  <si>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</si>
  <si>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</si>
  <si>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</si>
  <si>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</si>
  <si>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</si>
  <si>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</si>
  <si>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</si>
  <si>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</si>
  <si>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</si>
  <si>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</si>
  <si>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</si>
  <si>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</si>
  <si>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</si>
  <si>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</si>
  <si>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</si>
  <si>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</si>
  <si>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</si>
  <si>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</si>
  <si>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</si>
  <si>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</si>
  <si>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</si>
  <si>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</si>
  <si>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</si>
  <si>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</si>
  <si>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</si>
  <si>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</si>
  <si>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</si>
  <si>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</si>
  <si>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</si>
  <si>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</si>
  <si>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</si>
  <si>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</si>
  <si>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</si>
  <si>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</si>
  <si>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</si>
  <si>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</si>
  <si>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</si>
  <si>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</si>
  <si>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</si>
  <si>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</si>
  <si>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</si>
  <si>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</si>
  <si>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</si>
  <si>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</si>
  <si>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</si>
  <si>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</si>
  <si>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</si>
  <si>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</si>
  <si>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</si>
  <si>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</si>
  <si>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</si>
  <si>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</si>
  <si>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</si>
  <si>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</si>
  <si>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</si>
  <si>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</si>
  <si>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</si>
  <si>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</si>
  <si>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</si>
  <si>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</si>
  <si>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</si>
  <si>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</si>
  <si>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</si>
  <si>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</si>
  <si>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</si>
  <si>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</si>
  <si>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</si>
  <si>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</si>
  <si>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</si>
  <si>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</si>
  <si>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</si>
  <si>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</si>
  <si>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</si>
  <si>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</si>
  <si>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</si>
  <si>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</si>
  <si>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</si>
  <si>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</si>
  <si>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</si>
  <si>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</si>
  <si>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</si>
  <si>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</si>
  <si>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</si>
  <si>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</si>
  <si>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</si>
  <si>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</si>
  <si>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</si>
  <si>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</si>
  <si>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</si>
  <si>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</si>
  <si>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</si>
  <si>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</si>
  <si>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</si>
  <si>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</si>
  <si>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</si>
  <si>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</si>
  <si>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</si>
  <si>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</si>
  <si>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</si>
  <si>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</si>
  <si>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</si>
  <si>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</si>
  <si>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</si>
  <si>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</si>
  <si>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</si>
  <si>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</si>
  <si>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</si>
  <si>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</si>
  <si>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</si>
  <si>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</si>
  <si>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</si>
  <si>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</si>
  <si>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</si>
  <si>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</si>
  <si>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</si>
  <si>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</si>
  <si>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</si>
  <si>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</si>
  <si>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</si>
  <si>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</si>
  <si>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</si>
  <si>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</si>
  <si>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</si>
  <si>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</si>
  <si>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</si>
  <si>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</si>
  <si>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</si>
  <si>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</si>
  <si>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</si>
  <si>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</si>
  <si>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</si>
  <si>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</si>
  <si>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</si>
  <si>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</si>
  <si>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</si>
  <si>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</si>
  <si>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</si>
  <si>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</si>
  <si>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</si>
  <si>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</si>
  <si>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</si>
  <si>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</si>
  <si>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</si>
  <si>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</si>
  <si>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</si>
  <si>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</si>
  <si>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</si>
  <si>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</si>
  <si>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</si>
  <si>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</si>
  <si>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</si>
  <si>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</si>
  <si>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</si>
  <si>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</si>
  <si>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</si>
  <si>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</si>
  <si>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</si>
  <si>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</si>
  <si>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</si>
  <si>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</si>
  <si>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</si>
  <si>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</si>
  <si>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</si>
  <si>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</si>
  <si>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</si>
  <si>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</si>
  <si>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</si>
  <si>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</si>
  <si>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</si>
  <si>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</si>
  <si>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</si>
  <si>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</si>
  <si>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</si>
  <si>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</si>
  <si>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</si>
  <si>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</si>
  <si>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</si>
  <si>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</si>
  <si>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</si>
  <si>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</si>
  <si>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</si>
  <si>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</si>
  <si>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</si>
  <si>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</si>
  <si>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</si>
  <si>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</si>
  <si>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</si>
  <si>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</si>
  <si>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</si>
  <si>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</si>
  <si>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</si>
  <si>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</si>
  <si>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</si>
  <si>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</si>
  <si>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</si>
  <si>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</si>
  <si>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</si>
  <si>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</si>
  <si>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</si>
  <si>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</si>
  <si>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</si>
  <si>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</si>
  <si>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</si>
  <si>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</si>
  <si>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</si>
  <si>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</si>
  <si>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</si>
  <si>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</si>
  <si>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</si>
  <si>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</si>
  <si>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</si>
  <si>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</si>
  <si>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</si>
  <si>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</si>
  <si>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</si>
  <si>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</si>
  <si>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</si>
  <si>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</si>
  <si>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</si>
  <si>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</si>
  <si>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</si>
  <si>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</si>
  <si>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</si>
  <si>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</si>
  <si>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</si>
  <si>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</si>
  <si>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</si>
  <si>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</si>
  <si>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</si>
  <si>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</si>
  <si>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</si>
  <si>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</si>
  <si>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</si>
  <si>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</si>
  <si>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</si>
  <si>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</si>
  <si>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</si>
  <si>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</si>
  <si>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</si>
  <si>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</si>
  <si>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</si>
  <si>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</si>
  <si>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</si>
  <si>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</si>
  <si>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</si>
  <si>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</si>
  <si>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</si>
  <si>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</si>
  <si>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</si>
  <si>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</si>
  <si>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</si>
  <si>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</si>
  <si>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</si>
  <si>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</si>
  <si>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</si>
  <si>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</si>
  <si>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</si>
  <si>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</si>
  <si>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</si>
  <si>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</si>
  <si>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</si>
  <si>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</si>
  <si>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</si>
  <si>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</si>
  <si>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</si>
  <si>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</si>
  <si>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</si>
  <si>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</si>
  <si>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</si>
  <si>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</si>
  <si>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</si>
  <si>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</si>
  <si>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</si>
  <si>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</si>
  <si>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</si>
  <si>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</si>
  <si>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</si>
  <si>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</si>
  <si>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</si>
  <si>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</si>
  <si>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</si>
  <si>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</si>
  <si>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</si>
  <si>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</si>
  <si>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</si>
  <si>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</si>
  <si>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</si>
  <si>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</si>
  <si>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</si>
  <si>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</si>
  <si>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</si>
  <si>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</si>
  <si>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</si>
  <si>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</si>
  <si>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</si>
  <si>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</si>
  <si>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</si>
  <si>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</si>
  <si>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</si>
  <si>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</si>
  <si>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</si>
  <si>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</si>
  <si>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</si>
  <si>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</si>
  <si>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</si>
  <si>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</si>
  <si>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</si>
  <si>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</si>
  <si>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</si>
  <si>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</si>
  <si>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</si>
  <si>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</si>
  <si>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</si>
  <si>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</si>
  <si>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</si>
  <si>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</si>
  <si>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</si>
  <si>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</si>
  <si>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</si>
  <si>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</si>
  <si>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</si>
  <si>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</si>
  <si>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</si>
  <si>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</si>
  <si>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</si>
  <si>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</si>
  <si>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</si>
  <si>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</si>
  <si>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</si>
  <si>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</si>
  <si>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</si>
  <si>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</si>
  <si>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</si>
  <si>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</si>
  <si>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</si>
  <si>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</si>
  <si>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</si>
  <si>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</si>
  <si>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</si>
  <si>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</si>
  <si>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</si>
  <si>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</si>
  <si>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</si>
  <si>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</si>
  <si>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</si>
  <si>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</si>
  <si>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</si>
  <si>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</si>
  <si>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</si>
  <si>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</si>
  <si>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</si>
  <si>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</si>
  <si>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</si>
  <si>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</si>
  <si>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</si>
  <si>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</si>
  <si>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</si>
  <si>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</si>
  <si>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</si>
  <si>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</si>
  <si>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</si>
  <si>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</si>
  <si>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</si>
  <si>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</si>
  <si>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</si>
  <si>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</si>
  <si>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</si>
  <si>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</si>
  <si>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</si>
  <si>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</si>
  <si>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</si>
  <si>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</si>
  <si>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</si>
  <si>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</si>
  <si>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</si>
  <si>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</si>
  <si>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</si>
  <si>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</si>
  <si>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</si>
  <si>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</si>
  <si>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</si>
  <si>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</si>
  <si>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</si>
  <si>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</si>
  <si>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</si>
  <si>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</si>
  <si>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</si>
  <si>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</si>
  <si>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</si>
  <si>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</si>
  <si>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</si>
  <si>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</si>
  <si>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</si>
  <si>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</si>
  <si>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</si>
  <si>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</si>
  <si>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</si>
  <si>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</si>
  <si>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</si>
  <si>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</si>
  <si>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</si>
  <si>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</si>
  <si>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</si>
  <si>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</si>
  <si>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</si>
  <si>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</si>
  <si>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</si>
  <si>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</si>
  <si>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</si>
  <si>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</si>
  <si>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</si>
  <si>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</si>
  <si>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</si>
  <si>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</si>
  <si>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</si>
  <si>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</si>
  <si>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</si>
  <si>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</si>
  <si>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</si>
  <si>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</si>
  <si>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</si>
  <si>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</si>
  <si>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</si>
  <si>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</si>
  <si>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</si>
  <si>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</si>
  <si>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</si>
  <si>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</si>
  <si>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</si>
  <si>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</si>
  <si>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</si>
  <si>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</si>
  <si>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</si>
  <si>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</si>
  <si>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</si>
  <si>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</si>
  <si>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</si>
  <si>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</si>
  <si>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</si>
  <si>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</si>
  <si>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</si>
  <si>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</si>
  <si>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</si>
  <si>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</si>
  <si>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</si>
  <si>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</si>
  <si>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</si>
  <si>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</si>
  <si>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</si>
  <si>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</si>
  <si>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</si>
  <si>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</si>
  <si>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</si>
  <si>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</si>
  <si>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</si>
  <si>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</si>
  <si>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</si>
  <si>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</si>
  <si>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</si>
  <si>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</si>
  <si>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</si>
  <si>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</si>
  <si>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</si>
  <si>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</si>
  <si>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</si>
  <si>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</si>
  <si>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</si>
  <si>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</si>
  <si>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</si>
  <si>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</si>
  <si>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</si>
  <si>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</si>
  <si>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</si>
  <si>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</si>
  <si>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</si>
  <si>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</si>
  <si>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</si>
  <si>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</si>
  <si>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</si>
  <si>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</si>
  <si>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</si>
  <si>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</si>
  <si>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</si>
  <si>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</si>
  <si>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</si>
  <si>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</si>
  <si>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</si>
  <si>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</si>
  <si>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</si>
  <si>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</si>
  <si>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</si>
  <si>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</si>
  <si>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</si>
  <si>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</si>
  <si>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</si>
  <si>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</si>
  <si>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</si>
  <si>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</si>
  <si>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</si>
  <si>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</si>
  <si>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</si>
  <si>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</si>
  <si>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</si>
  <si>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</si>
  <si>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</si>
  <si>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</si>
  <si>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</si>
  <si>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</si>
  <si>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</si>
  <si>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</si>
  <si>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</si>
  <si>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</si>
  <si>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</si>
  <si>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</si>
  <si>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</si>
  <si>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</si>
  <si>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</si>
  <si>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</si>
  <si>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</si>
  <si>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</si>
  <si>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</si>
  <si>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</si>
  <si>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</si>
  <si>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</si>
  <si>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</si>
  <si>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</si>
  <si>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</si>
  <si>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</si>
  <si>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</si>
  <si>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</si>
  <si>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</si>
  <si>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</si>
  <si>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</si>
  <si>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</si>
  <si>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</si>
  <si>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</si>
  <si>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</si>
  <si>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</si>
  <si>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</si>
  <si>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</si>
  <si>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</si>
  <si>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</si>
  <si>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</si>
  <si>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</si>
  <si>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</si>
  <si>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</si>
  <si>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</si>
  <si>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</si>
  <si>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</si>
  <si>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</si>
  <si>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</si>
  <si>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</si>
  <si>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</si>
  <si>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</si>
  <si>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</si>
  <si>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</si>
  <si>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</si>
  <si>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</si>
  <si>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</si>
  <si>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</si>
  <si>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</si>
  <si>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</si>
  <si>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</si>
  <si>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</si>
  <si>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</si>
  <si>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</si>
  <si>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</si>
  <si>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</si>
  <si>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</si>
  <si>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</si>
  <si>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</si>
  <si>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</si>
  <si>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</si>
  <si>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</si>
  <si>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</si>
  <si>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</si>
  <si>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</si>
  <si>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</si>
  <si>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</si>
  <si>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</si>
  <si>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</si>
  <si>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</si>
  <si>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</si>
  <si>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</si>
  <si>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</si>
  <si>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</si>
  <si>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</si>
  <si>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</si>
  <si>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</si>
  <si>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</si>
  <si>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</si>
  <si>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</si>
  <si>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</si>
  <si>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</si>
  <si>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</si>
  <si>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</si>
  <si>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</si>
  <si>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</si>
  <si>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</si>
  <si>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</si>
  <si>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</si>
  <si>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</si>
  <si>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</si>
  <si>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</si>
  <si>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</si>
  <si>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</si>
  <si>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</si>
  <si>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</si>
  <si>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</si>
  <si>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</si>
  <si>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</si>
  <si>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</si>
  <si>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</si>
  <si>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</si>
  <si>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</si>
  <si>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</si>
  <si>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</si>
  <si>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</si>
  <si>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</si>
  <si>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</si>
  <si>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</si>
  <si>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</si>
  <si>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</si>
  <si>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</si>
  <si>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</si>
  <si>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</si>
  <si>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</si>
  <si>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</si>
  <si>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</si>
  <si>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</si>
  <si>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</si>
  <si>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</si>
  <si>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</si>
  <si>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</si>
  <si>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</si>
  <si>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</si>
  <si>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</si>
  <si>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</si>
  <si>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</si>
  <si>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</si>
  <si>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</si>
  <si>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</si>
  <si>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</si>
  <si>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</si>
  <si>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</si>
  <si>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</si>
  <si>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</si>
  <si>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</si>
  <si>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</si>
  <si>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</si>
  <si>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</si>
  <si>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</si>
  <si>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</si>
  <si>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</si>
  <si>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</si>
  <si>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</si>
  <si>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</si>
  <si>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</si>
  <si>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</si>
  <si>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</si>
  <si>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</si>
  <si>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</si>
  <si>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</si>
  <si>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</si>
  <si>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</si>
  <si>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</si>
  <si>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</si>
  <si>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</si>
  <si>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</si>
  <si>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</si>
  <si>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</si>
  <si>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</si>
  <si>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</si>
  <si>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</si>
  <si>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</si>
  <si>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</si>
  <si>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</si>
  <si>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</si>
  <si>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</si>
  <si>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</si>
  <si>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</si>
  <si>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</si>
  <si>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</si>
  <si>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</si>
  <si>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</si>
  <si>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</si>
  <si>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</si>
  <si>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</si>
  <si>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</si>
  <si>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</si>
  <si>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</si>
  <si>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</si>
  <si>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</si>
  <si>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</si>
  <si>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</si>
  <si>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</si>
  <si>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</si>
  <si>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</si>
  <si>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</si>
  <si>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</si>
  <si>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</si>
  <si>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</si>
  <si>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</si>
  <si>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</si>
  <si>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</si>
  <si>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</si>
  <si>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</si>
  <si>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</si>
  <si>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</si>
  <si>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</si>
  <si>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</si>
  <si>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</si>
  <si>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</si>
  <si>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</si>
  <si>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</si>
  <si>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</si>
  <si>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</si>
  <si>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</si>
  <si>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</si>
  <si>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</si>
  <si>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</si>
  <si>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</si>
  <si>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</si>
  <si>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</si>
  <si>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</si>
  <si>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</si>
  <si>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</si>
  <si>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</si>
  <si>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</si>
  <si>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</si>
  <si>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</si>
  <si>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</si>
  <si>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</si>
  <si>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</si>
  <si>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</si>
  <si>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</si>
  <si>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</si>
  <si>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</si>
  <si>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</si>
  <si>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</si>
  <si>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</si>
  <si>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</si>
  <si>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</si>
  <si>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</si>
  <si>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</si>
  <si>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</si>
  <si>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</si>
  <si>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</si>
  <si>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</si>
  <si>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</si>
  <si>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</si>
  <si>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</si>
  <si>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</si>
  <si>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</si>
  <si>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</si>
  <si>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</si>
  <si>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</si>
  <si>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</si>
  <si>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</si>
  <si>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</si>
  <si>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</si>
  <si>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</si>
  <si>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</si>
  <si>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</si>
  <si>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</si>
  <si>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</si>
  <si>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</si>
  <si>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</si>
  <si>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</si>
  <si>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</si>
  <si>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</si>
  <si>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</si>
  <si>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</si>
  <si>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</si>
  <si>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</si>
  <si>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</si>
  <si>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</si>
  <si>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</si>
  <si>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</si>
  <si>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</si>
  <si>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</si>
  <si>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</si>
  <si>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</si>
  <si>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</si>
  <si>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</si>
  <si>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</si>
  <si>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</si>
  <si>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</si>
  <si>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</si>
  <si>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</si>
  <si>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</si>
  <si>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</si>
  <si>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</si>
  <si>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</si>
  <si>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</si>
  <si>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</si>
  <si>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</si>
  <si>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</si>
  <si>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</si>
  <si>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</si>
  <si>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</si>
  <si>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</si>
  <si>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</si>
  <si>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</si>
  <si>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</si>
  <si>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</si>
  <si>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</si>
  <si>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</si>
  <si>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</si>
  <si>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</si>
  <si>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</si>
  <si>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</si>
  <si>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</si>
  <si>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</si>
  <si>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</si>
  <si>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</si>
  <si>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</si>
  <si>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</si>
  <si>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</si>
  <si>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</si>
  <si>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</si>
  <si>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</si>
  <si>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</si>
  <si>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</si>
  <si>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</si>
  <si>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</si>
  <si>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</si>
  <si>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</si>
  <si>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</si>
  <si>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</si>
  <si>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</si>
  <si>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</si>
  <si>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</si>
  <si>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</si>
  <si>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</si>
  <si>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</si>
  <si>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</si>
  <si>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</si>
  <si>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</si>
  <si>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</si>
  <si>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</si>
  <si>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</si>
  <si>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</si>
  <si>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</si>
  <si>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</si>
  <si>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</si>
  <si>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</si>
  <si>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</si>
  <si>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</si>
  <si>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</si>
  <si>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</si>
  <si>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</si>
  <si>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</si>
  <si>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</si>
  <si>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</si>
  <si>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</si>
  <si>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</si>
  <si>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</si>
  <si>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</si>
  <si>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</si>
  <si>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</si>
  <si>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</si>
  <si>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</si>
  <si>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</si>
  <si>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</si>
  <si>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</si>
  <si>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</si>
  <si>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</si>
  <si>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</si>
  <si>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</si>
  <si>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</si>
  <si>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</si>
  <si>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</si>
  <si>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</si>
  <si>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</si>
  <si>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</si>
  <si>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</si>
  <si>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</si>
  <si>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</si>
  <si>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</si>
  <si>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</si>
  <si>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</si>
  <si>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</si>
  <si>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</si>
  <si>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</si>
  <si>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</si>
  <si>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</si>
  <si>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</si>
  <si>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</si>
  <si>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</si>
  <si>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</si>
  <si>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</si>
  <si>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</si>
  <si>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</si>
  <si>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</si>
  <si>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</si>
  <si>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</si>
  <si>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</si>
  <si>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</si>
  <si>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</si>
  <si>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</si>
  <si>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</si>
  <si>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</si>
  <si>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</si>
  <si>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</si>
  <si>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</si>
  <si>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</si>
  <si>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</si>
  <si>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</si>
  <si>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</si>
  <si>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</si>
  <si>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</si>
  <si>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</si>
  <si>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</si>
  <si>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</si>
  <si>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</si>
  <si>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</si>
  <si>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</si>
  <si>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</si>
  <si>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</si>
  <si>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</si>
  <si>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</si>
  <si>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</si>
  <si>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</si>
  <si>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</si>
  <si>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</si>
  <si>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</si>
  <si>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</si>
  <si>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</si>
  <si>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</si>
  <si>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</si>
  <si>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</si>
  <si>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</si>
  <si>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</si>
  <si>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</si>
  <si>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</si>
  <si>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</si>
  <si>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</si>
  <si>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</si>
  <si>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</si>
  <si>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</si>
  <si>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</si>
  <si>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</si>
  <si>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</si>
  <si>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</si>
  <si>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</si>
  <si>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</si>
  <si>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</si>
  <si>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</si>
  <si>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</si>
  <si>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</si>
  <si>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</si>
  <si>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</si>
  <si>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</si>
  <si>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</si>
  <si>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</si>
  <si>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</si>
  <si>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</si>
  <si>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</si>
  <si>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</si>
  <si>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</si>
  <si>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</si>
  <si>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</si>
  <si>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</si>
  <si>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</si>
  <si>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</si>
  <si>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</si>
  <si>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</si>
  <si>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</si>
  <si>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</si>
  <si>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</si>
  <si>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</si>
  <si>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</si>
  <si>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</si>
  <si>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</si>
  <si>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</si>
  <si>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</si>
  <si>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</si>
  <si>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</si>
  <si>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</si>
  <si>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</si>
  <si>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</si>
  <si>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</si>
  <si>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</si>
  <si>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</si>
  <si>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</si>
  <si>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</si>
  <si>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</si>
  <si>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</si>
  <si>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</si>
  <si>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</si>
  <si>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</si>
  <si>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</si>
  <si>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</si>
  <si>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</si>
  <si>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</si>
  <si>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</si>
  <si>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</si>
  <si>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</si>
  <si>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</si>
  <si>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</si>
  <si>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</si>
  <si>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</si>
  <si>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</si>
  <si>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</si>
  <si>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</si>
  <si>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</si>
  <si>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</si>
  <si>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</si>
  <si>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</si>
  <si>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</si>
  <si>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</si>
  <si>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</si>
  <si>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</si>
  <si>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</si>
  <si>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</si>
  <si>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</si>
  <si>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</si>
  <si>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</si>
  <si>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</si>
  <si>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</si>
  <si>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</si>
  <si>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</si>
  <si>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</si>
  <si>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</si>
  <si>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</si>
  <si>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</si>
  <si>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</si>
  <si>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</si>
  <si>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</si>
  <si>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</si>
  <si>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</si>
  <si>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</si>
  <si>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</si>
  <si>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</si>
  <si>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</si>
  <si>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</si>
  <si>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</si>
  <si>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</si>
  <si>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</si>
  <si>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</si>
  <si>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</si>
  <si>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</si>
  <si>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</si>
  <si>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</si>
  <si>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</si>
  <si>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</si>
  <si>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</si>
  <si>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</si>
  <si>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</si>
  <si>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</si>
  <si>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</si>
  <si>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</si>
  <si>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</si>
  <si>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</si>
  <si>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</si>
  <si>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</si>
  <si>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</si>
  <si>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</si>
  <si>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</si>
  <si>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</si>
  <si>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</si>
  <si>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</si>
  <si>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</si>
  <si>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</si>
  <si>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</si>
  <si>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</si>
  <si>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</si>
  <si>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</si>
  <si>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</si>
  <si>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</si>
  <si>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</si>
  <si>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</si>
  <si>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</si>
  <si>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</si>
  <si>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</si>
  <si>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</si>
  <si>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</si>
  <si>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</si>
  <si>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</si>
  <si>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</si>
  <si>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</si>
  <si>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</si>
  <si>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</si>
  <si>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</si>
  <si>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</si>
  <si>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</si>
  <si>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</si>
  <si>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</si>
  <si>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</si>
  <si>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</si>
  <si>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</si>
  <si>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</si>
  <si>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</si>
  <si>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</si>
  <si>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</si>
  <si>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</si>
  <si>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</si>
  <si>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</si>
  <si>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</si>
  <si>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</si>
  <si>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</si>
  <si>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</si>
  <si>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</si>
  <si>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</si>
  <si>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</si>
  <si>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</si>
  <si>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</si>
  <si>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</si>
  <si>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</si>
  <si>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</si>
  <si>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</si>
  <si>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</si>
  <si>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</si>
  <si>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</si>
  <si>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</si>
  <si>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</si>
  <si>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</si>
  <si>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</si>
  <si>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</si>
  <si>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</si>
  <si>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</si>
  <si>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</si>
  <si>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</si>
  <si>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</si>
  <si>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</si>
  <si>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</si>
  <si>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</si>
  <si>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</si>
  <si>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</si>
  <si>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</si>
  <si>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</si>
  <si>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</si>
  <si>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</si>
  <si>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</si>
  <si>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</si>
  <si>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</si>
  <si>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</si>
  <si>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</si>
  <si>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</si>
  <si>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</si>
  <si>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</si>
  <si>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</si>
  <si>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</si>
  <si>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</si>
  <si>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</si>
  <si>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</si>
  <si>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</si>
  <si>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</si>
  <si>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</si>
  <si>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</si>
  <si>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</si>
  <si>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</si>
  <si>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</si>
  <si>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</si>
  <si>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</si>
  <si>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</si>
  <si>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</si>
  <si>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</si>
  <si>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</si>
  <si>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</si>
  <si>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</si>
  <si>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</si>
  <si>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</si>
  <si>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</si>
  <si>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</si>
  <si>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</si>
  <si>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</si>
  <si>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</si>
  <si>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</si>
  <si>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</si>
  <si>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</si>
  <si>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</si>
  <si>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</si>
  <si>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</si>
  <si>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</si>
  <si>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</si>
  <si>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</si>
  <si>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</si>
  <si>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</si>
  <si>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</si>
  <si>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</si>
  <si>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</si>
  <si>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</si>
  <si>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</si>
  <si>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</si>
  <si>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</si>
  <si>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</si>
  <si>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</si>
  <si>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</si>
  <si>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</si>
  <si>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</si>
  <si>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</si>
  <si>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</si>
  <si>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</si>
  <si>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</si>
  <si>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</si>
  <si>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</si>
  <si>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</si>
  <si>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</si>
  <si>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</si>
  <si>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</si>
  <si>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</si>
  <si>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</si>
  <si>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</si>
  <si>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</si>
  <si>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</si>
  <si>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</si>
  <si>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</si>
  <si>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</si>
  <si>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</si>
  <si>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</si>
  <si>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</si>
  <si>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</si>
  <si>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</si>
  <si>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</si>
  <si>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</si>
  <si>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</si>
  <si>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</si>
  <si>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</si>
  <si>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</si>
  <si>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</si>
  <si>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</si>
  <si>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</si>
  <si>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</si>
  <si>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</si>
  <si>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</si>
  <si>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</si>
  <si>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</si>
  <si>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</si>
  <si>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</si>
  <si>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</si>
  <si>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</si>
  <si>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</si>
  <si>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</si>
  <si>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</si>
  <si>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</si>
  <si>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</si>
  <si>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</si>
  <si>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</si>
  <si>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</si>
  <si>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</si>
  <si>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</si>
  <si>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</si>
  <si>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</si>
  <si>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</si>
  <si>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</si>
  <si>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</si>
  <si>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</si>
  <si>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</si>
  <si>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</si>
  <si>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</si>
  <si>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</si>
  <si>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</si>
  <si>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</si>
  <si>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</si>
  <si>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</si>
  <si>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</si>
  <si>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</si>
  <si>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</si>
  <si>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</si>
  <si>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</si>
  <si>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</si>
  <si>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</si>
  <si>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</si>
  <si>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</si>
  <si>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</si>
  <si>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</si>
  <si>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</si>
  <si>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</si>
  <si>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</si>
  <si>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</si>
  <si>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</si>
  <si>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</si>
  <si>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</si>
  <si>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</si>
  <si>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</si>
  <si>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</si>
  <si>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</si>
  <si>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</si>
  <si>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</si>
  <si>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</si>
  <si>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</si>
  <si>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</si>
  <si>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</si>
  <si>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</si>
  <si>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</si>
  <si>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</si>
  <si>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</si>
  <si>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</si>
  <si>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</si>
  <si>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</si>
  <si>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</si>
  <si>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</si>
  <si>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</si>
  <si>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</si>
  <si>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</si>
  <si>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</si>
  <si>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</si>
  <si>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</si>
  <si>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</si>
  <si>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</si>
  <si>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</si>
  <si>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</si>
  <si>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</si>
  <si>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</si>
  <si>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</si>
  <si>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</si>
  <si>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</si>
  <si>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</si>
  <si>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</si>
  <si>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</si>
  <si>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</si>
  <si>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</si>
  <si>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</si>
  <si>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</si>
  <si>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</si>
  <si>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</si>
  <si>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</si>
  <si>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</si>
  <si>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</si>
  <si>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</si>
  <si>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</si>
  <si>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</si>
  <si>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</si>
  <si>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</si>
  <si>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</si>
  <si>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</si>
  <si>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</si>
  <si>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</si>
  <si>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</si>
  <si>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</si>
  <si>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</si>
  <si>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</si>
  <si>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</si>
  <si>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</si>
  <si>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</si>
  <si>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</si>
  <si>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</si>
  <si>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</si>
  <si>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</si>
  <si>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</si>
  <si>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</si>
  <si>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</si>
  <si>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</si>
  <si>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</si>
  <si>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</si>
  <si>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</si>
  <si>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</si>
  <si>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</si>
  <si>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</si>
  <si>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</si>
  <si>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</si>
  <si>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</si>
  <si>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</si>
  <si>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</si>
  <si>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</si>
  <si>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</si>
  <si>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</si>
  <si>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</si>
  <si>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</si>
  <si>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</si>
  <si>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</si>
  <si>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</si>
  <si>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</si>
  <si>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</si>
  <si>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</si>
  <si>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</si>
  <si>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</si>
  <si>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</si>
  <si>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</si>
  <si>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</si>
  <si>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</si>
  <si>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</si>
  <si>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</si>
  <si>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</si>
  <si>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</si>
  <si>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</si>
  <si>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</si>
  <si>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</si>
  <si>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</si>
  <si>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</si>
  <si>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</si>
  <si>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</si>
  <si>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</si>
  <si>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</si>
  <si>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</si>
  <si>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</si>
  <si>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</si>
  <si>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</si>
  <si>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</si>
  <si>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</si>
  <si>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</si>
  <si>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</si>
  <si>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</si>
  <si>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</si>
  <si>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</si>
  <si>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</si>
  <si>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</si>
  <si>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</si>
  <si>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</si>
  <si>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</si>
  <si>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</si>
  <si>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</si>
  <si>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</si>
  <si>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</si>
  <si>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</si>
  <si>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</si>
  <si>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</si>
  <si>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</si>
  <si>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</si>
  <si>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</si>
  <si>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</si>
  <si>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</si>
  <si>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</si>
  <si>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</si>
  <si>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</si>
  <si>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</si>
  <si>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</si>
  <si>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</si>
  <si>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</si>
  <si>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</si>
  <si>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</si>
  <si>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</si>
  <si>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</si>
  <si>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</si>
  <si>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</si>
  <si>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</si>
  <si>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</si>
  <si>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</si>
  <si>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</si>
  <si>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</si>
  <si>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</si>
  <si>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</si>
  <si>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</si>
  <si>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</si>
  <si>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</si>
  <si>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</si>
  <si>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</si>
  <si>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</si>
  <si>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</si>
  <si>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</si>
  <si>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</si>
  <si>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</si>
  <si>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</si>
  <si>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</si>
  <si>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</si>
  <si>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</si>
  <si>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</si>
  <si>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</si>
  <si>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</si>
  <si>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</si>
  <si>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</si>
  <si>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</si>
  <si>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</si>
  <si>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</si>
  <si>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</si>
  <si>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</si>
  <si>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</si>
  <si>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</si>
  <si>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</si>
  <si>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</si>
  <si>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</si>
  <si>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</si>
  <si>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</si>
  <si>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</si>
  <si>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</si>
  <si>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</si>
  <si>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</si>
  <si>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</si>
  <si>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</si>
  <si>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</si>
  <si>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</si>
  <si>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</si>
  <si>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</si>
  <si>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</si>
  <si>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</si>
  <si>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</si>
  <si>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</si>
  <si>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</si>
  <si>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</si>
  <si>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</si>
  <si>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</si>
  <si>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</si>
  <si>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</si>
  <si>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</si>
  <si>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</si>
  <si>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</si>
  <si>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</si>
  <si>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</si>
  <si>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</si>
  <si>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</si>
  <si>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</si>
  <si>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</si>
  <si>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</si>
  <si>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</si>
  <si>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</si>
  <si>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</si>
  <si>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</si>
  <si>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</si>
  <si>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</si>
  <si>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</si>
  <si>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</si>
  <si>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</si>
  <si>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</si>
  <si>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</si>
  <si>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</si>
  <si>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</si>
  <si>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</si>
  <si>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</si>
  <si>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</si>
  <si>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</si>
  <si>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</si>
  <si>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</si>
  <si>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</si>
  <si>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</si>
  <si>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</si>
  <si>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</si>
  <si>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</si>
  <si>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</si>
  <si>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</si>
  <si>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</si>
  <si>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</si>
  <si>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</si>
  <si>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</si>
  <si>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</si>
  <si>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</si>
  <si>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</si>
  <si>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</si>
  <si>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</si>
  <si>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</si>
  <si>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</si>
  <si>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</si>
  <si>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</si>
  <si>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</si>
  <si>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</si>
  <si>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</si>
  <si>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</si>
  <si>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</si>
  <si>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</si>
  <si>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</si>
  <si>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</si>
  <si>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</si>
  <si>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</si>
  <si>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</si>
  <si>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</si>
  <si>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</si>
  <si>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</si>
  <si>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</si>
  <si>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</si>
  <si>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</si>
  <si>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</si>
  <si>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</si>
  <si>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</si>
  <si>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</si>
  <si>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</si>
  <si>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</si>
  <si>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</si>
  <si>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</si>
  <si>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</si>
  <si>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</si>
  <si>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</si>
  <si>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</si>
  <si>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</si>
  <si>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</si>
  <si>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</si>
  <si>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</si>
  <si>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</si>
  <si>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</si>
  <si>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</si>
  <si>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</si>
  <si>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</si>
  <si>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</si>
  <si>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</si>
  <si>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</si>
  <si>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</si>
  <si>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</si>
  <si>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</si>
  <si>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</si>
  <si>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</si>
  <si>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</si>
  <si>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</si>
  <si>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</si>
  <si>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</si>
  <si>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</si>
  <si>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</si>
  <si>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</si>
  <si>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</si>
  <si>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</si>
  <si>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</si>
  <si>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</si>
  <si>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</si>
  <si>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</si>
  <si>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</si>
  <si>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</si>
  <si>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</si>
  <si>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</si>
  <si>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</si>
  <si>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</si>
  <si>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</si>
  <si>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</si>
  <si>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</si>
  <si>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</si>
  <si>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</si>
  <si>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</si>
  <si>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</si>
  <si>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</si>
  <si>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</si>
  <si>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</si>
  <si>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</si>
  <si>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</si>
  <si>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</si>
  <si>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</si>
  <si>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</si>
  <si>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</si>
  <si>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</si>
  <si>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</si>
  <si>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</si>
  <si>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</si>
  <si>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</si>
  <si>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</si>
  <si>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</si>
  <si>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</si>
  <si>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</si>
  <si>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</si>
  <si>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</si>
  <si>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</si>
  <si>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</si>
  <si>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</si>
  <si>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</si>
  <si>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</si>
  <si>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</si>
  <si>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</si>
  <si>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</si>
  <si>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</si>
  <si>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</si>
  <si>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</si>
  <si>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</si>
  <si>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</si>
  <si>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</si>
  <si>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</si>
  <si>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</si>
  <si>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</si>
  <si>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</si>
  <si>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</si>
  <si>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</si>
  <si>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</si>
  <si>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</si>
  <si>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</si>
  <si>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</si>
  <si>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</si>
  <si>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</si>
  <si>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</si>
  <si>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</si>
  <si>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</si>
  <si>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</si>
  <si>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</si>
  <si>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</si>
  <si>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</si>
  <si>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</si>
  <si>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</si>
  <si>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</si>
  <si>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</si>
  <si>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</si>
  <si>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</si>
  <si>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</si>
  <si>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</si>
  <si>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</si>
  <si>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</si>
  <si>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</si>
  <si>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</si>
  <si>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</si>
  <si>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</si>
  <si>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</si>
  <si>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</si>
  <si>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</si>
  <si>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</si>
  <si>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</si>
  <si>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</si>
  <si>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</si>
  <si>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</si>
  <si>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</si>
  <si>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</si>
  <si>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</si>
  <si>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</si>
  <si>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</si>
  <si>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</si>
  <si>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</si>
  <si>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</si>
  <si>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</si>
  <si>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</si>
  <si>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</si>
  <si>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</si>
  <si>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</si>
  <si>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</si>
  <si>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</si>
  <si>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</si>
  <si>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</si>
  <si>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</si>
  <si>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</si>
  <si>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</si>
  <si>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</si>
  <si>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</si>
  <si>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</si>
  <si>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</si>
  <si>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</si>
  <si>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</si>
  <si>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</si>
  <si>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</si>
  <si>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</si>
  <si>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</si>
  <si>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</si>
  <si>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</si>
  <si>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</si>
  <si>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</si>
  <si>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</si>
  <si>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</si>
  <si>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</si>
  <si>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</si>
  <si>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</si>
  <si>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</si>
  <si>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</si>
  <si>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</si>
  <si>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</si>
  <si>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</si>
  <si>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</si>
  <si>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</si>
  <si>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</si>
  <si>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</si>
  <si>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</si>
  <si>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</si>
  <si>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</si>
  <si>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</si>
  <si>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</si>
  <si>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</si>
  <si>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</si>
  <si>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</si>
  <si>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</si>
  <si>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</si>
  <si>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</si>
  <si>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</si>
  <si>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</si>
  <si>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</si>
  <si>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</si>
  <si>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</si>
  <si>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</si>
  <si>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</si>
  <si>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</si>
  <si>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</si>
  <si>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</si>
  <si>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</si>
  <si>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</si>
  <si>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</si>
  <si>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</si>
  <si>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</si>
  <si>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</si>
  <si>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</si>
  <si>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</si>
  <si>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</si>
  <si>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</si>
  <si>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</si>
  <si>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</si>
  <si>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</si>
  <si>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</si>
  <si>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</si>
  <si>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</si>
  <si>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</si>
  <si>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</si>
  <si>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</si>
  <si>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</si>
  <si>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</si>
  <si>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</si>
  <si>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</si>
  <si>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</si>
  <si>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</si>
  <si>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</si>
  <si>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</si>
  <si>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</si>
  <si>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</si>
  <si>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</si>
  <si>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</si>
  <si>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</si>
  <si>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</si>
  <si>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</si>
  <si>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</si>
  <si>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</si>
  <si>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</si>
  <si>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</si>
  <si>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</si>
  <si>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</si>
  <si>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</si>
  <si>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</si>
  <si>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</si>
  <si>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</si>
  <si>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</si>
  <si>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</si>
  <si>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</si>
  <si>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</si>
  <si>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</si>
  <si>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</si>
  <si>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</si>
  <si>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</si>
  <si>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</si>
  <si>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</si>
  <si>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</si>
  <si>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</si>
  <si>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</si>
  <si>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</si>
  <si>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</si>
  <si>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</si>
  <si>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</si>
  <si>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</si>
  <si>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</si>
  <si>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</si>
  <si>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</si>
  <si>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</si>
  <si>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</si>
  <si>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</si>
  <si>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</si>
  <si>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</si>
  <si>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</si>
  <si>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</si>
  <si>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</si>
  <si>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</si>
  <si>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</si>
  <si>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</si>
  <si>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</si>
  <si>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</si>
  <si>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</si>
  <si>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</si>
  <si>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</si>
  <si>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</si>
  <si>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</si>
  <si>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</si>
  <si>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</si>
  <si>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</si>
  <si>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</si>
  <si>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</si>
  <si>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</si>
  <si>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</si>
  <si>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</si>
  <si>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</si>
  <si>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</si>
  <si>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</si>
  <si>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</si>
  <si>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</si>
  <si>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</si>
  <si>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</si>
  <si>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</si>
  <si>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</si>
  <si>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</si>
  <si>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</si>
  <si>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</si>
  <si>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</si>
  <si>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</si>
  <si>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</si>
  <si>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</si>
  <si>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</si>
  <si>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</si>
  <si>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</si>
  <si>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</si>
  <si>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</si>
  <si>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</si>
  <si>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</si>
  <si>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</si>
  <si>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</si>
  <si>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</si>
  <si>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</si>
  <si>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</si>
  <si>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</si>
  <si>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</si>
  <si>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</si>
  <si>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</si>
  <si>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</si>
  <si>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</si>
  <si>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</si>
  <si>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</si>
  <si>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</si>
  <si>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</si>
  <si>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</si>
  <si>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</si>
  <si>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</si>
  <si>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</si>
  <si>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</si>
  <si>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</si>
  <si>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</si>
  <si>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</si>
  <si>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</si>
  <si>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</si>
  <si>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</si>
  <si>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</si>
  <si>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</si>
  <si>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</si>
  <si>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</si>
  <si>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</si>
  <si>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</si>
  <si>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</si>
  <si>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</si>
  <si>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</si>
  <si>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</si>
  <si>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</si>
  <si>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</si>
  <si>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</si>
  <si>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</si>
  <si>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</si>
  <si>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</si>
  <si>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</si>
  <si>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</si>
  <si>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</si>
  <si>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</si>
  <si>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</si>
  <si>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</si>
  <si>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</si>
  <si>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</si>
  <si>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</si>
  <si>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</si>
  <si>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</si>
  <si>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</si>
  <si>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</si>
  <si>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</si>
  <si>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</si>
  <si>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</si>
  <si>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</si>
  <si>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</si>
  <si>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</si>
  <si>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</si>
  <si>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</si>
  <si>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</si>
  <si>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</si>
  <si>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</si>
  <si>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</si>
  <si>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</si>
  <si>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</si>
  <si>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</si>
  <si>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</si>
  <si>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</si>
  <si>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</si>
  <si>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</si>
  <si>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</si>
  <si>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</si>
  <si>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</si>
  <si>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</si>
  <si>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</si>
  <si>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</si>
  <si>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</si>
  <si>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</si>
  <si>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</si>
  <si>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</si>
  <si>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</si>
  <si>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</si>
  <si>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</si>
  <si>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</si>
  <si>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</si>
  <si>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</si>
  <si>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</si>
  <si>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</si>
  <si>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</si>
  <si>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</si>
  <si>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</si>
  <si>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</si>
  <si>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</si>
  <si>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</si>
  <si>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</si>
  <si>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</si>
  <si>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</si>
  <si>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</si>
  <si>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</si>
  <si>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</si>
  <si>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</si>
  <si>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</si>
  <si>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</si>
  <si>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</si>
  <si>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</si>
  <si>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</si>
  <si>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</si>
  <si>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</si>
  <si>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</si>
  <si>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</si>
  <si>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</si>
  <si>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</si>
  <si>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</si>
  <si>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</si>
  <si>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</si>
  <si>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</si>
  <si>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</si>
  <si>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</si>
  <si>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</si>
  <si>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</si>
  <si>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</si>
  <si>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</si>
  <si>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</si>
  <si>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</si>
  <si>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</si>
  <si>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</si>
  <si>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</si>
  <si>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</si>
  <si>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</si>
  <si>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</si>
  <si>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</si>
  <si>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</si>
  <si>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</si>
  <si>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</si>
  <si>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</si>
  <si>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</si>
  <si>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</si>
  <si>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</si>
  <si>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</si>
  <si>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</si>
  <si>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</si>
  <si>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</si>
  <si>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</si>
  <si>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</si>
  <si>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</si>
  <si>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</si>
  <si>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</si>
  <si>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</si>
  <si>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</si>
  <si>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</si>
  <si>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</si>
  <si>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</si>
  <si>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</si>
  <si>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</si>
  <si>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</si>
  <si>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</si>
  <si>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</si>
  <si>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</si>
  <si>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</si>
  <si>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</si>
  <si>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</si>
  <si>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</si>
  <si>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</si>
  <si>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</si>
  <si>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</si>
  <si>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</si>
  <si>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</si>
  <si>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</si>
  <si>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</si>
  <si>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</si>
  <si>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</si>
  <si>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</si>
  <si>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</si>
  <si>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</si>
  <si>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</si>
  <si>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</si>
  <si>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</si>
  <si>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</si>
  <si>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</si>
  <si>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</si>
  <si>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</si>
  <si>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</si>
  <si>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</si>
  <si>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</si>
  <si>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</si>
  <si>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</si>
  <si>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</si>
  <si>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</si>
  <si>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</si>
  <si>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</si>
  <si>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</si>
  <si>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</si>
  <si>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</si>
  <si>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</si>
  <si>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</si>
  <si>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</si>
  <si>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</si>
  <si>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</si>
  <si>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</si>
  <si>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</si>
  <si>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</si>
  <si>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</si>
  <si>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</si>
  <si>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</si>
  <si>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</si>
  <si>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</si>
  <si>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</si>
  <si>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</si>
  <si>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</si>
  <si>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</si>
  <si>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</si>
  <si>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</si>
  <si>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</si>
  <si>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</si>
  <si>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</si>
  <si>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</si>
  <si>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</si>
  <si>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</si>
  <si>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</si>
  <si>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</si>
  <si>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</si>
  <si>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</si>
  <si>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</si>
  <si>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</si>
  <si>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</si>
  <si>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</si>
  <si>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</si>
  <si>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</si>
  <si>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</si>
  <si>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</si>
  <si>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</si>
  <si>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</si>
  <si>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</si>
  <si>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</si>
  <si>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</si>
  <si>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</si>
  <si>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</si>
  <si>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</si>
  <si>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</si>
  <si>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</si>
  <si>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</si>
  <si>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</si>
  <si>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</si>
  <si>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</si>
  <si>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</si>
  <si>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</si>
  <si>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</si>
  <si>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</si>
  <si>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</si>
  <si>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</si>
  <si>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</si>
  <si>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</si>
  <si>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</si>
  <si>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</si>
  <si>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</si>
  <si>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</si>
  <si>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</si>
  <si>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</si>
  <si>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</si>
  <si>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</si>
  <si>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</si>
  <si>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</si>
  <si>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</si>
  <si>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</si>
  <si>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</si>
  <si>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</si>
  <si>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</si>
  <si>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</si>
  <si>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</si>
  <si>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</si>
  <si>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</si>
  <si>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</si>
  <si>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</si>
  <si>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</si>
  <si>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</si>
  <si>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</si>
  <si>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</si>
  <si>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</si>
  <si>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</si>
  <si>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</si>
  <si>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</si>
  <si>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</si>
  <si>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</si>
  <si>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</si>
  <si>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</si>
  <si>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</si>
  <si>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</si>
  <si>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</si>
  <si>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</si>
  <si>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</si>
  <si>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</si>
  <si>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</si>
  <si>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</si>
  <si>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</si>
  <si>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</si>
  <si>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</si>
  <si>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</si>
  <si>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</si>
  <si>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</si>
  <si>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</si>
  <si>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</si>
  <si>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</si>
  <si>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</si>
  <si>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</si>
  <si>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</si>
  <si>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</si>
  <si>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</si>
  <si>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</si>
  <si>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</si>
  <si>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</si>
  <si>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</si>
  <si>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</si>
  <si>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</si>
  <si>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</si>
  <si>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</si>
  <si>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</si>
  <si>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</si>
  <si>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</si>
  <si>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</si>
  <si>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</si>
  <si>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</si>
  <si>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</si>
  <si>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</si>
  <si>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</si>
  <si>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</si>
  <si>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</si>
  <si>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</si>
  <si>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</si>
  <si>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</si>
  <si>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</si>
  <si>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</si>
  <si>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</si>
  <si>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</si>
  <si>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</si>
  <si>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</si>
  <si>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</si>
  <si>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</si>
  <si>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</si>
  <si>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</si>
  <si>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</si>
  <si>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</si>
  <si>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</si>
  <si>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</si>
  <si>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</si>
  <si>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</si>
  <si>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</si>
  <si>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</si>
  <si>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</si>
  <si>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</si>
  <si>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</si>
  <si>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</si>
  <si>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</si>
  <si>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</si>
  <si>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</si>
  <si>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</si>
  <si>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</si>
  <si>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</si>
  <si>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</si>
  <si>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</si>
  <si>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</si>
  <si>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</si>
  <si>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</si>
  <si>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</si>
  <si>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</si>
  <si>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</si>
  <si>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</si>
  <si>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</si>
  <si>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</si>
  <si>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</si>
  <si>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</si>
  <si>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</si>
  <si>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</si>
  <si>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</si>
  <si>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</si>
  <si>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</si>
  <si>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</si>
  <si>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</si>
  <si>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</si>
  <si>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</si>
  <si>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</si>
  <si>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</si>
  <si>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</si>
  <si>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</si>
  <si>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</si>
  <si>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</si>
  <si>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</si>
  <si>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</si>
  <si>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</si>
  <si>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</si>
  <si>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</si>
  <si>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</si>
  <si>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</si>
  <si>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</si>
  <si>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</si>
  <si>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</si>
  <si>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</si>
  <si>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</si>
  <si>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</si>
  <si>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</si>
  <si>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</si>
  <si>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</si>
  <si>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</si>
  <si>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</si>
  <si>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</si>
  <si>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</si>
  <si>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</si>
  <si>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</si>
  <si>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</si>
  <si>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</si>
  <si>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</si>
  <si>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</si>
  <si>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</si>
  <si>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</si>
  <si>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</si>
  <si>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</si>
  <si>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</si>
  <si>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</si>
  <si>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</si>
  <si>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</si>
  <si>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</si>
  <si>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</si>
  <si>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</si>
  <si>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</si>
  <si>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</si>
  <si>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</si>
  <si>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</si>
  <si>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</si>
  <si>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</si>
  <si>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</si>
  <si>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</si>
  <si>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</si>
  <si>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</si>
  <si>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</si>
  <si>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</si>
  <si>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</si>
  <si>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</si>
  <si>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</si>
  <si>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</si>
  <si>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</si>
  <si>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</si>
  <si>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</si>
  <si>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</si>
  <si>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</si>
  <si>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</si>
  <si>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</si>
  <si>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</si>
  <si>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</si>
  <si>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</si>
  <si>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</si>
  <si>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</si>
  <si>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</si>
  <si>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</si>
  <si>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</si>
  <si>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</si>
  <si>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</si>
  <si>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</si>
  <si>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</si>
  <si>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</si>
  <si>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</si>
  <si>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</si>
  <si>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</si>
  <si>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</si>
  <si>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</si>
  <si>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</si>
  <si>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</si>
  <si>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</si>
  <si>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</si>
  <si>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</si>
  <si>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</si>
  <si>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</si>
  <si>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</si>
  <si>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</si>
  <si>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</si>
  <si>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</si>
  <si>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</si>
  <si>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</si>
  <si>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</si>
  <si>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</si>
  <si>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</si>
  <si>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</si>
  <si>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</si>
  <si>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</si>
  <si>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</si>
  <si>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</si>
  <si>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</si>
  <si>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</si>
  <si>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</si>
  <si>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</si>
  <si>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</si>
  <si>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</si>
  <si>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</si>
  <si>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</si>
  <si>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</si>
  <si>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</si>
  <si>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</si>
  <si>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</si>
  <si>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</si>
  <si>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</si>
  <si>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</si>
  <si>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</si>
  <si>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</si>
  <si>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</si>
  <si>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</si>
  <si>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</si>
  <si>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</si>
  <si>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</si>
  <si>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</si>
  <si>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</si>
  <si>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</si>
  <si>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</si>
  <si>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</si>
  <si>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</si>
  <si>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</si>
  <si>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</si>
  <si>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</si>
  <si>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</si>
  <si>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</si>
  <si>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</si>
  <si>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</si>
  <si>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</si>
  <si>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</si>
  <si>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</si>
  <si>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</si>
  <si>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</si>
  <si>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</si>
  <si>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</si>
  <si>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</si>
  <si>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</si>
  <si>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</si>
  <si>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</si>
  <si>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</si>
  <si>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</si>
  <si>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</si>
  <si>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</si>
  <si>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</si>
  <si>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</si>
  <si>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</si>
  <si>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</si>
  <si>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</si>
  <si>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</si>
  <si>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</si>
  <si>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</si>
  <si>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</si>
  <si>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</si>
  <si>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</si>
  <si>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</si>
  <si>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</si>
  <si>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</si>
  <si>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</si>
  <si>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</si>
  <si>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</si>
  <si>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</si>
  <si>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</si>
  <si>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</si>
  <si>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</si>
  <si>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</si>
  <si>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</si>
  <si>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</si>
  <si>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</si>
  <si>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</si>
  <si>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</si>
  <si>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</si>
  <si>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</si>
  <si>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</si>
  <si>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</si>
  <si>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</si>
  <si>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</si>
  <si>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</si>
  <si>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</si>
  <si>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</si>
  <si>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</si>
  <si>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</si>
  <si>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</si>
  <si>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</si>
  <si>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</si>
  <si>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</si>
  <si>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</si>
  <si>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</si>
  <si>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</si>
  <si>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</si>
  <si>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</si>
  <si>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</si>
  <si>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</si>
  <si>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</si>
  <si>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</si>
  <si>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</si>
  <si>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</si>
  <si>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</si>
  <si>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</si>
  <si>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</si>
  <si>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</si>
  <si>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</si>
  <si>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</si>
  <si>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</si>
  <si>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</si>
  <si>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</si>
  <si>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</si>
  <si>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</si>
  <si>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</si>
  <si>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</si>
  <si>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</si>
  <si>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</si>
  <si>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</si>
  <si>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</si>
  <si>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</si>
  <si>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</si>
  <si>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</si>
  <si>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</si>
  <si>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</si>
  <si>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</si>
  <si>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</si>
  <si>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</si>
  <si>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</si>
  <si>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</si>
  <si>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</si>
  <si>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</si>
  <si>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</si>
  <si>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</si>
  <si>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</si>
  <si>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</si>
  <si>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</si>
  <si>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</si>
  <si>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</si>
  <si>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</si>
  <si>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</si>
  <si>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</si>
  <si>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</si>
  <si>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</si>
  <si>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</si>
  <si>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</si>
  <si>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</si>
  <si>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</si>
  <si>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</si>
  <si>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</si>
  <si>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</si>
  <si>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</si>
  <si>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</si>
  <si>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</si>
  <si>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</si>
  <si>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</si>
  <si>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</si>
  <si>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</si>
  <si>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</si>
  <si>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</si>
  <si>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</si>
  <si>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</si>
  <si>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</si>
  <si>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</si>
  <si>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</si>
  <si>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</si>
  <si>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</si>
  <si>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</si>
  <si>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</si>
  <si>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</si>
  <si>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</si>
  <si>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</si>
  <si>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</si>
  <si>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</si>
  <si>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</si>
  <si>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</si>
  <si>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</si>
  <si>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</si>
  <si>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</si>
  <si>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</si>
  <si>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</si>
  <si>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</si>
  <si>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</si>
  <si>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</si>
  <si>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</si>
  <si>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</si>
  <si>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</si>
  <si>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</si>
  <si>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</si>
  <si>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</si>
  <si>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</si>
  <si>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</si>
  <si>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</si>
  <si>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</si>
  <si>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</si>
  <si>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</si>
  <si>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</si>
  <si>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</si>
  <si>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</si>
  <si>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</si>
  <si>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</si>
  <si>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</si>
  <si>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</si>
  <si>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</si>
  <si>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</si>
  <si>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</si>
  <si>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</si>
  <si>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</si>
  <si>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</si>
  <si>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</si>
  <si>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</si>
  <si>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</si>
  <si>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</si>
  <si>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</si>
  <si>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</si>
  <si>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</si>
  <si>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</si>
  <si>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</si>
  <si>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</si>
  <si>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</si>
  <si>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</si>
  <si>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</si>
  <si>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</si>
  <si>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</si>
  <si>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</si>
  <si>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</si>
  <si>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</si>
  <si>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</si>
  <si>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</si>
  <si>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</si>
  <si>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</si>
  <si>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</si>
  <si>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</si>
  <si>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</si>
  <si>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</si>
  <si>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</si>
  <si>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</si>
  <si>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</si>
  <si>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</si>
  <si>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</si>
  <si>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</si>
  <si>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</si>
  <si>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</si>
  <si>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</si>
  <si>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</si>
  <si>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</si>
  <si>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</si>
  <si>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</si>
  <si>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</si>
  <si>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</si>
  <si>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</si>
  <si>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</si>
  <si>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</si>
  <si>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</si>
  <si>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</si>
  <si>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</si>
  <si>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</si>
  <si>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</si>
  <si>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</si>
  <si>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</si>
  <si>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</si>
  <si>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</si>
  <si>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</si>
  <si>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</si>
  <si>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</si>
  <si>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</si>
  <si>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</si>
  <si>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</si>
  <si>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</si>
  <si>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</si>
  <si>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</si>
  <si>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</si>
  <si>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</si>
  <si>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</si>
  <si>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</si>
  <si>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</si>
  <si>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</si>
  <si>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</si>
  <si>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</si>
  <si>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</si>
  <si>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</si>
  <si>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</si>
  <si>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</si>
  <si>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</si>
  <si>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</si>
  <si>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</si>
  <si>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</si>
  <si>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</si>
  <si>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</si>
  <si>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</si>
  <si>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</si>
  <si>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</si>
  <si>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</si>
  <si>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</si>
  <si>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</si>
  <si>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</si>
  <si>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</si>
  <si>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</si>
  <si>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</si>
  <si>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</si>
  <si>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</si>
  <si>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</si>
  <si>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</si>
  <si>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</si>
  <si>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</si>
  <si>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</si>
  <si>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</si>
  <si>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</si>
  <si>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</si>
  <si>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</si>
  <si>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</si>
  <si>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</si>
  <si>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</si>
  <si>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</si>
  <si>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</si>
  <si>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</si>
  <si>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</si>
  <si>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</si>
  <si>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</si>
  <si>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</si>
  <si>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</si>
  <si>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</si>
  <si>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</si>
  <si>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</si>
  <si>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</si>
  <si>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</si>
  <si>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</si>
  <si>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</si>
  <si>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</si>
  <si>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</si>
  <si>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</si>
  <si>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</si>
  <si>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</si>
  <si>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</si>
  <si>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</si>
  <si>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</si>
  <si>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</si>
  <si>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</si>
  <si>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</si>
  <si>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</si>
  <si>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</si>
  <si>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</si>
  <si>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</si>
  <si>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</si>
  <si>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</si>
  <si>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</si>
  <si>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</si>
  <si>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</si>
  <si>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</si>
  <si>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</si>
  <si>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</si>
  <si>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</si>
  <si>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</si>
  <si>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</si>
  <si>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</si>
  <si>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</si>
  <si>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</si>
  <si>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</si>
  <si>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</si>
  <si>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</si>
  <si>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</si>
  <si>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</si>
  <si>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</si>
  <si>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</si>
  <si>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</si>
  <si>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</si>
  <si>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</si>
  <si>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</si>
  <si>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</si>
  <si>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</si>
  <si>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</si>
  <si>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</si>
  <si>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</si>
  <si>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</si>
  <si>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</si>
  <si>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</si>
  <si>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</si>
  <si>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</si>
  <si>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</si>
  <si>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</si>
  <si>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</si>
  <si>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</si>
  <si>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</si>
  <si>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</si>
  <si>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</si>
  <si>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</si>
  <si>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</si>
  <si>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</si>
  <si>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</si>
  <si>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</si>
  <si>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</si>
  <si>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</si>
  <si>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</si>
  <si>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</si>
  <si>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</si>
  <si>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</si>
  <si>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</si>
  <si>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</si>
  <si>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</si>
  <si>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</si>
  <si>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</si>
  <si>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</si>
  <si>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</si>
  <si>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</si>
  <si>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</si>
  <si>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</si>
  <si>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</si>
  <si>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</si>
  <si>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</si>
  <si>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</si>
  <si>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</si>
  <si>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</si>
  <si>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</si>
  <si>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</si>
  <si>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</si>
  <si>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</si>
  <si>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</si>
  <si>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</si>
  <si>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</si>
  <si>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</si>
  <si>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</si>
  <si>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</si>
  <si>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</si>
  <si>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</si>
  <si>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</si>
  <si>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</si>
  <si>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</si>
  <si>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</si>
  <si>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</si>
  <si>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</si>
  <si>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</si>
  <si>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</si>
  <si>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</si>
  <si>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</si>
  <si>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</si>
  <si>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</si>
  <si>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</si>
  <si>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</si>
  <si>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</si>
  <si>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</si>
  <si>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</si>
  <si>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</si>
  <si>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</si>
  <si>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</si>
  <si>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</si>
  <si>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</si>
  <si>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</si>
  <si>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</si>
  <si>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</si>
  <si>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</si>
  <si>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</si>
  <si>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</si>
  <si>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</si>
  <si>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</si>
  <si>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</si>
  <si>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</si>
  <si>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</si>
  <si>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</si>
  <si>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</si>
  <si>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</si>
  <si>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</si>
  <si>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</si>
  <si>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</si>
  <si>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</si>
  <si>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</si>
  <si>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</si>
  <si>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</si>
  <si>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</si>
  <si>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</si>
  <si>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</si>
  <si>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</si>
  <si>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</si>
  <si>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</si>
  <si>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</si>
  <si>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</si>
  <si>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</si>
  <si>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</si>
  <si>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</si>
  <si>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</si>
  <si>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</si>
  <si>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</si>
  <si>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</si>
  <si>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</si>
  <si>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</si>
  <si>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</si>
  <si>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</si>
  <si>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</si>
  <si>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</si>
  <si>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</si>
  <si>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</si>
  <si>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</si>
  <si>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</si>
  <si>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</si>
  <si>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</si>
  <si>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</si>
  <si>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</si>
  <si>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</si>
  <si>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</si>
  <si>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</si>
  <si>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</si>
  <si>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</si>
  <si>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</si>
  <si>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</si>
  <si>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</si>
  <si>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</si>
  <si>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</si>
  <si>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</si>
  <si>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</si>
  <si>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</si>
  <si>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</si>
  <si>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</si>
  <si>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</si>
  <si>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</si>
  <si>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</si>
  <si>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</si>
  <si>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</si>
  <si>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</si>
  <si>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</si>
  <si>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</si>
  <si>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</si>
  <si>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</si>
  <si>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</si>
  <si>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</si>
  <si>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</si>
  <si>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</si>
  <si>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</si>
  <si>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</si>
  <si>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</si>
  <si>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</si>
  <si>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</si>
  <si>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</si>
  <si>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</si>
  <si>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</si>
  <si>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</si>
  <si>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</si>
  <si>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</si>
  <si>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</si>
  <si>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</si>
  <si>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</si>
  <si>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</si>
  <si>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</si>
  <si>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</si>
  <si>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</si>
  <si>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</si>
  <si>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</si>
  <si>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</si>
  <si>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</si>
  <si>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</si>
  <si>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</si>
  <si>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</si>
  <si>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</si>
  <si>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</si>
  <si>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</si>
  <si>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</si>
  <si>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</si>
  <si>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</si>
  <si>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</si>
  <si>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</si>
  <si>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</si>
  <si>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</si>
  <si>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</si>
  <si>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</si>
  <si>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</si>
  <si>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</si>
  <si>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</si>
  <si>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</si>
  <si>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</si>
  <si>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</si>
  <si>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</si>
  <si>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</si>
  <si>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</si>
  <si>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</si>
  <si>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</si>
  <si>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</si>
  <si>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</si>
  <si>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</si>
  <si>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</si>
  <si>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</si>
  <si>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</si>
  <si>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</si>
  <si>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</si>
  <si>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</si>
  <si>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</si>
  <si>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</si>
  <si>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</si>
  <si>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</si>
  <si>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</si>
  <si>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</si>
  <si>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</si>
  <si>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</si>
  <si>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</si>
  <si>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</si>
  <si>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</si>
  <si>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</si>
  <si>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</si>
  <si>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</si>
  <si>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</si>
  <si>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</si>
  <si>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</si>
  <si>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</si>
  <si>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</si>
  <si>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</si>
  <si>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</si>
  <si>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</si>
  <si>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</si>
  <si>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</si>
  <si>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</si>
  <si>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</si>
  <si>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</si>
  <si>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</si>
  <si>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</si>
  <si>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</si>
  <si>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</si>
  <si>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</si>
  <si>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</si>
  <si>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</si>
  <si>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</si>
  <si>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</si>
  <si>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</si>
  <si>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</si>
  <si>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</si>
  <si>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</si>
  <si>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</si>
  <si>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</si>
  <si>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</si>
  <si>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</si>
  <si>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</si>
  <si>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</si>
  <si>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</si>
  <si>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</si>
  <si>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</si>
  <si>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</si>
  <si>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</si>
  <si>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</si>
  <si>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</si>
  <si>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</si>
  <si>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</si>
  <si>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</si>
  <si>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</si>
  <si>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</si>
  <si>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</si>
  <si>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</si>
  <si>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</si>
  <si>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</si>
  <si>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</si>
  <si>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</si>
  <si>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</si>
  <si>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</si>
  <si>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</si>
  <si>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</si>
  <si>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</si>
  <si>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</si>
  <si>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</si>
  <si>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</si>
  <si>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</si>
  <si>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</si>
  <si>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</si>
  <si>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</si>
  <si>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</si>
  <si>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</si>
  <si>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</si>
  <si>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</si>
  <si>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</si>
  <si>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</si>
  <si>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</si>
  <si>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</si>
  <si>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</si>
  <si>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</si>
  <si>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</si>
  <si>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</si>
  <si>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</si>
  <si>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</si>
  <si>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</si>
  <si>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</si>
  <si>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</si>
  <si>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</si>
  <si>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</si>
  <si>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</si>
  <si>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</si>
  <si>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</si>
  <si>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</si>
  <si>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</si>
  <si>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</si>
  <si>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</si>
  <si>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</si>
  <si>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</si>
  <si>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</si>
  <si>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</si>
  <si>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</si>
  <si>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</si>
  <si>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</si>
  <si>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</si>
  <si>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</si>
  <si>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</si>
  <si>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</si>
  <si>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</si>
  <si>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</si>
  <si>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</si>
  <si>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</si>
  <si>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</si>
  <si>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</si>
  <si>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</si>
  <si>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</si>
  <si>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</si>
  <si>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</si>
  <si>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</si>
  <si>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</si>
  <si>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</si>
  <si>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</si>
  <si>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</si>
  <si>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</si>
  <si>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</si>
  <si>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</si>
  <si>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</si>
  <si>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</si>
  <si>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</si>
  <si>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</si>
  <si>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</si>
  <si>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</si>
  <si>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</si>
  <si>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</si>
  <si>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</si>
  <si>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</si>
  <si>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</si>
  <si>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</si>
  <si>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</si>
  <si>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</si>
  <si>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</si>
  <si>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</si>
  <si>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</si>
  <si>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</si>
  <si>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</si>
  <si>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</si>
  <si>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</si>
  <si>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</si>
  <si>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</si>
  <si>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</si>
  <si>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</si>
  <si>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</si>
  <si>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</si>
  <si>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</si>
  <si>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</si>
  <si>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</si>
  <si>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</si>
  <si>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</si>
  <si>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</si>
  <si>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</si>
  <si>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</si>
  <si>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</si>
  <si>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</si>
  <si>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</si>
  <si>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</si>
  <si>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</si>
  <si>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</si>
  <si>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</si>
  <si>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</si>
  <si>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</si>
  <si>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</si>
  <si>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</si>
  <si>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</si>
  <si>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</si>
  <si>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</si>
  <si>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</si>
  <si>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</si>
  <si>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</si>
  <si>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</si>
  <si>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</si>
  <si>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</si>
  <si>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</si>
  <si>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</si>
  <si>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</si>
  <si>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</si>
  <si>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</si>
  <si>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</si>
  <si>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</si>
  <si>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</si>
  <si>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</si>
  <si>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</si>
  <si>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</si>
  <si>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</si>
  <si>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</si>
  <si>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</si>
  <si>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</si>
  <si>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</si>
  <si>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</si>
  <si>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</si>
  <si>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</si>
  <si>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</si>
  <si>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</si>
  <si>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</si>
  <si>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</si>
  <si>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</si>
  <si>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</si>
  <si>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</si>
  <si>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</si>
  <si>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</si>
  <si>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</si>
  <si>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</si>
  <si>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</si>
  <si>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</si>
  <si>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</si>
  <si>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</si>
  <si>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</si>
  <si>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</si>
  <si>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</si>
  <si>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</si>
  <si>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</si>
  <si>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</si>
  <si>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</si>
  <si>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</si>
  <si>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</si>
  <si>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</si>
  <si>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</si>
  <si>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</si>
  <si>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</si>
  <si>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</si>
  <si>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</si>
  <si>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</si>
  <si>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</si>
  <si>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</si>
  <si>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</si>
  <si>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</si>
  <si>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</si>
  <si>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</si>
  <si>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</si>
  <si>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</si>
  <si>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</si>
  <si>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</si>
  <si>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</si>
  <si>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</si>
  <si>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</si>
  <si>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</si>
  <si>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</si>
  <si>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</si>
  <si>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</si>
  <si>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</si>
  <si>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</si>
  <si>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</si>
  <si>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</si>
  <si>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</si>
  <si>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</si>
  <si>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</si>
  <si>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</si>
  <si>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</si>
  <si>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</si>
  <si>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</si>
  <si>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</si>
  <si>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</si>
  <si>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</si>
  <si>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</si>
  <si>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</si>
  <si>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</si>
  <si>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</si>
  <si>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</si>
  <si>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</si>
  <si>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</si>
  <si>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</si>
  <si>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</si>
  <si>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</si>
  <si>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</si>
  <si>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</si>
  <si>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</si>
  <si>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</si>
  <si>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</si>
  <si>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</si>
  <si>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</si>
  <si>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</si>
  <si>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</si>
  <si>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</si>
  <si>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</si>
  <si>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</si>
  <si>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</si>
  <si>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</si>
  <si>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</si>
  <si>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</si>
  <si>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</si>
  <si>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</si>
  <si>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</si>
  <si>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</si>
  <si>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</si>
  <si>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</si>
  <si>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</si>
  <si>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</si>
  <si>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</si>
  <si>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</si>
  <si>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</si>
  <si>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</si>
  <si>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</si>
  <si>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</si>
  <si>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</si>
  <si>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</si>
  <si>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</si>
  <si>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</si>
  <si>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</si>
  <si>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</si>
  <si>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</si>
  <si>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</si>
  <si>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</si>
  <si>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</si>
  <si>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</si>
  <si>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</si>
  <si>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</si>
  <si>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</si>
  <si>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</si>
  <si>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</si>
  <si>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</si>
  <si>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</si>
  <si>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</si>
  <si>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</si>
  <si>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</si>
  <si>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</si>
  <si>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</si>
  <si>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</si>
  <si>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</si>
  <si>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</si>
  <si>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</si>
  <si>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</si>
  <si>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</si>
  <si>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</si>
  <si>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</si>
  <si>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</si>
  <si>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</si>
  <si>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</si>
  <si>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</si>
  <si>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</si>
  <si>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</si>
  <si>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</si>
  <si>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</si>
  <si>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</si>
  <si>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</si>
  <si>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</si>
  <si>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</si>
  <si>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</si>
  <si>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</si>
  <si>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</si>
  <si>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</si>
  <si>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</si>
  <si>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</si>
  <si>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</si>
  <si>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</si>
  <si>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</si>
  <si>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</si>
  <si>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</si>
  <si>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</si>
  <si>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</si>
  <si>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</si>
  <si>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</si>
  <si>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</si>
  <si>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</si>
  <si>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</si>
  <si>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</si>
  <si>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</si>
  <si>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</si>
  <si>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</si>
  <si>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</si>
  <si>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</si>
  <si>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</si>
  <si>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</si>
  <si>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</si>
  <si>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</si>
  <si>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</si>
  <si>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</si>
  <si>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</si>
  <si>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</si>
  <si>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</si>
  <si>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</si>
  <si>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</si>
  <si>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</si>
  <si>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</si>
  <si>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</si>
  <si>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</si>
  <si>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</si>
  <si>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</si>
  <si>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</si>
  <si>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</si>
  <si>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</si>
  <si>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</si>
  <si>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</si>
  <si>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</si>
  <si>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</si>
  <si>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</si>
  <si>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</si>
  <si>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</si>
  <si>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</si>
  <si>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</si>
  <si>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</si>
  <si>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</si>
  <si>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</si>
  <si>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</si>
  <si>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</si>
  <si>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</si>
  <si>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</si>
  <si>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</si>
  <si>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</si>
  <si>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</si>
  <si>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</si>
  <si>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</si>
  <si>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</si>
  <si>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</si>
  <si>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</si>
  <si>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</si>
  <si>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</si>
  <si>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</si>
  <si>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</si>
  <si>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</si>
  <si>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</si>
  <si>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</si>
  <si>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</si>
  <si>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</si>
  <si>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</si>
  <si>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</si>
  <si>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</si>
  <si>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</si>
  <si>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</si>
  <si>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</si>
  <si>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</si>
  <si>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</si>
  <si>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</si>
  <si>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</si>
  <si>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</si>
  <si>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</si>
  <si>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</si>
  <si>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</si>
  <si>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</si>
  <si>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</si>
  <si>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</si>
  <si>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</si>
  <si>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</si>
  <si>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</si>
  <si>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</si>
  <si>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</si>
  <si>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</si>
  <si>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</si>
  <si>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</si>
  <si>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</si>
  <si>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</si>
  <si>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</si>
  <si>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</si>
  <si>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</si>
  <si>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</si>
  <si>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</si>
  <si>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</si>
  <si>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</si>
  <si>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</si>
  <si>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</si>
  <si>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</si>
  <si>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</si>
  <si>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</si>
  <si>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</si>
  <si>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</si>
  <si>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</si>
  <si>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</si>
  <si>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</si>
  <si>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</si>
  <si>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</si>
  <si>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</si>
  <si>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</si>
  <si>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</si>
  <si>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</si>
  <si>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</si>
  <si>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</si>
  <si>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</si>
  <si>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</si>
  <si>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</si>
  <si>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</si>
  <si>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</si>
  <si>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</si>
  <si>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</si>
  <si>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</si>
  <si>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</si>
  <si>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</si>
  <si>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</si>
  <si>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</si>
  <si>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</si>
  <si>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</si>
  <si>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</si>
  <si>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</si>
  <si>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</si>
  <si>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</si>
  <si>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</si>
  <si>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</si>
  <si>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</si>
  <si>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</si>
  <si>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</si>
  <si>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</si>
  <si>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</si>
  <si>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</si>
  <si>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</si>
  <si>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</si>
  <si>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</si>
  <si>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</si>
  <si>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</si>
  <si>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</si>
  <si>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</si>
  <si>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</si>
  <si>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</si>
  <si>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</si>
  <si>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</si>
  <si>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</si>
  <si>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</si>
  <si>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</si>
  <si>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</si>
  <si>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</si>
  <si>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</si>
  <si>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</si>
  <si>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</si>
  <si>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</si>
  <si>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</si>
  <si>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</si>
  <si>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</si>
  <si>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</si>
  <si>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</si>
  <si>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</si>
  <si>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</si>
  <si>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</si>
  <si>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</si>
  <si>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</si>
  <si>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</si>
  <si>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</si>
  <si>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</si>
  <si>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</si>
  <si>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</si>
  <si>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</si>
  <si>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</si>
  <si>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</si>
  <si>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</si>
  <si>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</si>
  <si>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</si>
  <si>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</si>
  <si>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</si>
  <si>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</si>
  <si>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</si>
  <si>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</si>
  <si>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</si>
  <si>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</si>
  <si>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</si>
  <si>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</si>
  <si>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</si>
  <si>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</si>
  <si>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</si>
  <si>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</si>
  <si>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</si>
  <si>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</si>
  <si>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</si>
  <si>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</si>
  <si>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</si>
  <si>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</si>
  <si>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</si>
  <si>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</si>
  <si>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</si>
  <si>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</si>
  <si>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</si>
  <si>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</si>
  <si>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</si>
  <si>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</si>
  <si>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</si>
  <si>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</si>
  <si>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</si>
  <si>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</si>
  <si>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</si>
  <si>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</si>
  <si>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</si>
  <si>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</si>
  <si>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</si>
  <si>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</si>
  <si>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</si>
  <si>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</si>
  <si>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</si>
  <si>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</si>
  <si>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</si>
  <si>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</si>
  <si>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</si>
  <si>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</si>
  <si>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</si>
  <si>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</si>
  <si>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</si>
  <si>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</si>
  <si>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</si>
  <si>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</si>
  <si>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</si>
  <si>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</si>
  <si>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</si>
  <si>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</si>
  <si>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</si>
  <si>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</si>
  <si>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</si>
  <si>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</si>
  <si>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</si>
  <si>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</si>
  <si>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</si>
  <si>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</si>
  <si>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</si>
  <si>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</si>
  <si>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</si>
  <si>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</si>
  <si>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</si>
  <si>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</si>
  <si>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</si>
  <si>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</si>
  <si>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</si>
  <si>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</si>
  <si>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</si>
  <si>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</si>
  <si>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</si>
  <si>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</si>
  <si>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</si>
  <si>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</si>
  <si>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</si>
  <si>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</si>
  <si>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</si>
  <si>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</si>
  <si>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</si>
  <si>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</si>
  <si>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</si>
  <si>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</si>
  <si>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</si>
  <si>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</si>
  <si>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</si>
  <si>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</si>
  <si>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</si>
  <si>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</si>
  <si>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</si>
  <si>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</si>
  <si>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</si>
  <si>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</si>
  <si>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</si>
  <si>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</si>
  <si>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</si>
  <si>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</si>
  <si>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</si>
  <si>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</si>
  <si>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</si>
  <si>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</si>
  <si>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</si>
  <si>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</si>
  <si>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</si>
  <si>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</si>
  <si>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</si>
  <si>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</si>
  <si>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</si>
  <si>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</si>
  <si>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</si>
  <si>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</si>
  <si>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</si>
  <si>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</si>
  <si>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</si>
  <si>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</si>
  <si>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</si>
  <si>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</si>
  <si>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</si>
  <si>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</si>
  <si>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</si>
  <si>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</si>
  <si>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</si>
  <si>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</si>
  <si>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</si>
  <si>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</si>
  <si>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</si>
  <si>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</si>
  <si>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</si>
  <si>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</si>
  <si>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</si>
  <si>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</si>
  <si>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</si>
  <si>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</si>
  <si>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</si>
  <si>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</si>
  <si>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</si>
  <si>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</si>
  <si>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</si>
  <si>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</si>
  <si>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</si>
  <si>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</si>
  <si>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</si>
  <si>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</si>
  <si>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</si>
  <si>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</si>
  <si>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</si>
  <si>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</si>
  <si>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</si>
  <si>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</si>
  <si>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</si>
  <si>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</si>
  <si>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</si>
  <si>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</si>
  <si>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</si>
  <si>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</si>
  <si>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</si>
  <si>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</si>
  <si>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</si>
  <si>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</si>
  <si>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</si>
  <si>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</si>
  <si>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</si>
  <si>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</si>
  <si>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</si>
  <si>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</si>
  <si>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</si>
  <si>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</si>
  <si>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</si>
  <si>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</si>
  <si>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</si>
  <si>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</si>
  <si>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</si>
  <si>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</si>
  <si>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</si>
  <si>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</si>
  <si>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</si>
  <si>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</si>
  <si>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</si>
  <si>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</si>
  <si>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</si>
  <si>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</si>
  <si>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</si>
  <si>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</si>
  <si>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</si>
  <si>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</si>
  <si>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</si>
  <si>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</si>
  <si>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</si>
  <si>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</si>
  <si>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</si>
  <si>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</si>
  <si>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</si>
  <si>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</si>
  <si>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</si>
  <si>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</si>
  <si>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</si>
  <si>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</si>
  <si>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</si>
  <si>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</si>
  <si>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</si>
  <si>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</si>
  <si>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</si>
  <si>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</si>
  <si>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</si>
  <si>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</si>
  <si>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</si>
  <si>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</si>
  <si>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</si>
  <si>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</si>
  <si>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</si>
  <si>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</si>
  <si>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</si>
  <si>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</si>
  <si>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</si>
  <si>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</si>
  <si>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</si>
  <si>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</si>
  <si>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</si>
  <si>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</si>
  <si>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</si>
  <si>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</si>
  <si>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</si>
  <si>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</si>
  <si>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</si>
  <si>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</si>
  <si>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</si>
  <si>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</si>
  <si>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</si>
  <si>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</si>
  <si>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</si>
  <si>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</si>
  <si>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</si>
  <si>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</si>
  <si>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</si>
  <si>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</si>
  <si>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</si>
  <si>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</si>
  <si>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</si>
  <si>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</si>
  <si>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</si>
  <si>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</si>
  <si>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</si>
  <si>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</si>
  <si>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</si>
  <si>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</si>
  <si>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</si>
  <si>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</si>
  <si>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</si>
  <si>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</si>
  <si>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</si>
  <si>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</si>
  <si>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</si>
  <si>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</si>
  <si>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</si>
  <si>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</si>
  <si>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</si>
  <si>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</si>
  <si>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</si>
  <si>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</si>
  <si>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</si>
  <si>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</si>
  <si>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</si>
  <si>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</si>
  <si>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</si>
  <si>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</si>
  <si>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</si>
  <si>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</si>
  <si>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</si>
  <si>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</si>
  <si>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</si>
  <si>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</si>
  <si>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</si>
  <si>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</si>
  <si>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</si>
  <si>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</si>
  <si>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</si>
  <si>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</si>
  <si>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</si>
  <si>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</si>
  <si>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</si>
  <si>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</si>
  <si>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</si>
  <si>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</si>
  <si>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</si>
  <si>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</si>
  <si>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</si>
  <si>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</si>
  <si>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</si>
  <si>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</si>
  <si>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</si>
  <si>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</si>
  <si>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</si>
  <si>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</si>
  <si>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</si>
  <si>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</si>
  <si>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</si>
  <si>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</si>
  <si>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</si>
  <si>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</si>
  <si>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</si>
  <si>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</si>
  <si>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</si>
  <si>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</si>
  <si>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</si>
  <si>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</si>
  <si>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</si>
  <si>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</si>
  <si>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</si>
  <si>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</si>
  <si>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</si>
  <si>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</si>
  <si>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</si>
  <si>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</si>
  <si>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</si>
  <si>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</si>
  <si>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</si>
  <si>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</si>
  <si>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</si>
  <si>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</si>
  <si>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</si>
  <si>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</si>
  <si>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</si>
  <si>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</si>
  <si>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</si>
  <si>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</si>
  <si>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</si>
  <si>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</si>
  <si>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</si>
  <si>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</si>
  <si>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</si>
  <si>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</si>
  <si>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</si>
  <si>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</si>
  <si>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</si>
  <si>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</si>
  <si>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</si>
  <si>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</si>
  <si>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</si>
  <si>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</si>
  <si>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</si>
  <si>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</si>
  <si>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</si>
  <si>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</si>
  <si>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</si>
  <si>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</si>
  <si>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</si>
  <si>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</si>
  <si>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</si>
  <si>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</si>
  <si>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</si>
  <si>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</si>
  <si>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</si>
  <si>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</si>
  <si>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</si>
  <si>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</si>
  <si>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</si>
  <si>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</si>
  <si>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</si>
  <si>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</si>
  <si>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</si>
  <si>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</si>
  <si>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</si>
  <si>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</si>
  <si>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</si>
  <si>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</si>
  <si>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</si>
  <si>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</si>
  <si>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</si>
  <si>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</si>
  <si>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</si>
  <si>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</si>
  <si>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</si>
  <si>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</si>
  <si>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</si>
  <si>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</si>
  <si>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</si>
  <si>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</si>
  <si>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</si>
  <si>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</si>
  <si>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</si>
  <si>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</si>
  <si>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</si>
  <si>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</si>
  <si>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</si>
  <si>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</si>
  <si>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</si>
  <si>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</si>
  <si>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</si>
  <si>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</si>
  <si>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</si>
  <si>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</si>
  <si>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</si>
  <si>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</si>
  <si>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</si>
  <si>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</si>
  <si>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</si>
  <si>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</si>
  <si>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</si>
  <si>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</si>
  <si>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</si>
  <si>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</si>
  <si>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</si>
  <si>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</si>
  <si>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</si>
  <si>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</si>
  <si>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</si>
  <si>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</si>
  <si>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</si>
  <si>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</si>
  <si>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</si>
  <si>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</si>
  <si>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</si>
  <si>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</si>
  <si>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</si>
  <si>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</si>
  <si>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</si>
  <si>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</si>
  <si>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</si>
  <si>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</si>
  <si>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</si>
  <si>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</si>
  <si>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</si>
  <si>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</si>
  <si>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</si>
  <si>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</si>
  <si>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</si>
  <si>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</si>
  <si>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</si>
  <si>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</si>
  <si>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</si>
  <si>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</si>
  <si>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</si>
  <si>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</si>
  <si>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</si>
  <si>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</si>
  <si>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</si>
  <si>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</si>
  <si>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</si>
  <si>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</si>
  <si>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</si>
  <si>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</si>
  <si>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</si>
  <si>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</si>
  <si>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</si>
  <si>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</si>
  <si>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</si>
  <si>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</si>
  <si>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</si>
  <si>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</si>
  <si>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</si>
  <si>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</si>
  <si>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</si>
  <si>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</si>
  <si>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</si>
  <si>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</si>
  <si>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</si>
  <si>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</si>
  <si>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</si>
  <si>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</si>
  <si>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</si>
  <si>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</si>
  <si>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</si>
  <si>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</si>
  <si>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</si>
  <si>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</si>
  <si>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</si>
  <si>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</si>
  <si>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</si>
  <si>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</si>
  <si>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</si>
  <si>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</si>
  <si>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</si>
  <si>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</si>
  <si>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</si>
  <si>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</si>
  <si>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</si>
  <si>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</si>
  <si>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</si>
  <si>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</si>
  <si>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</si>
  <si>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</si>
  <si>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</si>
  <si>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</si>
  <si>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</si>
  <si>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</si>
  <si>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</si>
  <si>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</si>
  <si>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</si>
  <si>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</si>
  <si>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</si>
  <si>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</si>
  <si>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</si>
  <si>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</si>
  <si>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</si>
  <si>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</si>
  <si>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</si>
  <si>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</si>
  <si>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</si>
  <si>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</si>
  <si>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</si>
  <si>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</si>
  <si>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</si>
  <si>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</si>
  <si>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</si>
  <si>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</si>
  <si>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</si>
  <si>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</si>
  <si>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</si>
  <si>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</si>
  <si>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</si>
  <si>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</si>
  <si>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</si>
  <si>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</si>
  <si>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</si>
  <si>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</si>
  <si>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</si>
  <si>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</si>
  <si>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</si>
  <si>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</si>
  <si>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</si>
  <si>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</si>
  <si>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</si>
  <si>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</si>
  <si>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</si>
  <si>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</si>
  <si>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</si>
  <si>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</si>
  <si>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</si>
  <si>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</si>
  <si>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</si>
  <si>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</si>
  <si>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</si>
  <si>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</si>
  <si>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</si>
  <si>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</si>
  <si>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</si>
  <si>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</si>
  <si>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</si>
  <si>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</si>
  <si>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</si>
  <si>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</si>
  <si>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</si>
  <si>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</si>
  <si>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</si>
  <si>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</si>
  <si>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</si>
  <si>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</si>
  <si>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</si>
  <si>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</si>
  <si>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</si>
  <si>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</si>
  <si>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</si>
  <si>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</si>
  <si>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</si>
  <si>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</si>
  <si>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</si>
  <si>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</si>
  <si>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</si>
  <si>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</si>
  <si>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</si>
  <si>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</si>
  <si>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</si>
  <si>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</si>
  <si>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</si>
  <si>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</si>
  <si>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</si>
  <si>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</si>
  <si>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</si>
  <si>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</si>
  <si>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</si>
  <si>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</si>
  <si>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</si>
  <si>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</si>
  <si>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</si>
  <si>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</si>
  <si>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</si>
  <si>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</si>
  <si>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</si>
  <si>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</si>
  <si>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</si>
  <si>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</si>
  <si>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</si>
  <si>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</si>
  <si>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</si>
  <si>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</si>
  <si>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</si>
  <si>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</si>
  <si>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</si>
  <si>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</si>
  <si>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</si>
  <si>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</si>
  <si>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</si>
  <si>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</si>
  <si>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</si>
  <si>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</si>
  <si>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</si>
  <si>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</si>
  <si>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</si>
  <si>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</si>
  <si>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</si>
  <si>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</si>
  <si>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</si>
  <si>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</si>
  <si>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</si>
  <si>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</si>
  <si>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</si>
  <si>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</si>
  <si>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</si>
  <si>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</si>
  <si>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</si>
  <si>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</si>
  <si>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</si>
  <si>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</si>
  <si>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</si>
  <si>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</si>
  <si>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</si>
  <si>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</si>
  <si>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</si>
  <si>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</si>
  <si>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</si>
  <si>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</si>
  <si>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</si>
  <si>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</si>
  <si>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</si>
  <si>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</si>
  <si>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</si>
  <si>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</si>
  <si>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</si>
  <si>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</si>
  <si>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</si>
  <si>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</si>
  <si>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</si>
  <si>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</si>
  <si>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</si>
  <si>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</si>
  <si>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</si>
  <si>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</si>
  <si>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</si>
  <si>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</si>
  <si>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</si>
  <si>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</si>
  <si>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</si>
  <si>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</si>
  <si>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</si>
  <si>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</si>
  <si>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</si>
  <si>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</si>
  <si>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</si>
  <si>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</si>
  <si>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</si>
  <si>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</si>
  <si>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</si>
  <si>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</si>
  <si>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</si>
  <si>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</si>
  <si>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</si>
  <si>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</si>
  <si>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</si>
  <si>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</si>
  <si>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</si>
  <si>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</si>
  <si>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</si>
  <si>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</si>
  <si>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</si>
  <si>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</si>
  <si>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</si>
  <si>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</si>
  <si>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</si>
  <si>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</si>
  <si>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</si>
  <si>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</si>
  <si>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</si>
  <si>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</si>
  <si>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</si>
  <si>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</si>
  <si>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</si>
  <si>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</si>
  <si>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</si>
  <si>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</si>
  <si>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</si>
  <si>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</si>
  <si>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</si>
  <si>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</si>
  <si>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</si>
  <si>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</si>
  <si>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</si>
  <si>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</si>
  <si>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</si>
  <si>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</si>
  <si>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</si>
  <si>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</si>
  <si>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</si>
  <si>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</si>
  <si>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</si>
  <si>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</si>
  <si>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</si>
  <si>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</si>
  <si>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</si>
  <si>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</si>
  <si>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</si>
  <si>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</si>
  <si>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</si>
  <si>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</si>
  <si>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</si>
  <si>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</si>
  <si>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</si>
  <si>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</si>
  <si>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</si>
  <si>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</si>
  <si>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</si>
  <si>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</si>
  <si>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</si>
  <si>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</si>
  <si>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</si>
  <si>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</si>
  <si>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</si>
  <si>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</si>
  <si>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</si>
  <si>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</si>
  <si>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</si>
  <si>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</si>
  <si>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</si>
  <si>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</si>
  <si>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</si>
  <si>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</si>
  <si>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</si>
  <si>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</si>
  <si>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</si>
  <si>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</si>
  <si>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</si>
  <si>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</si>
  <si>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</si>
  <si>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</si>
  <si>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</si>
  <si>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</si>
  <si>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</si>
  <si>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</si>
  <si>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</si>
  <si>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</si>
  <si>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</si>
  <si>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</si>
  <si>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</si>
  <si>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</si>
  <si>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</si>
  <si>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</si>
  <si>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</si>
  <si>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</si>
  <si>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</si>
  <si>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</si>
  <si>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</si>
  <si>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</si>
  <si>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</si>
  <si>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</si>
  <si>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</si>
  <si>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</si>
  <si>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</si>
  <si>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</si>
  <si>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</si>
  <si>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</si>
  <si>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</si>
  <si>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</si>
  <si>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</si>
  <si>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</si>
  <si>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</si>
  <si>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</si>
  <si>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</si>
  <si>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</si>
  <si>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</si>
  <si>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</si>
  <si>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</si>
  <si>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</si>
  <si>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</si>
  <si>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</si>
  <si>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</si>
  <si>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</si>
  <si>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</si>
  <si>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</si>
  <si>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</si>
  <si>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</si>
  <si>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</si>
  <si>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</si>
  <si>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</si>
  <si>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</si>
  <si>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</si>
  <si>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</si>
  <si>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</si>
  <si>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</si>
  <si>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</si>
  <si>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</si>
  <si>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</si>
  <si>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</si>
  <si>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</si>
  <si>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</si>
  <si>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</si>
  <si>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</si>
  <si>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</si>
  <si>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</si>
  <si>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</si>
  <si>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</si>
  <si>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</si>
  <si>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</si>
  <si>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</si>
  <si>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</si>
  <si>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</si>
  <si>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</si>
  <si>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</si>
  <si>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</si>
  <si>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</si>
  <si>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</si>
  <si>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</si>
  <si>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</si>
  <si>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</si>
  <si>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</si>
  <si>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</si>
  <si>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</si>
  <si>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</si>
  <si>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</si>
  <si>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</si>
  <si>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</si>
  <si>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</si>
  <si>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</si>
  <si>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</si>
  <si>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</si>
  <si>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</si>
  <si>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</si>
  <si>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</si>
  <si>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</si>
  <si>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</si>
  <si>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</si>
  <si>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</si>
  <si>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</si>
  <si>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</si>
  <si>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</si>
  <si>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</si>
  <si>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</si>
  <si>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</si>
  <si>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</si>
  <si>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</si>
  <si>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</si>
  <si>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</si>
  <si>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</si>
  <si>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</si>
  <si>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</si>
  <si>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</si>
  <si>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</si>
  <si>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</si>
  <si>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</si>
  <si>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</si>
  <si>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</si>
  <si>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</si>
  <si>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</si>
  <si>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</si>
  <si>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</si>
  <si>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</si>
  <si>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</si>
  <si>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</si>
  <si>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</si>
  <si>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</si>
  <si>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</si>
  <si>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</si>
  <si>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</si>
  <si>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</si>
  <si>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</si>
  <si>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</si>
  <si>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</si>
  <si>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</si>
  <si>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</si>
  <si>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</si>
  <si>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</si>
  <si>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</si>
  <si>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</si>
  <si>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</si>
  <si>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</si>
  <si>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</si>
  <si>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</si>
  <si>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</si>
  <si>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</si>
  <si>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</si>
  <si>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</si>
  <si>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</si>
  <si>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</si>
  <si>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</si>
  <si>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</si>
  <si>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</si>
  <si>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</si>
  <si>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</si>
  <si>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</si>
  <si>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</si>
  <si>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</si>
  <si>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</si>
  <si>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</si>
  <si>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</si>
  <si>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</si>
  <si>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</si>
  <si>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</si>
  <si>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</si>
  <si>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</si>
  <si>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</si>
  <si>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</si>
  <si>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</si>
  <si>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</si>
  <si>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</si>
  <si>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</si>
  <si>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</si>
  <si>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</si>
  <si>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</si>
  <si>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</si>
  <si>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</si>
  <si>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</si>
  <si>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</si>
  <si>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</si>
  <si>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</si>
  <si>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</si>
  <si>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</si>
  <si>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</si>
  <si>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</si>
  <si>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</si>
  <si>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</si>
  <si>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</si>
  <si>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</si>
  <si>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</si>
  <si>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</si>
  <si>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</si>
  <si>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</si>
  <si>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</si>
  <si>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</si>
  <si>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</si>
  <si>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</si>
  <si>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</si>
  <si>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</si>
  <si>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</si>
  <si>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</si>
  <si>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</si>
  <si>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</si>
  <si>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</si>
  <si>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</si>
  <si>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</si>
  <si>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</si>
  <si>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</si>
  <si>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</si>
  <si>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</si>
  <si>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</si>
  <si>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</si>
  <si>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</si>
  <si>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</si>
  <si>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</si>
  <si>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</si>
  <si>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</si>
  <si>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</si>
  <si>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</si>
  <si>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</si>
  <si>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</si>
  <si>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</si>
  <si>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</si>
  <si>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</si>
  <si>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</si>
  <si>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</si>
  <si>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</si>
  <si>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</si>
  <si>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</si>
  <si>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</si>
  <si>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</si>
  <si>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</si>
  <si>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</si>
  <si>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</si>
  <si>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</si>
  <si>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</si>
  <si>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</si>
  <si>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</si>
  <si>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</si>
  <si>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</si>
  <si>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</si>
  <si>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</si>
  <si>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</si>
  <si>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</si>
  <si>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</si>
  <si>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</si>
  <si>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</si>
  <si>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</si>
  <si>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</si>
  <si>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</si>
  <si>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</si>
  <si>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</si>
  <si>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</si>
  <si>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</si>
  <si>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</si>
  <si>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</si>
  <si>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</si>
  <si>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</si>
  <si>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</si>
  <si>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</si>
  <si>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</si>
  <si>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</si>
  <si>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</si>
  <si>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</si>
  <si>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</si>
  <si>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</si>
  <si>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</si>
  <si>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</si>
  <si>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</si>
  <si>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</si>
  <si>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</si>
  <si>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</si>
  <si>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</si>
  <si>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</si>
  <si>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</si>
  <si>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</si>
  <si>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</si>
  <si>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</si>
  <si>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</si>
  <si>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</si>
  <si>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</si>
  <si>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</si>
  <si>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</si>
  <si>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</si>
  <si>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</si>
  <si>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</si>
  <si>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</si>
  <si>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</si>
  <si>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</si>
  <si>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</si>
  <si>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</si>
  <si>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</si>
  <si>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</si>
  <si>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</si>
  <si>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</si>
  <si>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</si>
  <si>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</si>
  <si>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</si>
  <si>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</si>
  <si>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</si>
  <si>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</si>
  <si>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</si>
  <si>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</si>
  <si>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</si>
  <si>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</si>
  <si>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</si>
  <si>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</si>
  <si>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</si>
  <si>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</si>
  <si>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</si>
  <si>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</si>
  <si>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</si>
  <si>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</si>
  <si>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</si>
  <si>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</si>
  <si>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</si>
  <si>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</si>
  <si>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</si>
  <si>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</si>
  <si>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</si>
  <si>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</si>
  <si>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</si>
  <si>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</si>
  <si>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</si>
  <si>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</si>
  <si>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</si>
  <si>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</si>
  <si>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</si>
  <si>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</si>
  <si>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</si>
  <si>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</si>
  <si>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</si>
  <si>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</si>
  <si>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</si>
  <si>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</si>
  <si>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</si>
  <si>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</si>
  <si>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</si>
  <si>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</si>
  <si>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</si>
  <si>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</si>
  <si>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</si>
  <si>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</si>
  <si>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</si>
  <si>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</si>
  <si>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</si>
  <si>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</si>
  <si>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</si>
  <si>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</si>
  <si>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</si>
  <si>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</si>
  <si>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</si>
  <si>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</si>
  <si>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</si>
  <si>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</si>
  <si>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</si>
  <si>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</si>
  <si>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</si>
  <si>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</si>
  <si>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</si>
  <si>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</si>
  <si>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</si>
  <si>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</si>
  <si>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</si>
  <si>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</si>
  <si>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</si>
  <si>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</si>
  <si>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</si>
  <si>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</si>
  <si>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</si>
  <si>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</si>
  <si>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</si>
  <si>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</si>
  <si>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</si>
  <si>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</si>
  <si>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</si>
  <si>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</si>
  <si>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</si>
  <si>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</si>
  <si>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</si>
  <si>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</si>
  <si>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</si>
  <si>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</si>
  <si>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</si>
  <si>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</si>
  <si>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</si>
  <si>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</si>
  <si>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</si>
  <si>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</si>
  <si>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</si>
  <si>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</si>
  <si>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</si>
  <si>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</si>
  <si>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</si>
  <si>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</si>
  <si>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</si>
  <si>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</si>
  <si>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</si>
  <si>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</si>
  <si>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</si>
  <si>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</si>
  <si>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</si>
  <si>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</si>
  <si>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</si>
  <si>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</si>
  <si>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</si>
  <si>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</si>
  <si>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</si>
  <si>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</si>
  <si>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</si>
  <si>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</si>
  <si>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</si>
  <si>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</si>
  <si>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</si>
  <si>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</si>
  <si>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</si>
  <si>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</si>
  <si>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</si>
  <si>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</si>
  <si>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</si>
  <si>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</si>
  <si>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</si>
  <si>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</si>
  <si>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</si>
  <si>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</si>
  <si>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</si>
  <si>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</si>
  <si>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</si>
  <si>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</si>
  <si>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</si>
  <si>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</si>
  <si>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</si>
  <si>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</si>
  <si>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</si>
  <si>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</si>
  <si>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</si>
  <si>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</si>
  <si>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</si>
  <si>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</si>
  <si>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</si>
  <si>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</si>
  <si>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</si>
  <si>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</si>
  <si>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</si>
  <si>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</si>
  <si>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</si>
  <si>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</si>
  <si>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</si>
  <si>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</si>
  <si>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</si>
  <si>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</si>
  <si>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</si>
  <si>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</si>
  <si>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</si>
  <si>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</si>
  <si>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</si>
  <si>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</si>
  <si>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</si>
  <si>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</si>
  <si>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</si>
  <si>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</si>
  <si>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</si>
  <si>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</si>
  <si>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</si>
  <si>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</si>
  <si>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</si>
  <si>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</si>
  <si>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</si>
  <si>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</si>
  <si>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</si>
  <si>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</si>
  <si>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</si>
  <si>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</si>
  <si>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</si>
  <si>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</si>
  <si>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</si>
  <si>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</si>
  <si>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</si>
  <si>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</si>
  <si>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</si>
  <si>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</si>
  <si>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</si>
  <si>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</si>
  <si>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</si>
  <si>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</si>
  <si>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</si>
  <si>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</si>
  <si>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</si>
  <si>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</si>
  <si>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</si>
  <si>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</si>
  <si>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</si>
  <si>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</si>
  <si>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</si>
  <si>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</si>
  <si>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</si>
  <si>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</si>
  <si>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</si>
  <si>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</si>
  <si>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</si>
  <si>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</si>
  <si>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</si>
  <si>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</si>
  <si>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</si>
  <si>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</si>
  <si>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</si>
  <si>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</si>
  <si>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</si>
  <si>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</si>
  <si>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</si>
  <si>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</si>
  <si>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</si>
  <si>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</si>
  <si>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</si>
  <si>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</si>
  <si>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</si>
  <si>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</si>
  <si>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</si>
  <si>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</si>
  <si>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</si>
  <si>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</si>
  <si>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</si>
  <si>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</si>
  <si>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</si>
  <si>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</si>
  <si>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</si>
  <si>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</si>
  <si>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</si>
  <si>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</si>
  <si>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</si>
  <si>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</si>
  <si>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</si>
  <si>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</si>
  <si>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</si>
  <si>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</si>
  <si>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</si>
  <si>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</si>
  <si>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</si>
  <si>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</si>
  <si>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</si>
  <si>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</si>
  <si>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</si>
  <si>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</si>
  <si>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</si>
  <si>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</si>
  <si>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</si>
  <si>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</si>
  <si>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</si>
  <si>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</si>
  <si>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</si>
  <si>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</si>
  <si>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</si>
  <si>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</si>
  <si>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</si>
  <si>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</si>
  <si>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</si>
  <si>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</si>
  <si>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</si>
  <si>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</si>
  <si>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</si>
  <si>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</si>
  <si>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</si>
  <si>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</si>
  <si>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</si>
  <si>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</si>
  <si>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</si>
  <si>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</si>
  <si>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</si>
  <si>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</si>
  <si>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</si>
  <si>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</si>
  <si>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</si>
  <si>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</si>
  <si>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</si>
  <si>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</si>
  <si>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</si>
  <si>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</si>
  <si>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</si>
  <si>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</si>
  <si>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</si>
  <si>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</si>
  <si>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</si>
  <si>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</si>
  <si>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</si>
  <si>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</si>
  <si>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</si>
  <si>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</si>
  <si>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</si>
  <si>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</si>
  <si>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</si>
  <si>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</si>
  <si>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</si>
  <si>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</si>
  <si>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</si>
  <si>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</si>
  <si>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</si>
  <si>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</si>
  <si>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</si>
  <si>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</si>
  <si>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</si>
  <si>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</si>
  <si>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</si>
  <si>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</si>
  <si>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</si>
  <si>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</si>
  <si>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</si>
  <si>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</si>
  <si>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</si>
  <si>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</si>
  <si>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</si>
  <si>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</si>
  <si>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</si>
  <si>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</si>
  <si>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</si>
  <si>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</si>
  <si>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</si>
  <si>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</si>
  <si>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</si>
  <si>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</si>
  <si>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</si>
  <si>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</si>
  <si>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</si>
  <si>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</si>
  <si>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</si>
  <si>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</si>
  <si>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</si>
  <si>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</si>
  <si>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</si>
  <si>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</si>
  <si>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</si>
  <si>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</si>
  <si>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</si>
  <si>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</si>
  <si>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</si>
  <si>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</si>
  <si>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</si>
  <si>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</si>
  <si>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</si>
  <si>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</si>
  <si>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</si>
  <si>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</si>
  <si>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</si>
  <si>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</si>
  <si>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</si>
  <si>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</si>
  <si>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</si>
  <si>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</si>
  <si>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</si>
  <si>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</si>
  <si>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</si>
  <si>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</si>
  <si>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</si>
  <si>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</si>
  <si>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</si>
  <si>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</si>
  <si>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</si>
  <si>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</si>
  <si>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</si>
  <si>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</si>
  <si>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</si>
  <si>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</si>
  <si>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</si>
  <si>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</si>
  <si>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</si>
  <si>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</si>
  <si>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</si>
  <si>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</si>
  <si>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</si>
  <si>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</si>
  <si>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</si>
  <si>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</si>
  <si>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</si>
  <si>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</si>
  <si>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</si>
  <si>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</si>
  <si>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</si>
  <si>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</si>
  <si>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</si>
  <si>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</si>
  <si>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</si>
  <si>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</si>
  <si>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</si>
  <si>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</si>
  <si>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</si>
  <si>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</si>
  <si>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</si>
  <si>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</si>
  <si>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</si>
  <si>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</si>
  <si>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</si>
  <si>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</si>
  <si>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</si>
  <si>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</si>
  <si>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</si>
  <si>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</si>
  <si>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</si>
  <si>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</si>
  <si>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</si>
  <si>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</si>
  <si>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</si>
  <si>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</si>
  <si>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</si>
  <si>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</si>
  <si>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</si>
  <si>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</si>
  <si>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</si>
  <si>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</si>
  <si>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</si>
  <si>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</si>
  <si>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</si>
  <si>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</si>
  <si>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</si>
  <si>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</si>
  <si>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</si>
  <si>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</si>
  <si>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</si>
  <si>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</si>
  <si>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</si>
  <si>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</si>
  <si>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</si>
  <si>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</si>
  <si>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</si>
  <si>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</si>
  <si>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</si>
  <si>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</si>
  <si>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</si>
  <si>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</si>
  <si>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</si>
  <si>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</si>
  <si>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</si>
  <si>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</si>
  <si>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</si>
  <si>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</si>
  <si>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</si>
  <si>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</si>
  <si>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</si>
  <si>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</si>
  <si>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</si>
  <si>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</si>
  <si>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</si>
  <si>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</si>
  <si>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</si>
  <si>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</si>
  <si>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</si>
  <si>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</si>
  <si>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</si>
  <si>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</si>
  <si>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</si>
  <si>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</si>
  <si>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</si>
  <si>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</si>
  <si>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</si>
  <si>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</si>
  <si>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</si>
  <si>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</si>
  <si>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</si>
  <si>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</si>
  <si>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</si>
  <si>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</si>
  <si>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</si>
  <si>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</si>
  <si>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</si>
  <si>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</si>
  <si>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</si>
  <si>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</si>
  <si>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</si>
  <si>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</si>
  <si>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</si>
  <si>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</si>
  <si>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</si>
  <si>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</si>
  <si>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</si>
  <si>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</si>
  <si>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</si>
  <si>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</si>
  <si>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</si>
  <si>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</si>
  <si>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</si>
  <si>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</si>
  <si>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</si>
  <si>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</si>
  <si>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</si>
  <si>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</si>
  <si>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</si>
  <si>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</si>
  <si>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</si>
  <si>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</si>
  <si>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</si>
  <si>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</si>
  <si>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</si>
  <si>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</si>
  <si>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</si>
  <si>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</si>
  <si>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</si>
  <si>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</si>
  <si>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</si>
  <si>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</si>
  <si>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</si>
  <si>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</si>
  <si>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</si>
  <si>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</si>
  <si>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</si>
  <si>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</si>
  <si>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</si>
  <si>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</si>
  <si>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</si>
  <si>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</si>
  <si>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</si>
  <si>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</si>
  <si>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</si>
  <si>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</si>
  <si>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</si>
  <si>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</si>
  <si>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</si>
  <si>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</si>
  <si>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</si>
  <si>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</si>
  <si>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</si>
  <si>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</si>
  <si>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</si>
  <si>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</si>
  <si>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</si>
  <si>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</si>
  <si>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</si>
  <si>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</si>
  <si>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</si>
  <si>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</si>
  <si>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</si>
  <si>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</si>
  <si>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</si>
  <si>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</si>
  <si>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</si>
  <si>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</si>
  <si>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</si>
  <si>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</si>
  <si>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</si>
  <si>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</si>
  <si>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</si>
  <si>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</si>
  <si>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</si>
  <si>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</si>
  <si>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</si>
  <si>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</si>
  <si>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</si>
  <si>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</si>
  <si>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</si>
  <si>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</si>
  <si>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</si>
  <si>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</si>
  <si>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</si>
  <si>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</si>
  <si>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</si>
  <si>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</si>
  <si>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</si>
  <si>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</si>
  <si>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</si>
  <si>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</si>
  <si>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</si>
  <si>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</si>
  <si>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</si>
  <si>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</si>
  <si>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</si>
  <si>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</si>
  <si>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</si>
  <si>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</si>
  <si>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</si>
  <si>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</si>
  <si>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</si>
  <si>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</si>
  <si>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</si>
  <si>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</si>
  <si>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</si>
  <si>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</si>
  <si>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</si>
  <si>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</si>
  <si>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</si>
  <si>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</si>
  <si>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</si>
  <si>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</si>
  <si>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</si>
  <si>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</si>
  <si>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</si>
  <si>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</si>
  <si>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</si>
  <si>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</si>
  <si>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</si>
  <si>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</si>
  <si>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</si>
  <si>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</si>
  <si>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</si>
  <si>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</si>
  <si>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</si>
  <si>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</si>
  <si>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</si>
  <si>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</si>
  <si>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</si>
  <si>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</si>
  <si>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</si>
  <si>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</si>
  <si>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</si>
  <si>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</si>
  <si>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</si>
  <si>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</si>
  <si>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</si>
  <si>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</si>
  <si>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</si>
  <si>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</si>
  <si>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</si>
  <si>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</si>
  <si>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</si>
  <si>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</si>
  <si>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</si>
  <si>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</si>
  <si>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</si>
  <si>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</si>
  <si>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</si>
  <si>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</si>
  <si>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</si>
  <si>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</si>
  <si>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</si>
  <si>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</si>
  <si>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</si>
  <si>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</si>
  <si>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</si>
  <si>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</si>
  <si>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</si>
  <si>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</si>
  <si>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</si>
  <si>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</si>
  <si>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</si>
  <si>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</si>
  <si>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</si>
  <si>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</si>
  <si>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</si>
  <si>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</si>
  <si>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</si>
  <si>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</si>
  <si>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</si>
  <si>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</si>
  <si>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</si>
  <si>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</si>
  <si>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</si>
  <si>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</si>
  <si>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</si>
  <si>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</si>
  <si>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</si>
  <si>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</si>
  <si>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</si>
  <si>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</si>
  <si>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</si>
  <si>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</si>
  <si>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</si>
  <si>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</si>
  <si>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</si>
  <si>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</si>
  <si>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</si>
  <si>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</si>
  <si>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</si>
  <si>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</si>
  <si>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</si>
  <si>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</si>
  <si>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</si>
  <si>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</si>
  <si>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</si>
  <si>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</si>
  <si>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</si>
  <si>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</si>
  <si>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</si>
  <si>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</si>
  <si>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</si>
  <si>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</si>
  <si>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</si>
  <si>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</si>
  <si>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</si>
  <si>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</si>
  <si>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</si>
  <si>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</si>
  <si>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</si>
  <si>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</si>
  <si>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</si>
  <si>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</si>
  <si>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</si>
  <si>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</si>
  <si>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</si>
  <si>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</si>
  <si>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</si>
  <si>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</si>
  <si>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</si>
  <si>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</si>
  <si>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</si>
  <si>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</si>
  <si>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</si>
  <si>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</si>
  <si>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</si>
  <si>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</si>
  <si>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</si>
  <si>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</si>
  <si>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</si>
  <si>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</si>
  <si>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</si>
  <si>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</si>
  <si>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</si>
  <si>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</si>
  <si>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</si>
  <si>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</si>
  <si>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</si>
  <si>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</si>
  <si>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</si>
  <si>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</si>
  <si>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</si>
  <si>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</si>
  <si>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</si>
  <si>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</si>
  <si>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</si>
  <si>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</si>
  <si>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</si>
  <si>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</si>
  <si>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</si>
  <si>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</si>
  <si>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</si>
  <si>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</si>
  <si>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</si>
  <si>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</si>
  <si>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</si>
  <si>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</si>
  <si>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</si>
  <si>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</si>
  <si>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</si>
  <si>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</si>
  <si>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</si>
  <si>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</si>
  <si>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</si>
  <si>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</si>
  <si>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</si>
  <si>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</si>
  <si>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</si>
  <si>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</si>
  <si>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</si>
  <si>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</si>
  <si>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</si>
  <si>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</si>
  <si>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</si>
  <si>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</si>
  <si>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</si>
  <si>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</si>
  <si>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</si>
  <si>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</si>
  <si>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</si>
  <si>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</si>
  <si>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</si>
  <si>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</si>
  <si>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</si>
  <si>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</si>
  <si>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</si>
  <si>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</si>
  <si>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</si>
  <si>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</si>
  <si>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</si>
  <si>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</si>
  <si>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</si>
  <si>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</si>
  <si>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</si>
  <si>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</si>
  <si>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</si>
  <si>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</si>
  <si>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</si>
  <si>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</si>
  <si>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</si>
  <si>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</si>
  <si>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</si>
  <si>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</si>
  <si>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</si>
  <si>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</si>
  <si>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</si>
  <si>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</si>
  <si>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</si>
  <si>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</si>
  <si>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</si>
  <si>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</si>
  <si>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</si>
  <si>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</si>
  <si>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</si>
  <si>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</si>
  <si>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</si>
  <si>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</si>
  <si>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</si>
  <si>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</si>
  <si>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</si>
  <si>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</si>
  <si>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</si>
  <si>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</si>
  <si>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</si>
  <si>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</si>
  <si>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</si>
  <si>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</si>
  <si>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</si>
  <si>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</si>
  <si>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</si>
  <si>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</si>
  <si>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</si>
  <si>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</si>
  <si>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</si>
  <si>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</si>
  <si>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</si>
  <si>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</si>
  <si>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</si>
  <si>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</si>
  <si>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</si>
  <si>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</si>
  <si>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</si>
  <si>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</si>
  <si>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</si>
  <si>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</si>
  <si>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</si>
  <si>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</si>
  <si>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</si>
  <si>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</si>
  <si>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</si>
  <si>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</si>
  <si>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</si>
  <si>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</si>
  <si>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</si>
  <si>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</si>
  <si>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</si>
  <si>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</si>
  <si>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</si>
  <si>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</si>
  <si>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</si>
  <si>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</si>
  <si>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</si>
  <si>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</si>
  <si>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</si>
  <si>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</si>
  <si>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</si>
  <si>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</si>
  <si>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</si>
  <si>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</si>
  <si>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</si>
  <si>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</si>
  <si>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</si>
  <si>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</si>
  <si>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</si>
  <si>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</si>
  <si>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</si>
  <si>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</si>
  <si>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</si>
  <si>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</si>
  <si>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</si>
  <si>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</si>
  <si>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</si>
  <si>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</si>
  <si>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</si>
  <si>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</si>
  <si>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</si>
  <si>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</si>
  <si>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</si>
  <si>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</si>
  <si>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</si>
  <si>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</si>
  <si>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</si>
  <si>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</si>
  <si>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</si>
  <si>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</si>
  <si>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</si>
  <si>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</si>
  <si>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</si>
  <si>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</si>
  <si>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</si>
  <si>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</si>
  <si>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</si>
  <si>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</si>
  <si>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</si>
  <si>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</si>
  <si>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</si>
  <si>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</si>
  <si>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</si>
  <si>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</si>
  <si>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</si>
  <si>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</si>
  <si>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</si>
  <si>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</si>
  <si>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</si>
  <si>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</si>
  <si>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</si>
  <si>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</si>
  <si>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</si>
  <si>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</si>
  <si>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</si>
  <si>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</si>
  <si>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</si>
  <si>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</si>
  <si>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</si>
  <si>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</si>
  <si>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</si>
  <si>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</si>
  <si>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</si>
  <si>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</si>
  <si>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</si>
  <si>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</si>
  <si>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</si>
  <si>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</si>
  <si>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</si>
  <si>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</si>
  <si>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</si>
  <si>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</si>
  <si>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</si>
  <si>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</si>
  <si>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</si>
  <si>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</si>
  <si>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</si>
  <si>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</si>
  <si>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</si>
  <si>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</si>
  <si>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</si>
  <si>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</si>
  <si>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</si>
  <si>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</si>
  <si>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</si>
  <si>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</si>
  <si>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</si>
  <si>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</si>
  <si>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</si>
  <si>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</si>
  <si>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</si>
  <si>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</si>
  <si>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</si>
  <si>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</si>
  <si>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</si>
  <si>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</si>
  <si>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</si>
  <si>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</si>
  <si>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</si>
  <si>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</si>
  <si>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</si>
  <si>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</si>
  <si>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</si>
  <si>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</si>
  <si>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</si>
  <si>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</si>
  <si>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</si>
  <si>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</si>
  <si>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</si>
  <si>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</si>
  <si>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</si>
  <si>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</si>
  <si>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</si>
  <si>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</si>
  <si>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</si>
  <si>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</si>
  <si>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</si>
  <si>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</si>
  <si>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</si>
  <si>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</si>
  <si>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</si>
  <si>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</si>
  <si>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</si>
  <si>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</si>
  <si>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</si>
  <si>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</si>
  <si>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</si>
  <si>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</si>
  <si>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</si>
  <si>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</si>
  <si>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</si>
  <si>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</si>
  <si>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</si>
  <si>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</si>
  <si>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</si>
  <si>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</si>
  <si>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</si>
  <si>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</si>
  <si>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</si>
  <si>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</si>
  <si>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</si>
  <si>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</si>
  <si>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</si>
  <si>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</si>
  <si>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</si>
  <si>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</si>
  <si>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</si>
  <si>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</si>
  <si>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</si>
  <si>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</si>
  <si>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</si>
  <si>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</si>
  <si>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</si>
  <si>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</si>
  <si>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</si>
  <si>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</si>
  <si>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</si>
  <si>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</si>
  <si>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</si>
  <si>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</si>
  <si>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</si>
  <si>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</si>
  <si>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</si>
  <si>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</si>
  <si>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</si>
  <si>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</si>
  <si>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</si>
  <si>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</si>
  <si>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</si>
  <si>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</si>
  <si>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</si>
  <si>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</si>
  <si>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</si>
  <si>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</si>
  <si>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</si>
  <si>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</si>
  <si>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</si>
  <si>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</si>
  <si>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</si>
  <si>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</si>
  <si>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</si>
  <si>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</si>
  <si>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</si>
  <si>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</si>
  <si>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</si>
  <si>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</si>
  <si>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</si>
  <si>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</si>
  <si>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</si>
  <si>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</si>
  <si>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</si>
  <si>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</si>
  <si>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</si>
  <si>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</si>
  <si>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</si>
  <si>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</si>
  <si>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</si>
  <si>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</si>
  <si>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</si>
  <si>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</si>
  <si>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</si>
  <si>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</si>
  <si>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</si>
  <si>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</si>
  <si>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</si>
  <si>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</si>
  <si>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</si>
  <si>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</si>
  <si>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</si>
  <si>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</si>
  <si>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</si>
  <si>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</si>
  <si>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</si>
  <si>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</si>
  <si>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</si>
  <si>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</si>
  <si>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</si>
  <si>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</si>
  <si>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</si>
  <si>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</si>
  <si>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</si>
  <si>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</si>
  <si>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</si>
  <si>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</si>
  <si>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</si>
  <si>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</si>
  <si>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</si>
  <si>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</si>
  <si>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</si>
  <si>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</si>
  <si>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</si>
  <si>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</si>
  <si>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</si>
  <si>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</si>
  <si>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</si>
  <si>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</si>
  <si>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</si>
  <si>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</si>
  <si>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</si>
  <si>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</si>
  <si>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</si>
  <si>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</si>
  <si>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</si>
  <si>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</si>
  <si>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</si>
  <si>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</si>
  <si>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</si>
  <si>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</si>
  <si>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</si>
  <si>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</si>
  <si>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</si>
  <si>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</si>
  <si>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</si>
  <si>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</si>
  <si>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</si>
  <si>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</si>
  <si>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</si>
  <si>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</si>
  <si>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</si>
  <si>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</si>
  <si>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</si>
  <si>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</si>
  <si>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</si>
  <si>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</si>
  <si>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</si>
  <si>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</si>
  <si>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</si>
  <si>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</si>
  <si>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</si>
  <si>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</si>
  <si>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</si>
  <si>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</si>
  <si>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</si>
  <si>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</si>
  <si>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</si>
  <si>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</si>
  <si>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</si>
  <si>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</si>
  <si>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</si>
  <si>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</si>
  <si>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</si>
  <si>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</si>
  <si>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</si>
  <si>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</si>
  <si>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</si>
  <si>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</si>
  <si>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</si>
  <si>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</si>
  <si>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</si>
  <si>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</si>
  <si>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</si>
  <si>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</si>
  <si>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</si>
  <si>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</si>
  <si>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</si>
  <si>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</si>
  <si>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</si>
  <si>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</si>
  <si>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</si>
  <si>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</si>
  <si>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</si>
  <si>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</si>
  <si>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</si>
  <si>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</si>
  <si>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</si>
  <si>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</si>
  <si>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</si>
  <si>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</si>
  <si>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</si>
  <si>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</si>
  <si>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</si>
  <si>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</si>
  <si>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</si>
  <si>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</si>
  <si>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</si>
  <si>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</si>
  <si>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</si>
  <si>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</si>
  <si>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</si>
  <si>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</si>
  <si>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</si>
  <si>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</si>
  <si>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</si>
  <si>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</si>
  <si>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</si>
  <si>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</si>
  <si>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</si>
  <si>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</si>
  <si>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</si>
  <si>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</si>
  <si>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</si>
  <si>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</si>
  <si>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</si>
  <si>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</si>
  <si>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</si>
  <si>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</si>
  <si>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</si>
  <si>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</si>
  <si>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</si>
  <si>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</si>
  <si>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</si>
  <si>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</si>
  <si>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</si>
  <si>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</si>
  <si>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</si>
  <si>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</si>
  <si>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</si>
  <si>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</si>
  <si>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</si>
  <si>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</si>
  <si>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</si>
  <si>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</si>
  <si>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</si>
  <si>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</si>
  <si>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</si>
  <si>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</si>
  <si>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</si>
  <si>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</si>
  <si>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</si>
  <si>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</si>
  <si>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</si>
  <si>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</si>
  <si>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</si>
  <si>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</si>
  <si>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</si>
  <si>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</si>
  <si>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</si>
  <si>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</si>
  <si>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</si>
  <si>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</si>
  <si>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</si>
  <si>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</si>
  <si>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</si>
  <si>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</si>
  <si>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</si>
  <si>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</si>
  <si>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</si>
  <si>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</si>
  <si>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</si>
  <si>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</si>
  <si>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</si>
  <si>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</si>
  <si>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</si>
  <si>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</si>
  <si>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</si>
  <si>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</si>
  <si>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</si>
  <si>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</si>
  <si>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</si>
  <si>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</si>
  <si>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</si>
  <si>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</si>
  <si>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</si>
  <si>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</si>
  <si>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</si>
  <si>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</si>
  <si>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</si>
  <si>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</si>
  <si>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</si>
  <si>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</si>
  <si>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</si>
  <si>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</si>
  <si>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</si>
  <si>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</si>
  <si>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</si>
  <si>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</si>
  <si>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</si>
  <si>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</si>
  <si>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</si>
  <si>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</si>
  <si>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</si>
  <si>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</si>
  <si>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</si>
  <si>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</si>
  <si>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</si>
  <si>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</si>
  <si>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</si>
  <si>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</si>
  <si>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</si>
  <si>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</si>
  <si>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</si>
  <si>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</si>
  <si>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</si>
  <si>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</si>
  <si>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</si>
  <si>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</si>
  <si>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</si>
  <si>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</si>
  <si>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</si>
  <si>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</si>
  <si>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</si>
  <si>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</si>
  <si>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</si>
  <si>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</si>
  <si>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</si>
  <si>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</si>
  <si>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</si>
  <si>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</si>
  <si>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</si>
  <si>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</si>
  <si>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</si>
  <si>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</si>
  <si>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</si>
  <si>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</si>
  <si>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</si>
  <si>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</si>
  <si>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</si>
  <si>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</si>
  <si>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</si>
  <si>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</si>
  <si>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</si>
  <si>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</si>
  <si>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</si>
  <si>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</si>
  <si>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</si>
  <si>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</si>
  <si>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</si>
  <si>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</si>
  <si>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</si>
  <si>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</si>
  <si>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</si>
  <si>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</si>
  <si>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</si>
  <si>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</si>
  <si>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</si>
  <si>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</si>
  <si>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</si>
  <si>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</si>
  <si>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</si>
  <si>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</si>
  <si>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</si>
  <si>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</si>
  <si>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</si>
  <si>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</si>
  <si>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</si>
  <si>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</si>
  <si>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</si>
  <si>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</si>
  <si>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</si>
  <si>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</si>
  <si>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</si>
  <si>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</si>
  <si>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</si>
  <si>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</si>
  <si>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</si>
  <si>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</si>
  <si>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</si>
  <si>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</si>
  <si>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</si>
  <si>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</si>
  <si>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</si>
  <si>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</si>
  <si>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</si>
  <si>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</si>
  <si>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</si>
  <si>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</si>
  <si>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</si>
  <si>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</si>
  <si>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</si>
  <si>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</si>
  <si>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</si>
  <si>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</si>
  <si>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</si>
  <si>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</si>
  <si>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</si>
  <si>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</si>
  <si>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</si>
  <si>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</si>
  <si>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</si>
  <si>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</si>
  <si>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</si>
  <si>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</si>
  <si>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</si>
  <si>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</si>
  <si>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</si>
  <si>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</si>
  <si>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</si>
  <si>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</si>
  <si>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</si>
  <si>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</si>
  <si>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</si>
  <si>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</si>
  <si>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</si>
  <si>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</si>
  <si>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</si>
  <si>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</si>
  <si>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</si>
  <si>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</si>
  <si>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</si>
  <si>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</si>
  <si>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</si>
  <si>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</si>
  <si>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</si>
  <si>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</si>
  <si>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</si>
  <si>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</si>
  <si>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</si>
  <si>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</si>
  <si>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</si>
  <si>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</si>
  <si>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</si>
  <si>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</si>
  <si>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</si>
  <si>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</si>
  <si>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</si>
  <si>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</si>
  <si>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</si>
  <si>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</si>
  <si>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</si>
  <si>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</si>
  <si>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</si>
  <si>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</si>
  <si>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</si>
  <si>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</si>
  <si>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</si>
  <si>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</si>
  <si>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</si>
  <si>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</si>
  <si>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</si>
  <si>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</si>
  <si>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</si>
  <si>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</si>
  <si>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</si>
  <si>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</si>
  <si>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</si>
  <si>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</si>
  <si>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</si>
  <si>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</si>
  <si>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</si>
  <si>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</si>
  <si>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</si>
  <si>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</si>
  <si>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</si>
  <si>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</si>
  <si>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</si>
  <si>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</si>
  <si>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</si>
  <si>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</si>
  <si>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</si>
  <si>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</si>
  <si>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</si>
  <si>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</si>
  <si>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</si>
  <si>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</si>
  <si>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</si>
  <si>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</si>
  <si>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</si>
  <si>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</si>
  <si>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</si>
  <si>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</si>
  <si>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</si>
  <si>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</si>
  <si>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</si>
  <si>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</si>
  <si>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</si>
  <si>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</si>
  <si>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</si>
  <si>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</si>
  <si>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</si>
  <si>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</si>
  <si>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</si>
  <si>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</si>
  <si>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</si>
  <si>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</si>
  <si>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</si>
  <si>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</si>
  <si>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</si>
  <si>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</si>
  <si>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</si>
  <si>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</si>
  <si>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</si>
  <si>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</si>
  <si>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</si>
  <si>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</si>
  <si>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</si>
  <si>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</si>
  <si>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</si>
  <si>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</si>
  <si>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</si>
  <si>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</si>
  <si>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</si>
  <si>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</si>
  <si>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</si>
  <si>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</si>
  <si>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</si>
  <si>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</si>
  <si>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</si>
  <si>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</si>
  <si>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</si>
  <si>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</si>
  <si>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</si>
  <si>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</si>
  <si>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</si>
  <si>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</si>
  <si>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</si>
  <si>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</si>
  <si>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</si>
  <si>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</si>
  <si>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</si>
  <si>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</si>
  <si>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</si>
  <si>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</si>
  <si>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</si>
  <si>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</si>
  <si>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</si>
  <si>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</si>
  <si>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</si>
  <si>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</si>
  <si>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</si>
  <si>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</si>
  <si>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</si>
  <si>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</si>
  <si>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</si>
  <si>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</si>
  <si>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</si>
  <si>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</si>
  <si>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</si>
  <si>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</si>
  <si>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</si>
  <si>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</si>
  <si>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</si>
  <si>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</si>
  <si>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</si>
  <si>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</si>
  <si>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</si>
  <si>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</si>
  <si>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</si>
  <si>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</si>
  <si>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</si>
  <si>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</si>
  <si>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</si>
  <si>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</si>
  <si>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</si>
  <si>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</si>
  <si>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</si>
  <si>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</si>
  <si>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</si>
  <si>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</si>
  <si>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</si>
  <si>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</si>
  <si>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</si>
  <si>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</si>
  <si>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</si>
  <si>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</si>
  <si>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</si>
  <si>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</si>
  <si>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</si>
  <si>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</si>
  <si>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</si>
  <si>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</si>
  <si>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</si>
  <si>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</si>
  <si>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</si>
  <si>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</si>
  <si>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</si>
  <si>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</si>
  <si>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</si>
  <si>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</si>
  <si>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</si>
  <si>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</si>
  <si>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</si>
  <si>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</si>
  <si>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</si>
  <si>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</si>
  <si>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</si>
  <si>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</si>
  <si>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</si>
  <si>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</si>
  <si>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</si>
  <si>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</si>
  <si>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</si>
  <si>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</si>
  <si>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</si>
  <si>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</si>
  <si>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</si>
  <si>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</si>
  <si>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</si>
  <si>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</si>
  <si>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</si>
  <si>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</si>
  <si>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</si>
  <si>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</si>
  <si>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</si>
  <si>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</si>
  <si>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</si>
  <si>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</si>
  <si>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</si>
  <si>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</si>
  <si>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</si>
  <si>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</si>
  <si>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</si>
  <si>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</si>
  <si>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</si>
  <si>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</si>
  <si>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</si>
  <si>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</si>
  <si>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</si>
  <si>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</si>
  <si>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</si>
  <si>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</si>
  <si>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</si>
  <si>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</si>
  <si>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</si>
  <si>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</si>
  <si>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</si>
  <si>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</si>
  <si>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</si>
  <si>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</si>
  <si>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</si>
  <si>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</si>
  <si>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</si>
  <si>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</si>
  <si>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</si>
  <si>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</si>
  <si>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</si>
  <si>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</si>
  <si>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</si>
  <si>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</si>
  <si>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</si>
  <si>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</si>
  <si>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</si>
  <si>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</si>
  <si>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</si>
  <si>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</si>
  <si>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</si>
  <si>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</si>
  <si>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</si>
  <si>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</si>
  <si>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</si>
  <si>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</si>
  <si>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</si>
  <si>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</si>
  <si>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</si>
  <si>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</si>
  <si>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</si>
  <si>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</si>
  <si>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</si>
  <si>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</si>
  <si>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</si>
  <si>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</si>
  <si>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</si>
  <si>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</si>
  <si>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</si>
  <si>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</si>
  <si>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</si>
  <si>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</si>
  <si>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</si>
  <si>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</si>
  <si>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</si>
  <si>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</si>
  <si>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</si>
  <si>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</si>
  <si>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</si>
  <si>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</si>
  <si>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</si>
  <si>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</si>
  <si>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</si>
  <si>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</si>
  <si>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</si>
  <si>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</si>
  <si>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</si>
  <si>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</si>
  <si>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</si>
  <si>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</si>
  <si>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</si>
  <si>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</si>
  <si>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</si>
  <si>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</si>
  <si>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</si>
  <si>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</si>
  <si>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</si>
  <si>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</si>
  <si>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</si>
  <si>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</si>
  <si>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</si>
  <si>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</si>
  <si>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</si>
  <si>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</si>
  <si>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</si>
  <si>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</si>
  <si>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</si>
  <si>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</si>
  <si>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</si>
  <si>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</si>
  <si>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</si>
  <si>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</si>
  <si>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</si>
  <si>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</si>
  <si>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</si>
  <si>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</si>
  <si>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</si>
  <si>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</si>
  <si>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</si>
  <si>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</si>
  <si>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</si>
  <si>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</si>
  <si>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</si>
  <si>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</si>
  <si>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</si>
  <si>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</si>
  <si>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</si>
  <si>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</si>
  <si>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</si>
  <si>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</si>
  <si>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</si>
  <si>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</si>
  <si>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</si>
  <si>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</si>
  <si>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</si>
  <si>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</si>
  <si>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</si>
  <si>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</si>
  <si>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</si>
  <si>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</si>
  <si>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</si>
  <si>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</si>
  <si>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</si>
  <si>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</si>
  <si>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</si>
  <si>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</si>
  <si>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</si>
  <si>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</si>
  <si>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</si>
  <si>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</si>
  <si>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</si>
  <si>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</si>
  <si>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</si>
  <si>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</si>
  <si>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</si>
  <si>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</si>
  <si>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</si>
  <si>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</si>
  <si>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</si>
  <si>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</si>
  <si>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</si>
  <si>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</si>
  <si>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</si>
  <si>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</si>
  <si>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</si>
  <si>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</si>
  <si>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</si>
  <si>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</si>
  <si>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</si>
  <si>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</si>
  <si>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</si>
  <si>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</si>
  <si>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</si>
  <si>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</si>
  <si>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</si>
  <si>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</si>
  <si>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</si>
  <si>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</si>
  <si>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</si>
  <si>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</si>
  <si>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</si>
  <si>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</si>
  <si>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</si>
  <si>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</si>
  <si>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</si>
  <si>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</si>
  <si>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</si>
  <si>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</si>
  <si>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</si>
  <si>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</si>
  <si>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</si>
  <si>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</si>
  <si>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</si>
  <si>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</si>
  <si>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</si>
  <si>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</si>
  <si>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</si>
  <si>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</si>
  <si>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</si>
  <si>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</si>
  <si>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</si>
  <si>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</si>
  <si>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</si>
  <si>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</si>
  <si>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</si>
  <si>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</si>
  <si>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</si>
  <si>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</si>
  <si>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</si>
  <si>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</si>
  <si>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</si>
  <si>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</si>
  <si>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</si>
  <si>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</si>
  <si>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</si>
  <si>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</si>
  <si>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</si>
  <si>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</si>
  <si>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</si>
  <si>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</si>
  <si>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</si>
  <si>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</si>
  <si>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</si>
  <si>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</si>
  <si>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</si>
  <si>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</si>
  <si>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</si>
  <si>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</si>
  <si>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</si>
  <si>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</si>
  <si>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</si>
  <si>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</si>
  <si>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</si>
  <si>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</si>
  <si>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</si>
  <si>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</si>
  <si>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</si>
  <si>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</si>
  <si>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</si>
  <si>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</si>
  <si>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</si>
  <si>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</si>
  <si>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</si>
  <si>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</si>
  <si>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</si>
  <si>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</si>
  <si>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</si>
  <si>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</si>
  <si>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</si>
  <si>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</si>
  <si>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</si>
  <si>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</si>
  <si>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</si>
  <si>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</si>
  <si>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</si>
  <si>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</si>
  <si>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</si>
  <si>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</si>
  <si>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</si>
  <si>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</si>
  <si>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</si>
  <si>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</si>
  <si>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</si>
  <si>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</si>
  <si>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</si>
  <si>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</si>
  <si>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</si>
  <si>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</si>
  <si>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</si>
  <si>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</si>
  <si>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</si>
  <si>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</si>
  <si>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</si>
  <si>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</si>
  <si>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</si>
  <si>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</si>
  <si>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</si>
  <si>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</si>
  <si>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</si>
  <si>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</si>
  <si>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</si>
  <si>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</si>
  <si>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</si>
  <si>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</si>
  <si>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</si>
  <si>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</si>
  <si>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</si>
  <si>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</si>
  <si>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</si>
  <si>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</si>
  <si>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</si>
  <si>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</si>
  <si>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</si>
  <si>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</si>
  <si>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</si>
  <si>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</si>
  <si>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</si>
  <si>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</si>
  <si>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</si>
  <si>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</si>
  <si>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</si>
  <si>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</si>
  <si>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</si>
  <si>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</si>
  <si>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</si>
  <si>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</si>
  <si>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</si>
  <si>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</si>
  <si>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</si>
  <si>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</si>
  <si>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</si>
  <si>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</si>
  <si>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</si>
  <si>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</si>
  <si>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</si>
  <si>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</si>
  <si>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</si>
  <si>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</si>
  <si>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</si>
  <si>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</si>
  <si>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</si>
  <si>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</si>
  <si>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</si>
  <si>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</si>
  <si>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</si>
  <si>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</si>
  <si>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</si>
  <si>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</si>
  <si>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</si>
  <si>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</si>
  <si>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</si>
  <si>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</si>
  <si>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</si>
  <si>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</si>
  <si>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</si>
  <si>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</si>
  <si>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</si>
  <si>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</si>
  <si>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</si>
  <si>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</si>
  <si>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</si>
  <si>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</si>
  <si>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</si>
  <si>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</si>
  <si>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</si>
  <si>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</si>
  <si>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</si>
  <si>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</si>
  <si>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</si>
  <si>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</si>
  <si>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</si>
  <si>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</si>
  <si>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</si>
  <si>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</si>
  <si>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</si>
  <si>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</si>
  <si>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</si>
  <si>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</si>
  <si>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</si>
  <si>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</si>
  <si>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</si>
  <si>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</si>
  <si>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</si>
  <si>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</si>
  <si>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</si>
  <si>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</si>
  <si>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</si>
  <si>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</si>
  <si>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</si>
  <si>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</si>
  <si>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</si>
  <si>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</si>
  <si>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</si>
  <si>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</si>
  <si>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</si>
  <si>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</si>
  <si>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</si>
  <si>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</si>
  <si>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</si>
  <si>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</si>
  <si>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</si>
  <si>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</si>
  <si>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</si>
  <si>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</si>
  <si>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</si>
  <si>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</si>
  <si>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</si>
  <si>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</si>
  <si>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</si>
  <si>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</si>
  <si>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</si>
  <si>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</si>
  <si>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</si>
  <si>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</si>
  <si>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</si>
  <si>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</si>
  <si>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</si>
  <si>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</si>
  <si>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</si>
  <si>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</si>
  <si>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</si>
  <si>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</si>
  <si>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</si>
  <si>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</si>
  <si>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</si>
  <si>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</si>
  <si>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</si>
  <si>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</si>
  <si>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</si>
  <si>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</si>
  <si>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</si>
  <si>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</si>
  <si>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</si>
  <si>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</si>
  <si>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</si>
  <si>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</si>
  <si>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</si>
  <si>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</si>
  <si>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</si>
  <si>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</si>
  <si>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</si>
  <si>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</si>
  <si>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</si>
  <si>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</si>
  <si>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</si>
  <si>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</si>
  <si>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</si>
  <si>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</si>
  <si>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</si>
  <si>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</si>
  <si>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</si>
  <si>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</si>
  <si>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</si>
  <si>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</si>
  <si>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</si>
  <si>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</si>
  <si>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</si>
  <si>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</si>
  <si>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</si>
  <si>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</si>
  <si>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</si>
  <si>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</si>
  <si>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</si>
  <si>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</si>
  <si>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</si>
  <si>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</si>
  <si>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</si>
  <si>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</si>
  <si>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</si>
  <si>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</si>
  <si>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</si>
  <si>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</si>
  <si>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</si>
  <si>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</si>
  <si>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</si>
  <si>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</si>
  <si>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</si>
  <si>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</si>
  <si>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</si>
  <si>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</si>
  <si>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</si>
  <si>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</si>
  <si>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</si>
  <si>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</si>
  <si>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</si>
  <si>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</si>
  <si>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</si>
  <si>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</si>
  <si>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</si>
  <si>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</si>
  <si>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</si>
  <si>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</si>
  <si>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</si>
  <si>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</si>
  <si>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</si>
  <si>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</si>
  <si>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</si>
  <si>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</si>
  <si>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</si>
  <si>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</si>
  <si>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</si>
  <si>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</si>
  <si>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</si>
  <si>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</si>
  <si>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</si>
  <si>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</si>
  <si>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</si>
  <si>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</si>
  <si>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</si>
  <si>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</si>
  <si>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</si>
  <si>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</si>
  <si>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</si>
  <si>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</si>
  <si>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</si>
  <si>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</si>
  <si>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</si>
  <si>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</si>
  <si>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</si>
  <si>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</si>
  <si>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</si>
  <si>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</si>
  <si>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</si>
  <si>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</si>
  <si>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</si>
  <si>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</si>
  <si>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</si>
  <si>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</si>
  <si>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</si>
  <si>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</si>
  <si>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</si>
  <si>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</si>
  <si>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</si>
  <si>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</si>
  <si>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</si>
  <si>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</si>
  <si>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</si>
  <si>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</si>
  <si>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</si>
  <si>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</si>
  <si>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</si>
  <si>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</si>
  <si>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</si>
  <si>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</si>
  <si>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</si>
  <si>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</si>
  <si>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</si>
  <si>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</si>
  <si>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</si>
  <si>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</si>
  <si>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</si>
  <si>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</si>
  <si>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</si>
  <si>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</si>
  <si>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</si>
  <si>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</si>
  <si>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</si>
  <si>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</si>
  <si>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</si>
  <si>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</si>
  <si>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</si>
  <si>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</si>
  <si>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</si>
  <si>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</si>
  <si>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</si>
  <si>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</si>
  <si>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</si>
  <si>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</si>
  <si>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</si>
  <si>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</si>
  <si>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</si>
  <si>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</si>
  <si>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</si>
  <si>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</si>
  <si>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</si>
  <si>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</si>
  <si>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</si>
  <si>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</si>
  <si>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</si>
  <si>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</si>
  <si>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</si>
  <si>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</si>
  <si>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</si>
  <si>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</si>
  <si>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</si>
  <si>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</si>
  <si>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</si>
  <si>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</si>
  <si>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</si>
  <si>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</si>
  <si>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</si>
  <si>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</si>
  <si>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</si>
  <si>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</si>
  <si>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</si>
  <si>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</si>
  <si>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</si>
  <si>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</si>
  <si>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</si>
  <si>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</si>
  <si>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</si>
  <si>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</si>
  <si>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</si>
  <si>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</si>
  <si>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</si>
  <si>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</si>
  <si>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</si>
  <si>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</si>
  <si>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</si>
  <si>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</si>
  <si>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</si>
  <si>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</si>
  <si>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</si>
  <si>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</si>
  <si>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</si>
  <si>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</si>
  <si>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</si>
  <si>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</si>
  <si>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</si>
  <si>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</si>
  <si>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</si>
  <si>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</si>
  <si>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</si>
  <si>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</si>
  <si>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</si>
  <si>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</si>
  <si>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</si>
  <si>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</si>
  <si>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</si>
  <si>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</si>
  <si>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</si>
  <si>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</si>
  <si>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</si>
  <si>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</si>
  <si>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</si>
  <si>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</si>
  <si>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</si>
  <si>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</si>
  <si>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</si>
  <si>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</si>
  <si>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</si>
  <si>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</si>
  <si>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</si>
  <si>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</si>
  <si>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</si>
  <si>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</si>
  <si>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</si>
  <si>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</si>
  <si>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</si>
  <si>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</si>
  <si>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</si>
  <si>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</si>
  <si>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</si>
  <si>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</si>
  <si>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</si>
  <si>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</si>
  <si>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</si>
  <si>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</si>
  <si>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</si>
  <si>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</si>
  <si>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</si>
  <si>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</si>
  <si>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</si>
  <si>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</si>
  <si>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</si>
  <si>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</si>
  <si>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</si>
  <si>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</si>
  <si>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</si>
  <si>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</si>
  <si>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</si>
  <si>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</si>
  <si>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</si>
  <si>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</si>
  <si>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</si>
  <si>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</si>
  <si>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</si>
  <si>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</si>
  <si>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</si>
  <si>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</si>
  <si>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</si>
  <si>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</si>
  <si>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</si>
  <si>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</si>
  <si>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</si>
  <si>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</si>
  <si>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</si>
  <si>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</si>
  <si>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</si>
  <si>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</si>
  <si>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</si>
  <si>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</si>
  <si>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</si>
  <si>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</si>
  <si>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</si>
  <si>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</si>
  <si>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</si>
  <si>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</si>
  <si>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</si>
  <si>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</si>
  <si>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</si>
  <si>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</si>
  <si>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</si>
  <si>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</si>
  <si>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</si>
  <si>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</si>
  <si>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</si>
  <si>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</si>
  <si>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</si>
  <si>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</si>
  <si>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</si>
  <si>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</si>
  <si>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</si>
  <si>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</si>
  <si>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</si>
  <si>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</si>
  <si>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</si>
  <si>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</si>
  <si>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</si>
  <si>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</si>
  <si>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</si>
  <si>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</si>
  <si>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</si>
  <si>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</si>
  <si>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</si>
  <si>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</si>
  <si>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</si>
  <si>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</si>
  <si>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</si>
  <si>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</si>
  <si>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</si>
  <si>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</si>
  <si>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</si>
  <si>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</si>
  <si>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</si>
  <si>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</si>
  <si>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</si>
  <si>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</si>
  <si>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</si>
  <si>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</si>
  <si>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</si>
  <si>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</si>
  <si>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</si>
  <si>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</si>
  <si>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</si>
  <si>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</si>
  <si>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</si>
  <si>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</si>
  <si>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</si>
  <si>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</si>
  <si>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</si>
  <si>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</si>
  <si>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</si>
  <si>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</si>
  <si>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</si>
  <si>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</si>
  <si>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</si>
  <si>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</si>
  <si>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</si>
  <si>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</si>
  <si>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</si>
  <si>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</si>
  <si>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</si>
  <si>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</si>
  <si>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</si>
  <si>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</si>
  <si>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</si>
  <si>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</si>
  <si>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</si>
  <si>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</si>
  <si>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</si>
  <si>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</si>
  <si>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</si>
  <si>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</si>
  <si>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</si>
  <si>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</si>
  <si>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</si>
  <si>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</si>
  <si>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</si>
  <si>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</si>
  <si>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</si>
  <si>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</si>
  <si>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</si>
  <si>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</si>
  <si>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</si>
  <si>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</si>
  <si>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</si>
  <si>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</si>
  <si>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</si>
  <si>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</si>
  <si>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</si>
  <si>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</si>
  <si>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</si>
  <si>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</si>
  <si>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</si>
  <si>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</si>
  <si>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</si>
  <si>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</si>
  <si>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</si>
  <si>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</si>
  <si>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</si>
  <si>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</si>
  <si>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</si>
  <si>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</si>
  <si>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</si>
  <si>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</si>
  <si>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</si>
  <si>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</si>
  <si>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</si>
  <si>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</si>
  <si>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</si>
  <si>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</si>
  <si>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</si>
  <si>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</si>
  <si>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</si>
  <si>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</si>
  <si>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</si>
  <si>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</si>
  <si>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</si>
  <si>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</si>
  <si>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</si>
  <si>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</si>
  <si>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</si>
  <si>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</si>
  <si>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</si>
  <si>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</si>
  <si>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</si>
  <si>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</si>
  <si>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</si>
  <si>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</si>
  <si>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</si>
  <si>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</si>
  <si>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</si>
  <si>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</si>
  <si>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</si>
  <si>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</si>
  <si>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</si>
  <si>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</si>
  <si>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</si>
  <si>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</si>
  <si>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</si>
  <si>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</si>
  <si>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</si>
  <si>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</si>
  <si>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</si>
  <si>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</si>
  <si>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</si>
  <si>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</si>
  <si>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</si>
  <si>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</si>
  <si>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</si>
  <si>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</si>
  <si>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</si>
  <si>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</si>
  <si>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</si>
  <si>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</si>
  <si>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</si>
  <si>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</si>
  <si>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</si>
  <si>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</si>
  <si>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</si>
  <si>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</si>
  <si>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</si>
  <si>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</si>
  <si>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</si>
  <si>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</si>
  <si>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</si>
  <si>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</si>
  <si>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</si>
  <si>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</si>
  <si>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</si>
  <si>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</si>
  <si>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</si>
  <si>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</si>
  <si>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</si>
  <si>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</si>
  <si>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</si>
  <si>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</si>
  <si>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</si>
  <si>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</si>
  <si>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</si>
  <si>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</si>
  <si>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</si>
  <si>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</si>
  <si>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</si>
  <si>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</si>
  <si>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</si>
  <si>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</si>
  <si>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</si>
  <si>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</si>
  <si>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</si>
  <si>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</si>
  <si>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</si>
  <si>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</si>
  <si>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</si>
  <si>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</si>
  <si>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</si>
  <si>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</si>
  <si>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</si>
  <si>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</si>
  <si>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</si>
  <si>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</si>
  <si>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</si>
  <si>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</si>
  <si>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</si>
  <si>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</si>
  <si>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</si>
  <si>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</si>
  <si>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</si>
  <si>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</si>
  <si>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</si>
  <si>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</si>
  <si>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</si>
  <si>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</si>
  <si>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</si>
  <si>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</si>
  <si>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</si>
  <si>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</si>
  <si>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</si>
  <si>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</si>
  <si>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</si>
  <si>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</si>
  <si>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</si>
  <si>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</si>
  <si>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</si>
  <si>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</si>
  <si>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</si>
  <si>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</si>
  <si>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</si>
  <si>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</si>
  <si>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</si>
  <si>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</si>
  <si>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</si>
  <si>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</si>
  <si>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</si>
  <si>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</si>
  <si>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</si>
  <si>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</si>
  <si>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</si>
  <si>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</si>
  <si>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</si>
  <si>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</si>
  <si>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</si>
  <si>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</si>
  <si>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</si>
  <si>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</si>
  <si>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</si>
  <si>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</si>
  <si>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</si>
  <si>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</si>
  <si>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</si>
  <si>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</si>
  <si>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</si>
  <si>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</si>
  <si>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</si>
  <si>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</si>
  <si>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</si>
  <si>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</si>
  <si>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</si>
  <si>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</si>
  <si>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</si>
  <si>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</si>
  <si>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</si>
  <si>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</si>
  <si>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</si>
  <si>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</si>
  <si>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</si>
  <si>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</si>
  <si>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</si>
  <si>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</si>
  <si>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</si>
  <si>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</si>
  <si>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</si>
  <si>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</si>
  <si>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</si>
  <si>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</si>
  <si>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</si>
  <si>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</si>
  <si>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</si>
  <si>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</si>
  <si>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</si>
  <si>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</si>
  <si>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</si>
  <si>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</si>
  <si>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</si>
  <si>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</si>
  <si>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</si>
  <si>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</si>
  <si>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</si>
  <si>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</si>
  <si>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</si>
  <si>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</si>
  <si>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</si>
  <si>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</si>
  <si>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</si>
  <si>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</si>
  <si>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</si>
  <si>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</si>
  <si>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</si>
  <si>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</si>
  <si>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</si>
  <si>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</si>
  <si>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</si>
  <si>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</si>
  <si>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</si>
  <si>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</si>
  <si>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</si>
  <si>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</si>
  <si>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</si>
  <si>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</si>
  <si>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</si>
  <si>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</si>
  <si>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</si>
  <si>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</si>
  <si>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</si>
  <si>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</si>
  <si>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</si>
  <si>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</si>
  <si>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</si>
  <si>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</si>
  <si>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</si>
  <si>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</si>
  <si>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</si>
  <si>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</si>
  <si>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</si>
  <si>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</si>
  <si>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</si>
  <si>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</si>
  <si>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</si>
  <si>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</si>
  <si>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</si>
  <si>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</si>
  <si>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</si>
  <si>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</si>
  <si>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</si>
  <si>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</si>
  <si>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</si>
  <si>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</si>
  <si>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</si>
  <si>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</si>
  <si>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</si>
  <si>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</si>
  <si>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</si>
  <si>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</si>
  <si>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</si>
  <si>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</si>
  <si>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</si>
  <si>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</si>
  <si>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</si>
  <si>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</si>
  <si>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</si>
  <si>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</si>
  <si>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</si>
  <si>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</si>
  <si>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</si>
  <si>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</si>
  <si>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</si>
  <si>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</si>
  <si>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</si>
  <si>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</si>
  <si>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</si>
  <si>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</si>
  <si>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</si>
  <si>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</si>
  <si>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</si>
  <si>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</si>
  <si>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</si>
  <si>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</si>
  <si>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</si>
  <si>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</si>
  <si>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</si>
  <si>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</si>
  <si>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</si>
  <si>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</si>
  <si>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</si>
  <si>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</si>
  <si>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</si>
  <si>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</si>
  <si>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</si>
  <si>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</si>
  <si>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</si>
  <si>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</si>
  <si>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</si>
  <si>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</si>
  <si>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</si>
  <si>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</si>
  <si>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</si>
  <si>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</si>
  <si>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</si>
  <si>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</si>
  <si>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</si>
  <si>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</si>
  <si>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</si>
  <si>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</si>
  <si>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</si>
  <si>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</si>
  <si>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</si>
  <si>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</si>
  <si>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</si>
  <si>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</si>
  <si>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</si>
  <si>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</si>
  <si>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</si>
  <si>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</si>
  <si>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</si>
  <si>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</si>
  <si>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</si>
  <si>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</si>
  <si>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</si>
  <si>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</si>
  <si>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</si>
  <si>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</si>
  <si>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</si>
  <si>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</si>
  <si>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</si>
  <si>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</si>
  <si>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</si>
  <si>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</si>
  <si>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</si>
  <si>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</si>
  <si>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</si>
  <si>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</si>
  <si>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</si>
  <si>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</si>
  <si>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</si>
  <si>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</si>
  <si>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</si>
  <si>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</si>
  <si>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</si>
  <si>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</si>
  <si>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</si>
  <si>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</si>
  <si>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</si>
  <si>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</si>
  <si>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</si>
  <si>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</si>
  <si>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</si>
  <si>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</si>
  <si>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</si>
  <si>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</si>
  <si>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</si>
  <si>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</si>
  <si>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</si>
  <si>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</si>
  <si>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</si>
  <si>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</si>
  <si>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</si>
  <si>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</si>
  <si>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</si>
  <si>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</si>
  <si>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</si>
  <si>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</si>
  <si>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</si>
  <si>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</si>
  <si>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</si>
  <si>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</si>
  <si>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</si>
  <si>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</si>
  <si>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</si>
  <si>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</si>
  <si>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</si>
  <si>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</si>
  <si>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</si>
  <si>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</si>
  <si>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</si>
  <si>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</si>
  <si>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</si>
  <si>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</si>
  <si>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</si>
  <si>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</si>
  <si>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</si>
  <si>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</si>
  <si>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</si>
  <si>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</si>
  <si>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</si>
  <si>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</si>
  <si>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</si>
  <si>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</si>
  <si>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</si>
  <si>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</si>
  <si>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</si>
  <si>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</si>
  <si>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</si>
  <si>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</si>
  <si>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</si>
  <si>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</si>
  <si>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</si>
  <si>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</si>
  <si>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</si>
  <si>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</si>
  <si>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</si>
  <si>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</si>
  <si>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</si>
  <si>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</si>
  <si>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</si>
  <si>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</si>
  <si>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</si>
  <si>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</si>
  <si>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</si>
  <si>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</si>
  <si>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</si>
  <si>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</si>
  <si>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</si>
  <si>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</si>
  <si>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</si>
  <si>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</si>
  <si>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</si>
  <si>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</si>
  <si>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</si>
  <si>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</si>
  <si>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</si>
  <si>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</si>
  <si>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</si>
  <si>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</si>
  <si>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</si>
  <si>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</si>
  <si>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</si>
  <si>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</si>
  <si>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</si>
  <si>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</si>
  <si>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</si>
  <si>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</si>
  <si>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</si>
  <si>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</si>
  <si>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</si>
  <si>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</si>
  <si>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</si>
  <si>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</si>
  <si>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</si>
  <si>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</si>
  <si>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</si>
  <si>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</si>
  <si>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</si>
  <si>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</si>
  <si>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</si>
  <si>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</si>
  <si>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</si>
  <si>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</si>
  <si>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</si>
  <si>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</si>
  <si>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</si>
  <si>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</si>
  <si>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</si>
  <si>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</si>
  <si>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</si>
  <si>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</si>
  <si>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</si>
  <si>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</si>
  <si>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</si>
  <si>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</si>
  <si>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</si>
  <si>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</si>
  <si>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</si>
  <si>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</si>
  <si>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</si>
  <si>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</si>
  <si>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</si>
  <si>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</si>
  <si>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</si>
  <si>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</si>
  <si>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</si>
  <si>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</si>
  <si>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</si>
  <si>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</si>
  <si>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</si>
  <si>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</si>
  <si>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</si>
  <si>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</si>
  <si>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</si>
  <si>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</si>
  <si>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</si>
  <si>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</si>
  <si>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</si>
  <si>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</si>
  <si>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</si>
  <si>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</si>
  <si>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</si>
  <si>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</si>
  <si>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</si>
  <si>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</si>
  <si>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</si>
  <si>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</si>
  <si>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</si>
  <si>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</si>
  <si>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</si>
  <si>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</si>
  <si>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</si>
  <si>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</si>
  <si>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</si>
  <si>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</si>
  <si>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</si>
  <si>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</si>
  <si>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</si>
  <si>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</si>
  <si>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</si>
  <si>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</si>
  <si>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</si>
  <si>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</si>
  <si>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</si>
  <si>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</si>
  <si>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</si>
  <si>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</si>
  <si>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</si>
  <si>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</si>
  <si>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</si>
  <si>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</si>
  <si>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</si>
  <si>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</si>
  <si>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</si>
  <si>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</si>
  <si>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</si>
  <si>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</si>
  <si>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</si>
  <si>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</si>
  <si>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</si>
  <si>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</si>
  <si>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</si>
  <si>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</si>
  <si>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</si>
  <si>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</si>
  <si>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</si>
  <si>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</si>
  <si>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</si>
  <si>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</si>
  <si>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</si>
  <si>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</si>
  <si>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</si>
  <si>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</si>
  <si>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</si>
  <si>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</si>
  <si>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</si>
  <si>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</si>
  <si>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</si>
  <si>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</si>
  <si>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</si>
  <si>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</si>
  <si>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</si>
  <si>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</si>
  <si>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</si>
  <si>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</si>
  <si>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</si>
  <si>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</si>
  <si>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</si>
  <si>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</si>
  <si>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</si>
  <si>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</si>
  <si>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</si>
  <si>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</si>
  <si>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</si>
  <si>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</si>
  <si>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</si>
  <si>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</si>
  <si>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</si>
  <si>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</si>
  <si>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</si>
  <si>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</si>
  <si>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</si>
  <si>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</si>
  <si>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</si>
  <si>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</si>
  <si>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</si>
  <si>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</si>
  <si>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</si>
  <si>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</si>
  <si>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</si>
  <si>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</si>
  <si>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</si>
  <si>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</si>
  <si>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</si>
  <si>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</si>
  <si>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</si>
  <si>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</si>
  <si>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</si>
  <si>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</si>
  <si>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</si>
  <si>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</si>
  <si>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</si>
  <si>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</si>
  <si>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</si>
  <si>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</si>
  <si>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</si>
  <si>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</si>
  <si>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</si>
  <si>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</si>
  <si>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</si>
  <si>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</si>
  <si>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</si>
  <si>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</si>
  <si>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</si>
  <si>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</si>
  <si>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</si>
  <si>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</si>
  <si>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</si>
  <si>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</si>
  <si>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</si>
  <si>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</si>
  <si>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</si>
  <si>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</si>
  <si>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</si>
  <si>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</si>
  <si>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</si>
  <si>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</si>
  <si>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</si>
  <si>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</si>
  <si>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</si>
  <si>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</si>
  <si>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</si>
  <si>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</si>
  <si>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</si>
  <si>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</si>
  <si>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</si>
  <si>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</si>
  <si>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</si>
  <si>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</si>
  <si>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</si>
  <si>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</si>
  <si>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</si>
  <si>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</si>
  <si>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</si>
  <si>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</si>
  <si>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</si>
  <si>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</si>
  <si>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</si>
  <si>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</si>
  <si>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</si>
  <si>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</si>
  <si>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</si>
  <si>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</si>
  <si>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</si>
  <si>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</si>
  <si>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</si>
  <si>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</si>
  <si>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</si>
  <si>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</si>
  <si>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</si>
  <si>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</si>
  <si>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</si>
  <si>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</si>
  <si>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</si>
  <si>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</si>
  <si>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</si>
  <si>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</si>
  <si>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</si>
  <si>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</si>
  <si>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</si>
  <si>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</si>
  <si>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</si>
  <si>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</si>
  <si>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</si>
  <si>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</si>
  <si>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</si>
  <si>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</si>
  <si>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</si>
  <si>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</si>
  <si>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</si>
  <si>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</si>
  <si>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</si>
  <si>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</si>
  <si>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</si>
  <si>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</si>
  <si>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</si>
  <si>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</si>
  <si>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</si>
  <si>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</si>
  <si>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</si>
  <si>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</si>
  <si>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</si>
  <si>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</si>
  <si>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</si>
  <si>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</si>
  <si>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</si>
  <si>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</si>
  <si>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</si>
  <si>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</si>
  <si>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</si>
  <si>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</si>
  <si>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</si>
  <si>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</si>
  <si>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</si>
  <si>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</si>
  <si>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</si>
  <si>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</si>
  <si>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</si>
  <si>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</si>
  <si>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</si>
  <si>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</si>
  <si>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</si>
  <si>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</si>
  <si>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</si>
  <si>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</si>
  <si>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</si>
  <si>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</si>
  <si>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</si>
  <si>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</si>
  <si>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</si>
  <si>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</si>
  <si>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</si>
  <si>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</si>
  <si>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</si>
  <si>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</si>
  <si>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</si>
  <si>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</si>
  <si>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</si>
  <si>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</si>
  <si>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</si>
  <si>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</si>
  <si>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</si>
  <si>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</si>
  <si>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</si>
  <si>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</si>
  <si>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</si>
  <si>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</si>
  <si>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</si>
  <si>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</si>
  <si>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</si>
  <si>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</si>
  <si>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</si>
  <si>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</si>
  <si>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</si>
  <si>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</si>
  <si>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</si>
  <si>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</si>
  <si>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</si>
  <si>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</si>
  <si>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</si>
  <si>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</si>
  <si>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</si>
  <si>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</si>
  <si>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</si>
  <si>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</si>
  <si>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</si>
  <si>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</si>
  <si>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</si>
  <si>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</si>
  <si>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</si>
  <si>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</si>
  <si>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</si>
  <si>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</si>
  <si>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</si>
  <si>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</si>
  <si>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</si>
  <si>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</si>
  <si>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</si>
  <si>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</si>
  <si>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</si>
  <si>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</si>
  <si>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</si>
  <si>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</si>
  <si>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</si>
  <si>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</si>
  <si>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</si>
  <si>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</si>
  <si>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</si>
  <si>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</si>
  <si>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</si>
  <si>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</si>
  <si>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</si>
  <si>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</si>
  <si>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</si>
  <si>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</si>
  <si>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</si>
  <si>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</si>
  <si>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</si>
  <si>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</si>
  <si>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</si>
  <si>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</si>
  <si>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</si>
  <si>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</si>
  <si>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</si>
  <si>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</si>
  <si>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</si>
  <si>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</si>
  <si>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</si>
  <si>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</si>
  <si>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</si>
  <si>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</si>
  <si>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</si>
  <si>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</si>
  <si>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</si>
  <si>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</si>
  <si>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</si>
  <si>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</si>
  <si>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</si>
  <si>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</si>
  <si>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</si>
  <si>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</si>
  <si>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</si>
  <si>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</si>
  <si>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</si>
  <si>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</si>
  <si>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</si>
  <si>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</si>
  <si>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</si>
  <si>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</si>
  <si>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</si>
  <si>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</si>
  <si>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</si>
  <si>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</si>
  <si>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</si>
  <si>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</si>
  <si>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</si>
  <si>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</si>
  <si>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</si>
  <si>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</si>
  <si>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</si>
  <si>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</si>
  <si>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</si>
  <si>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</si>
  <si>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</si>
  <si>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</si>
  <si>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</si>
  <si>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</si>
  <si>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</si>
  <si>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</si>
  <si>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</si>
  <si>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</si>
  <si>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</si>
  <si>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</si>
  <si>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</si>
  <si>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</si>
  <si>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</si>
  <si>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</si>
  <si>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</si>
  <si>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</si>
  <si>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</si>
  <si>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</si>
  <si>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</si>
  <si>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</si>
  <si>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</si>
  <si>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</si>
  <si>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</si>
  <si>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</si>
  <si>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</si>
  <si>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</si>
  <si>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</si>
  <si>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</si>
  <si>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</si>
  <si>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</si>
  <si>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</si>
  <si>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</si>
  <si>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</si>
  <si>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</si>
  <si>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</si>
  <si>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</si>
  <si>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</si>
  <si>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</si>
  <si>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</si>
  <si>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</si>
  <si>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</si>
  <si>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</si>
  <si>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</si>
  <si>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</si>
  <si>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</si>
  <si>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</si>
  <si>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</si>
  <si>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</si>
  <si>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</si>
  <si>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</si>
  <si>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</si>
  <si>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</si>
  <si>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</si>
  <si>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</si>
  <si>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</si>
  <si>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</si>
  <si>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</si>
  <si>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</si>
  <si>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</si>
  <si>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</si>
  <si>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</si>
  <si>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</si>
  <si>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</si>
  <si>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</si>
  <si>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</si>
  <si>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</si>
  <si>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</si>
  <si>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</si>
  <si>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</si>
  <si>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</si>
  <si>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</si>
  <si>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</si>
  <si>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</si>
  <si>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</si>
  <si>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</si>
  <si>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</si>
  <si>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</si>
  <si>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</si>
  <si>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</si>
  <si>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</si>
  <si>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</si>
  <si>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</si>
  <si>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</si>
  <si>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</si>
  <si>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</si>
  <si>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</si>
  <si>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</si>
  <si>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</si>
  <si>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</si>
  <si>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</si>
  <si>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</si>
  <si>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</si>
  <si>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</si>
  <si>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</si>
  <si>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</si>
  <si>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</si>
  <si>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</si>
  <si>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</si>
  <si>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</si>
  <si>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</si>
  <si>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</si>
  <si>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</si>
  <si>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</si>
  <si>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</si>
  <si>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</si>
  <si>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</si>
  <si>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</si>
  <si>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</si>
  <si>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</si>
  <si>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</si>
  <si>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</si>
  <si>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</si>
  <si>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</si>
  <si>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</si>
  <si>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</si>
  <si>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</si>
  <si>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</si>
  <si>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</si>
  <si>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</si>
  <si>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</si>
  <si>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</si>
  <si>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</si>
  <si>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</si>
  <si>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</si>
  <si>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</si>
  <si>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</si>
  <si>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</si>
  <si>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</si>
  <si>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</si>
  <si>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</si>
  <si>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</si>
  <si>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</si>
  <si>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</si>
  <si>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</si>
  <si>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</si>
  <si>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</si>
  <si>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</si>
  <si>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</si>
  <si>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</si>
  <si>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</si>
  <si>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</si>
  <si>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</si>
  <si>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</si>
  <si>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</si>
  <si>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</si>
  <si>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</si>
  <si>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</si>
  <si>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</si>
  <si>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</si>
  <si>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</si>
  <si>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</si>
  <si>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</si>
  <si>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</si>
  <si>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</si>
  <si>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</si>
  <si>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</si>
  <si>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</si>
  <si>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</si>
  <si>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</si>
  <si>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</si>
  <si>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</si>
  <si>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</si>
  <si>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</si>
  <si>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</si>
  <si>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</si>
  <si>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</si>
  <si>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</si>
  <si>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</si>
  <si>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</si>
  <si>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</si>
  <si>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</si>
  <si>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</si>
  <si>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</si>
  <si>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</si>
  <si>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</si>
  <si>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</si>
  <si>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</si>
  <si>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</si>
  <si>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</si>
  <si>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</si>
  <si>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</si>
  <si>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</si>
  <si>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</si>
  <si>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</si>
  <si>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</si>
  <si>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</si>
  <si>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</si>
  <si>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</si>
  <si>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</si>
  <si>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</si>
  <si>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</si>
  <si>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</si>
  <si>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</si>
  <si>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</si>
  <si>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</si>
  <si>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</si>
  <si>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</si>
  <si>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</si>
  <si>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</si>
  <si>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</si>
  <si>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</si>
  <si>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</si>
  <si>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</si>
  <si>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</si>
  <si>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</si>
  <si>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</si>
  <si>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</si>
  <si>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</si>
  <si>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</si>
  <si>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</si>
  <si>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</si>
  <si>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</si>
  <si>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</si>
  <si>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</si>
  <si>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</si>
  <si>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</si>
  <si>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</si>
  <si>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</si>
  <si>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</si>
  <si>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</si>
  <si>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</si>
  <si>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</si>
  <si>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</si>
  <si>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</si>
  <si>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</si>
  <si>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</si>
  <si>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</si>
  <si>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</si>
  <si>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</si>
  <si>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</si>
  <si>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</si>
  <si>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</si>
  <si>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</si>
  <si>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</si>
  <si>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</si>
  <si>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</si>
  <si>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</si>
  <si>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</si>
  <si>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</si>
  <si>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</si>
  <si>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</si>
  <si>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</si>
  <si>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</si>
  <si>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</si>
  <si>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</si>
  <si>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</si>
  <si>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</si>
  <si>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</si>
  <si>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</si>
  <si>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</si>
  <si>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</si>
  <si>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</si>
  <si>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</si>
  <si>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</si>
  <si>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</si>
  <si>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</si>
  <si>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</si>
  <si>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</si>
  <si>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</si>
  <si>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</si>
  <si>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</si>
  <si>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</si>
  <si>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</si>
  <si>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</si>
  <si>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</si>
  <si>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</si>
  <si>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</si>
  <si>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</si>
  <si>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</si>
  <si>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</si>
  <si>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</si>
  <si>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</si>
  <si>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</si>
  <si>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</si>
  <si>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</si>
  <si>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</si>
  <si>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</si>
  <si>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</si>
  <si>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</si>
  <si>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</si>
  <si>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</si>
  <si>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</si>
  <si>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</si>
  <si>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</si>
  <si>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</si>
  <si>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</si>
  <si>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</si>
  <si>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</si>
  <si>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</si>
  <si>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</si>
  <si>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</si>
  <si>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</si>
  <si>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</si>
  <si>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</si>
  <si>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</si>
  <si>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</si>
  <si>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</si>
  <si>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</si>
  <si>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</si>
  <si>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</si>
  <si>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</si>
  <si>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</si>
  <si>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</si>
  <si>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</si>
  <si>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</si>
  <si>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</si>
  <si>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</si>
  <si>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</si>
  <si>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</si>
  <si>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</si>
  <si>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</si>
  <si>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</si>
  <si>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</si>
  <si>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</si>
  <si>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</si>
  <si>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</si>
  <si>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</si>
  <si>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</si>
  <si>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</si>
  <si>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</si>
  <si>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</si>
  <si>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</si>
  <si>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</si>
  <si>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</si>
  <si>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</si>
  <si>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</si>
  <si>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</si>
  <si>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</si>
  <si>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</si>
  <si>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</si>
  <si>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</si>
  <si>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</si>
  <si>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</si>
  <si>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</si>
  <si>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</si>
  <si>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</si>
  <si>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</si>
  <si>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</si>
  <si>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</si>
  <si>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</si>
  <si>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</si>
  <si>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</si>
  <si>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</si>
  <si>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</si>
  <si>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</si>
  <si>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</si>
  <si>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</si>
  <si>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</si>
  <si>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</si>
  <si>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</si>
  <si>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</si>
  <si>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</si>
  <si>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</si>
  <si>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</si>
  <si>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</si>
  <si>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</si>
  <si>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</si>
  <si>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</si>
  <si>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</si>
  <si>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</si>
  <si>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</si>
  <si>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</si>
  <si>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</si>
  <si>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</si>
  <si>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</si>
  <si>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</si>
  <si>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</si>
  <si>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</si>
  <si>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</si>
  <si>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</si>
  <si>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</si>
  <si>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</si>
  <si>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</si>
  <si>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</si>
  <si>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</si>
  <si>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</si>
  <si>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</si>
  <si>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</si>
  <si>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</si>
  <si>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</si>
  <si>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</si>
  <si>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</si>
  <si>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</si>
  <si>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</si>
  <si>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</si>
  <si>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</si>
  <si>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</si>
  <si>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</si>
  <si>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</si>
  <si>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</si>
  <si>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</si>
  <si>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</si>
  <si>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</si>
  <si>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</si>
  <si>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</si>
  <si>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</si>
  <si>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</si>
  <si>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</si>
  <si>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</si>
  <si>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</si>
  <si>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</si>
  <si>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</si>
  <si>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</si>
  <si>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</si>
  <si>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</si>
  <si>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</si>
  <si>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</si>
  <si>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</si>
  <si>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</si>
  <si>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</si>
  <si>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</si>
  <si>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</si>
  <si>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</si>
  <si>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</si>
  <si>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</si>
  <si>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</si>
  <si>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</si>
  <si>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</si>
  <si>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</si>
  <si>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</si>
  <si>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</si>
  <si>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</si>
  <si>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</si>
  <si>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</si>
  <si>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</si>
  <si>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</si>
  <si>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</si>
  <si>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</si>
  <si>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</si>
  <si>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</si>
  <si>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</si>
  <si>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</si>
  <si>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</si>
  <si>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</si>
  <si>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</si>
  <si>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</si>
  <si>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</si>
  <si>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</si>
  <si>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</si>
  <si>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</si>
  <si>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</si>
  <si>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</si>
  <si>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</si>
  <si>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</si>
  <si>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</si>
  <si>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</si>
  <si>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</si>
  <si>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</si>
  <si>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</si>
  <si>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</si>
  <si>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</si>
  <si>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</si>
  <si>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</si>
  <si>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</si>
  <si>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</si>
  <si>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</si>
  <si>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</si>
  <si>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</si>
  <si>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</si>
  <si>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</si>
  <si>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</si>
  <si>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</si>
  <si>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</si>
  <si>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</si>
  <si>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</si>
  <si>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</si>
  <si>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</si>
  <si>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</si>
  <si>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</si>
  <si>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</si>
  <si>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</si>
  <si>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</si>
  <si>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</si>
  <si>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</si>
  <si>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</si>
  <si>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</si>
  <si>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</si>
  <si>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</si>
  <si>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</si>
  <si>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</si>
  <si>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</si>
  <si>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</si>
  <si>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</si>
  <si>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</si>
  <si>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</si>
  <si>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</si>
  <si>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</si>
  <si>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</si>
  <si>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</si>
  <si>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</si>
  <si>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</si>
  <si>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</si>
  <si>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</si>
  <si>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</si>
  <si>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</si>
  <si>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</si>
  <si>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</si>
  <si>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</si>
  <si>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</si>
  <si>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</si>
  <si>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</si>
  <si>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</si>
  <si>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</si>
  <si>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</si>
  <si>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</si>
  <si>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</si>
  <si>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</si>
  <si>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</si>
  <si>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</si>
  <si>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</si>
  <si>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</si>
  <si>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</si>
  <si>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</si>
  <si>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</si>
  <si>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</si>
  <si>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</si>
  <si>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</si>
  <si>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</si>
  <si>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</si>
  <si>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</si>
  <si>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</si>
  <si>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</si>
  <si>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</si>
  <si>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</si>
  <si>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</si>
  <si>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</si>
  <si>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</si>
  <si>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</si>
  <si>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</si>
  <si>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</si>
  <si>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</si>
  <si>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</si>
  <si>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</si>
  <si>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</si>
  <si>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</si>
  <si>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</si>
  <si>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</si>
  <si>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</si>
  <si>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</si>
  <si>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</si>
  <si>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</si>
  <si>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</si>
  <si>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</si>
  <si>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</si>
  <si>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</si>
  <si>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</si>
  <si>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</si>
  <si>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</si>
  <si>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</si>
  <si>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</si>
  <si>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</si>
  <si>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</si>
  <si>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</si>
  <si>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</si>
  <si>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</si>
  <si>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</si>
  <si>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</si>
  <si>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</si>
  <si>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</si>
  <si>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</si>
  <si>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</si>
  <si>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</si>
  <si>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</si>
  <si>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</si>
  <si>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</si>
  <si>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</si>
  <si>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</si>
  <si>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</si>
  <si>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</si>
  <si>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</si>
  <si>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</si>
  <si>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</si>
  <si>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</si>
  <si>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</si>
  <si>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</si>
  <si>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</si>
  <si>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</si>
  <si>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</si>
  <si>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</si>
  <si>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</si>
  <si>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</si>
  <si>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</si>
  <si>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</si>
  <si>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</si>
  <si>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</si>
  <si>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</si>
  <si>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</si>
  <si>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</si>
  <si>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</si>
  <si>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</si>
  <si>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</si>
  <si>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</si>
  <si>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</si>
  <si>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</si>
  <si>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</si>
  <si>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</si>
  <si>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</si>
  <si>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</si>
  <si>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</si>
  <si>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</si>
  <si>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</si>
  <si>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</si>
  <si>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</si>
  <si>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</si>
  <si>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</si>
  <si>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</si>
  <si>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</si>
  <si>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</si>
  <si>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</si>
  <si>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</si>
  <si>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</si>
  <si>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</si>
  <si>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</si>
  <si>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</si>
  <si>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</si>
  <si>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</si>
  <si>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</si>
  <si>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</si>
  <si>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</si>
  <si>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</si>
  <si>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</si>
  <si>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</si>
  <si>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</si>
  <si>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</si>
  <si>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</si>
  <si>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</si>
  <si>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</si>
  <si>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</si>
  <si>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</si>
  <si>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</si>
  <si>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</si>
  <si>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</si>
  <si>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</si>
  <si>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</si>
  <si>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</si>
  <si>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</si>
  <si>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</si>
  <si>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</si>
  <si>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</si>
  <si>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</si>
  <si>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</si>
  <si>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</si>
  <si>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</si>
  <si>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</si>
  <si>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</si>
  <si>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</si>
  <si>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</si>
  <si>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</si>
  <si>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</si>
  <si>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</si>
  <si>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</si>
  <si>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</si>
  <si>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</si>
  <si>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</si>
  <si>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</si>
  <si>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</si>
  <si>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</si>
  <si>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</si>
  <si>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</si>
  <si>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</si>
  <si>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</si>
  <si>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</si>
  <si>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</si>
  <si>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</si>
  <si>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</si>
  <si>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</si>
  <si>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</si>
  <si>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</si>
  <si>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</si>
  <si>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</si>
  <si>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</si>
  <si>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</si>
  <si>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</si>
  <si>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</si>
  <si>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</si>
  <si>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</si>
  <si>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</si>
  <si>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</si>
  <si>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</si>
  <si>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</si>
  <si>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</si>
  <si>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</si>
  <si>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</si>
  <si>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</si>
  <si>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</si>
  <si>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</si>
  <si>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</si>
  <si>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</si>
  <si>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</si>
  <si>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</si>
  <si>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</si>
  <si>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</si>
  <si>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</si>
  <si>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</si>
  <si>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</si>
  <si>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</si>
  <si>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</si>
  <si>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</si>
  <si>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</si>
  <si>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</si>
  <si>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</si>
  <si>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</si>
  <si>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</si>
  <si>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</si>
  <si>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</si>
  <si>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</si>
  <si>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</si>
  <si>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</si>
  <si>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</si>
  <si>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</si>
  <si>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</si>
  <si>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</si>
  <si>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</si>
  <si>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</si>
  <si>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</si>
  <si>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</si>
  <si>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</si>
  <si>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</si>
  <si>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</si>
  <si>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</si>
  <si>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</si>
  <si>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</si>
  <si>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</si>
  <si>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</si>
  <si>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</si>
  <si>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</si>
  <si>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</si>
  <si>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</si>
  <si>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</si>
  <si>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</si>
  <si>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</si>
  <si>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</si>
  <si>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</si>
  <si>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</si>
  <si>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</si>
  <si>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</si>
  <si>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</si>
  <si>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</si>
  <si>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</si>
  <si>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</si>
  <si>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</si>
  <si>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</si>
  <si>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</si>
  <si>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</si>
  <si>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</si>
  <si>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</si>
  <si>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</si>
  <si>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</si>
  <si>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</si>
  <si>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</si>
  <si>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</si>
  <si>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</si>
  <si>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</si>
  <si>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</si>
  <si>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</si>
  <si>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</si>
  <si>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</si>
  <si>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</si>
  <si>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</si>
  <si>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</si>
  <si>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</si>
  <si>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</si>
  <si>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</si>
  <si>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</si>
  <si>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</si>
  <si>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</si>
  <si>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</si>
  <si>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</si>
  <si>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</si>
  <si>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</si>
  <si>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</si>
  <si>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</si>
  <si>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</si>
  <si>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</si>
  <si>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</si>
  <si>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</si>
  <si>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</si>
  <si>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</si>
  <si>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</si>
  <si>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</si>
  <si>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</si>
  <si>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</si>
  <si>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</si>
  <si>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</si>
  <si>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</si>
  <si>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</si>
  <si>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</si>
  <si>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</si>
  <si>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</si>
  <si>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</si>
  <si>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</si>
  <si>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</si>
  <si>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</si>
  <si>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</si>
  <si>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</si>
  <si>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</si>
  <si>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</si>
  <si>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</si>
  <si>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</si>
  <si>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</si>
  <si>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</si>
  <si>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</si>
  <si>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</si>
  <si>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</si>
  <si>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</si>
  <si>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</si>
  <si>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</si>
  <si>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</si>
  <si>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</si>
  <si>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</si>
  <si>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</si>
  <si>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</si>
  <si>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</si>
  <si>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</si>
  <si>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</si>
  <si>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</si>
  <si>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</si>
  <si>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</si>
  <si>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</si>
  <si>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</si>
  <si>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</si>
  <si>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</si>
  <si>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</si>
  <si>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</si>
  <si>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</si>
  <si>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</si>
  <si>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</si>
  <si>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</si>
  <si>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</si>
  <si>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</si>
  <si>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</si>
  <si>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</si>
  <si>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</si>
  <si>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</si>
  <si>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</si>
  <si>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</si>
  <si>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</si>
  <si>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</si>
  <si>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</si>
  <si>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</si>
  <si>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</si>
  <si>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</si>
  <si>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</si>
  <si>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</si>
  <si>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</si>
  <si>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</si>
  <si>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</si>
  <si>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</si>
  <si>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</si>
  <si>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</si>
  <si>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</si>
  <si>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</si>
  <si>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</si>
  <si>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</si>
  <si>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</si>
  <si>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</si>
  <si>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</si>
  <si>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</si>
  <si>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</si>
  <si>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</si>
  <si>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</si>
  <si>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</si>
  <si>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</si>
  <si>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</si>
  <si>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</si>
  <si>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</si>
  <si>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</si>
  <si>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</si>
  <si>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</si>
  <si>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</si>
  <si>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</si>
  <si>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</si>
  <si>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</si>
  <si>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</si>
  <si>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</si>
  <si>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</si>
  <si>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</si>
  <si>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</si>
  <si>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</si>
  <si>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</si>
  <si>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</si>
  <si>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</si>
  <si>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</si>
  <si>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</si>
  <si>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</si>
  <si>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</si>
  <si>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</si>
  <si>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</si>
  <si>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</si>
  <si>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</si>
  <si>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</si>
  <si>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</si>
  <si>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</si>
  <si>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</si>
  <si>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</si>
  <si>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</si>
  <si>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</si>
  <si>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</si>
  <si>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</si>
  <si>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</si>
  <si>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</si>
  <si>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</si>
  <si>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</si>
  <si>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</si>
  <si>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</si>
  <si>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</si>
  <si>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</si>
  <si>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</si>
  <si>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</si>
  <si>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</si>
  <si>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</si>
  <si>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</si>
  <si>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</si>
  <si>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</si>
  <si>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</si>
  <si>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</si>
  <si>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</si>
  <si>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</si>
  <si>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</si>
  <si>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</si>
  <si>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</si>
  <si>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</si>
  <si>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</si>
  <si>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</si>
  <si>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</si>
  <si>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</si>
  <si>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</si>
  <si>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</si>
  <si>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</si>
  <si>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</si>
  <si>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</si>
  <si>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</si>
  <si>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</si>
  <si>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</si>
  <si>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</si>
  <si>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</si>
  <si>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</si>
  <si>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</si>
  <si>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</si>
  <si>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</si>
  <si>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</si>
  <si>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</si>
  <si>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</si>
  <si>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</si>
  <si>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</si>
  <si>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</si>
  <si>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</si>
  <si>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</si>
  <si>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</si>
  <si>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</si>
  <si>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</si>
  <si>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</si>
  <si>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</si>
  <si>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</si>
  <si>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</si>
  <si>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</si>
  <si>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</si>
  <si>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</si>
  <si>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</si>
  <si>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</si>
  <si>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</si>
  <si>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</si>
  <si>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</si>
  <si>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</si>
  <si>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</si>
  <si>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</si>
  <si>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</si>
  <si>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</si>
  <si>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</si>
  <si>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</si>
  <si>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</si>
  <si>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</si>
  <si>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</si>
  <si>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</si>
  <si>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</si>
  <si>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</si>
  <si>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</si>
  <si>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</si>
  <si>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</si>
  <si>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</si>
  <si>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</si>
  <si>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</si>
  <si>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</si>
  <si>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</si>
  <si>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</si>
  <si>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</si>
  <si>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</si>
  <si>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</si>
  <si>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</si>
  <si>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</si>
  <si>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</si>
  <si>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</si>
  <si>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</si>
  <si>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</si>
  <si>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</si>
  <si>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</si>
  <si>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</si>
  <si>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</si>
  <si>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</si>
  <si>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</si>
  <si>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</si>
  <si>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</si>
  <si>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</si>
  <si>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</si>
  <si>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</si>
  <si>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</si>
  <si>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</si>
  <si>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</si>
  <si>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</si>
  <si>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</si>
  <si>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</si>
  <si>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</si>
  <si>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</si>
  <si>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</si>
  <si>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</si>
  <si>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</si>
  <si>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</si>
  <si>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</si>
  <si>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</si>
  <si>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</si>
  <si>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</si>
  <si>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</si>
  <si>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</si>
  <si>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</si>
  <si>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</si>
  <si>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</si>
  <si>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</si>
  <si>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</si>
  <si>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</si>
  <si>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</si>
  <si>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</si>
  <si>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</si>
  <si>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</si>
  <si>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</si>
  <si>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</si>
  <si>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</si>
  <si>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</si>
  <si>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</si>
  <si>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</si>
  <si>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</si>
  <si>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</si>
  <si>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</si>
  <si>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</si>
  <si>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</si>
  <si>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</si>
  <si>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</si>
  <si>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</si>
  <si>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</si>
  <si>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</si>
  <si>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</si>
  <si>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</si>
  <si>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</si>
  <si>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</si>
  <si>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</si>
  <si>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</si>
  <si>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</si>
  <si>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</si>
  <si>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</si>
  <si>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</si>
  <si>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</si>
  <si>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</si>
  <si>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</si>
  <si>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</si>
  <si>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</si>
  <si>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</si>
  <si>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</si>
  <si>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</si>
  <si>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</si>
  <si>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</si>
  <si>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</si>
  <si>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</si>
  <si>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</si>
  <si>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</si>
  <si>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</si>
  <si>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</si>
  <si>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</si>
  <si>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</si>
  <si>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</si>
  <si>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</si>
  <si>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</si>
  <si>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</si>
  <si>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</si>
  <si>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</si>
  <si>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</si>
  <si>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</si>
  <si>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</si>
  <si>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</si>
  <si>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</si>
  <si>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</si>
  <si>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</si>
  <si>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</si>
  <si>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</si>
  <si>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</si>
  <si>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</si>
  <si>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</si>
  <si>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</si>
  <si>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</si>
  <si>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</si>
  <si>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</si>
  <si>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</si>
  <si>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</si>
  <si>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</si>
  <si>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</si>
  <si>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</si>
  <si>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</si>
  <si>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</si>
  <si>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</si>
  <si>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</si>
  <si>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</si>
  <si>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</si>
  <si>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</si>
  <si>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NUÃ‘EZ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</si>
  <si>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</si>
  <si>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</si>
  <si>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</si>
  <si>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</si>
  <si>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</si>
  <si>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</si>
  <si>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</si>
  <si>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</si>
  <si>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</si>
  <si>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</si>
  <si>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</si>
  <si>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</si>
  <si>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</si>
  <si>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</si>
  <si>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</si>
  <si>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</si>
  <si>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</si>
  <si>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</si>
  <si>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</si>
  <si>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</si>
  <si>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</si>
  <si>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</si>
  <si>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</si>
  <si>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</si>
  <si>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</si>
  <si>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</si>
  <si>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</si>
  <si>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</si>
  <si>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</si>
  <si>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</si>
  <si>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</si>
  <si>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</si>
  <si>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</si>
  <si>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</si>
  <si>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</si>
  <si>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</si>
  <si>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</si>
  <si>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</si>
  <si>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</si>
  <si>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</si>
  <si>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</si>
  <si>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</si>
  <si>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</si>
  <si>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</si>
  <si>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</si>
  <si>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</si>
  <si>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</si>
  <si>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</si>
  <si>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</si>
  <si>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</si>
  <si>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</si>
  <si>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</si>
  <si>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</si>
  <si>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</si>
  <si>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</si>
  <si>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</si>
  <si>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</si>
  <si>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</si>
  <si>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</si>
  <si>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</si>
  <si>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</si>
  <si>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</si>
  <si>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</si>
  <si>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</si>
  <si>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</si>
  <si>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</si>
  <si>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</si>
  <si>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</si>
  <si>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</si>
  <si>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</si>
  <si>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</si>
  <si>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</si>
  <si>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</si>
  <si>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</si>
  <si>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</si>
  <si>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</si>
  <si>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</si>
  <si>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</si>
  <si>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</si>
  <si>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</si>
  <si>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</si>
  <si>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</si>
  <si>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</si>
  <si>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</si>
  <si>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</si>
  <si>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</si>
  <si>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</si>
  <si>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</si>
  <si>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</si>
  <si>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</si>
  <si>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</si>
  <si>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</si>
  <si>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</si>
  <si>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</si>
  <si>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</si>
  <si>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</si>
  <si>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</si>
  <si>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</si>
  <si>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</si>
  <si>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</si>
  <si>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</si>
  <si>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</si>
  <si>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</si>
  <si>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</si>
  <si>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</si>
  <si>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</si>
  <si>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</si>
  <si>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</si>
  <si>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</si>
  <si>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</si>
  <si>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</si>
  <si>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</si>
  <si>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</si>
  <si>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</si>
  <si>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</si>
  <si>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</si>
  <si>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</si>
  <si>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</si>
  <si>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</si>
  <si>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</si>
  <si>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</si>
  <si>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</si>
  <si>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</si>
  <si>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</si>
  <si>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</si>
  <si>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</si>
  <si>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</si>
  <si>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</si>
  <si>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</si>
  <si>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</si>
  <si>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</si>
  <si>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</si>
  <si>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</si>
  <si>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</si>
  <si>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</si>
  <si>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</si>
  <si>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</si>
  <si>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</si>
  <si>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</si>
  <si>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</si>
  <si>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</si>
  <si>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</si>
  <si>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</si>
  <si>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</si>
  <si>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</si>
  <si>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</si>
  <si>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</si>
  <si>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</si>
  <si>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</si>
  <si>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</si>
  <si>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</si>
  <si>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</si>
  <si>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</si>
  <si>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</si>
  <si>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</si>
  <si>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</si>
  <si>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</si>
  <si>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</si>
  <si>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</si>
  <si>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</si>
  <si>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</si>
  <si>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</si>
  <si>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</si>
  <si>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</si>
  <si>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</si>
  <si>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</si>
  <si>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</si>
  <si>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</si>
  <si>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</si>
  <si>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</si>
  <si>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</si>
  <si>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</si>
  <si>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</si>
  <si>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</si>
  <si>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</si>
  <si>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</si>
  <si>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</si>
  <si>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</si>
  <si>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</si>
  <si>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</si>
  <si>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</si>
  <si>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</si>
  <si>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</si>
  <si>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</si>
  <si>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</si>
  <si>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</si>
  <si>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</si>
  <si>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</si>
  <si>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</si>
  <si>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</si>
  <si>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</si>
  <si>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</si>
  <si>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</si>
  <si>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</si>
  <si>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</si>
  <si>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</si>
  <si>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</si>
  <si>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</si>
  <si>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</si>
  <si>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</si>
  <si>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</si>
  <si>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</si>
  <si>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</si>
  <si>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</si>
  <si>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</si>
  <si>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</si>
  <si>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</si>
  <si>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</si>
  <si>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</si>
  <si>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</si>
  <si>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</si>
  <si>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</si>
  <si>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</si>
  <si>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</si>
  <si>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</si>
  <si>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</si>
  <si>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</si>
  <si>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</si>
  <si>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</si>
  <si>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</si>
  <si>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</si>
  <si>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</si>
  <si>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</si>
  <si>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</si>
  <si>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</si>
  <si>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</si>
  <si>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</si>
  <si>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</si>
  <si>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</si>
  <si>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</si>
  <si>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</si>
  <si>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</si>
  <si>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</si>
  <si>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</si>
  <si>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</si>
  <si>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</si>
  <si>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</si>
  <si>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</si>
  <si>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</si>
  <si>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</si>
  <si>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</si>
  <si>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</si>
  <si>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</si>
  <si>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</si>
  <si>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</si>
  <si>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</si>
  <si>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</si>
  <si>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</si>
  <si>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</si>
  <si>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</si>
  <si>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</si>
  <si>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</si>
  <si>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</si>
  <si>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</si>
  <si>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</si>
  <si>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</si>
  <si>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</si>
  <si>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</si>
  <si>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</si>
  <si>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</si>
  <si>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</si>
  <si>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</si>
  <si>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</si>
  <si>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</si>
  <si>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</si>
  <si>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</si>
  <si>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</si>
  <si>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</si>
  <si>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</si>
  <si>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</si>
  <si>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</si>
  <si>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</si>
  <si>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</si>
  <si>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</si>
  <si>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</si>
  <si>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</si>
  <si>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</si>
  <si>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</si>
  <si>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</si>
  <si>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</si>
  <si>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</si>
  <si>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</si>
  <si>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</si>
  <si>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</si>
  <si>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</si>
  <si>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</si>
  <si>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</si>
  <si>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</si>
  <si>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</si>
  <si>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</si>
  <si>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</si>
  <si>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</si>
  <si>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</si>
  <si>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</si>
  <si>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</si>
  <si>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</si>
  <si>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</si>
  <si>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</si>
  <si>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</si>
  <si>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</si>
  <si>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</si>
  <si>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</si>
  <si>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</si>
  <si>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</si>
  <si>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</si>
  <si>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</si>
  <si>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</si>
  <si>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</si>
  <si>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</si>
  <si>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</si>
  <si>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</si>
  <si>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</si>
  <si>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</si>
  <si>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</si>
  <si>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</si>
  <si>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</si>
  <si>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</si>
  <si>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</si>
  <si>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</si>
  <si>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</si>
  <si>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</si>
  <si>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</si>
  <si>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</si>
  <si>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</si>
  <si>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</si>
  <si>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</si>
  <si>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</si>
  <si>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</si>
  <si>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</si>
  <si>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</si>
  <si>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</si>
  <si>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</si>
  <si>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</si>
  <si>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</si>
  <si>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</si>
  <si>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</si>
  <si>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</si>
  <si>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</si>
  <si>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</si>
  <si>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</si>
  <si>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</si>
  <si>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</si>
  <si>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</si>
  <si>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</si>
  <si>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</si>
  <si>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</si>
  <si>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</si>
  <si>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</si>
  <si>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</si>
  <si>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</si>
  <si>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</si>
  <si>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</si>
  <si>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</si>
  <si>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</si>
  <si>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</si>
  <si>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</si>
  <si>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</si>
  <si>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</si>
  <si>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</si>
  <si>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</si>
  <si>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</si>
  <si>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</si>
  <si>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</si>
  <si>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</si>
  <si>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</si>
  <si>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</si>
  <si>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</si>
  <si>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</si>
  <si>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</si>
  <si>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</si>
  <si>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</si>
  <si>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</si>
  <si>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</si>
  <si>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</si>
  <si>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</si>
  <si>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</si>
  <si>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</si>
  <si>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</si>
  <si>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</si>
  <si>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</si>
  <si>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</si>
  <si>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</si>
  <si>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</si>
  <si>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</si>
  <si>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</si>
  <si>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</si>
  <si>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</si>
  <si>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</si>
  <si>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</si>
  <si>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</si>
  <si>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</si>
  <si>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</si>
  <si>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</si>
  <si>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</si>
  <si>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</si>
  <si>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</si>
  <si>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</si>
  <si>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</si>
  <si>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</si>
  <si>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</si>
  <si>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</si>
  <si>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</si>
  <si>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</si>
  <si>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</si>
  <si>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</si>
  <si>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</si>
  <si>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</si>
  <si>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</si>
  <si>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</si>
  <si>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</si>
  <si>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</si>
  <si>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</si>
  <si>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</si>
  <si>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</si>
  <si>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</si>
  <si>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</si>
  <si>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</si>
  <si>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</si>
  <si>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</si>
  <si>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</si>
  <si>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</si>
  <si>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</si>
  <si>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</si>
  <si>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</si>
  <si>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</si>
  <si>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</si>
  <si>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</si>
  <si>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</si>
  <si>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</si>
  <si>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</si>
  <si>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</si>
  <si>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</si>
  <si>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</si>
  <si>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</si>
  <si>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</si>
  <si>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</si>
  <si>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</si>
  <si>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</si>
  <si>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</si>
  <si>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</si>
  <si>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</si>
  <si>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</si>
  <si>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</si>
  <si>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</si>
  <si>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</si>
  <si>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</si>
  <si>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</si>
  <si>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</si>
  <si>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</si>
  <si>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</si>
  <si>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</si>
  <si>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</si>
  <si>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</si>
  <si>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</si>
  <si>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</si>
  <si>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</si>
  <si>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</si>
  <si>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</si>
  <si>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</si>
  <si>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</si>
  <si>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</si>
  <si>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</si>
  <si>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</si>
  <si>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</si>
  <si>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</si>
  <si>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</si>
  <si>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</si>
  <si>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</si>
  <si>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</si>
  <si>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</si>
  <si>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</si>
  <si>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</si>
  <si>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</si>
  <si>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</si>
  <si>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</si>
  <si>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</si>
  <si>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</si>
  <si>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</si>
  <si>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</si>
  <si>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</si>
  <si>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</si>
  <si>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</si>
  <si>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</si>
  <si>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</si>
  <si>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</si>
  <si>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</si>
  <si>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</si>
  <si>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</si>
  <si>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</si>
  <si>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</si>
  <si>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</si>
  <si>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</si>
  <si>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</si>
  <si>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</si>
  <si>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</si>
  <si>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</si>
  <si>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</si>
  <si>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</si>
  <si>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</si>
  <si>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</si>
  <si>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</si>
  <si>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</si>
  <si>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</si>
  <si>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</si>
  <si>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</si>
  <si>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</si>
  <si>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</si>
  <si>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</si>
  <si>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</si>
  <si>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</si>
  <si>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</si>
  <si>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</si>
  <si>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</si>
  <si>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</si>
  <si>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</si>
  <si>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</si>
  <si>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</si>
  <si>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</si>
  <si>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</si>
  <si>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</si>
  <si>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</si>
  <si>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</si>
  <si>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</si>
  <si>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</si>
  <si>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</si>
  <si>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</si>
  <si>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</si>
  <si>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</si>
  <si>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</si>
  <si>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</si>
  <si>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</si>
  <si>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</si>
  <si>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</si>
  <si>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</si>
  <si>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</si>
  <si>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</si>
  <si>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</si>
  <si>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</si>
  <si>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</si>
  <si>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</si>
  <si>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</si>
  <si>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</si>
  <si>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</si>
  <si>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</si>
  <si>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</si>
  <si>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</si>
  <si>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</si>
  <si>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</si>
  <si>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</si>
  <si>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</si>
  <si>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</si>
  <si>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</si>
  <si>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</si>
  <si>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</si>
  <si>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</si>
  <si>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</si>
  <si>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</si>
  <si>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</si>
  <si>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</si>
  <si>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</si>
  <si>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</si>
  <si>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</si>
  <si>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</si>
  <si>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</si>
  <si>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</si>
  <si>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</si>
  <si>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</si>
  <si>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</si>
  <si>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</si>
  <si>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</si>
  <si>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</si>
  <si>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</si>
  <si>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</si>
  <si>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</si>
  <si>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</si>
  <si>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</si>
  <si>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</si>
  <si>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</si>
  <si>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</si>
  <si>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</si>
  <si>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</si>
  <si>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</si>
  <si>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</si>
  <si>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</si>
  <si>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</si>
  <si>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</si>
  <si>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</si>
  <si>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</si>
  <si>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</si>
  <si>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</si>
  <si>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</si>
  <si>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</si>
  <si>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</si>
  <si>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</si>
  <si>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</si>
  <si>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</si>
  <si>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</si>
  <si>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</si>
  <si>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</si>
  <si>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</si>
  <si>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</si>
  <si>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</si>
  <si>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</si>
  <si>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</si>
  <si>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</si>
  <si>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</si>
  <si>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</si>
  <si>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</si>
  <si>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</si>
  <si>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</si>
  <si>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</si>
  <si>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</si>
  <si>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</si>
  <si>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</si>
  <si>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</si>
  <si>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</si>
  <si>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</si>
  <si>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</si>
  <si>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</si>
  <si>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</si>
  <si>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</si>
  <si>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</si>
  <si>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</si>
  <si>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</si>
  <si>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</si>
  <si>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</si>
  <si>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</si>
  <si>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</si>
  <si>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</si>
  <si>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</si>
  <si>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</si>
  <si>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</si>
  <si>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</si>
  <si>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</si>
  <si>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</si>
  <si>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</si>
  <si>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</si>
  <si>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</si>
  <si>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</si>
  <si>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</si>
  <si>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</si>
  <si>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</si>
  <si>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</si>
  <si>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</si>
  <si>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</si>
  <si>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</si>
  <si>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</si>
  <si>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</si>
  <si>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</si>
  <si>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</si>
  <si>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</si>
  <si>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</si>
  <si>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</si>
  <si>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</si>
  <si>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</si>
  <si>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</si>
  <si>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</si>
  <si>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</si>
  <si>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</si>
  <si>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</si>
  <si>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</si>
  <si>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</si>
  <si>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</si>
  <si>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</si>
  <si>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</si>
  <si>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</si>
  <si>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</si>
  <si>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</si>
  <si>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</si>
  <si>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</si>
  <si>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</si>
  <si>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</si>
  <si>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</si>
  <si>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</si>
  <si>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</si>
  <si>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</si>
  <si>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</si>
  <si>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</si>
  <si>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</si>
  <si>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</si>
  <si>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</si>
  <si>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</si>
  <si>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</si>
  <si>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</si>
  <si>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</si>
  <si>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</si>
  <si>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</si>
  <si>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</si>
  <si>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</si>
  <si>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</si>
  <si>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</si>
  <si>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</si>
  <si>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</si>
  <si>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</si>
  <si>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</si>
  <si>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</si>
  <si>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</si>
  <si>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</si>
  <si>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</si>
  <si>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</si>
  <si>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</si>
  <si>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</si>
  <si>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</si>
  <si>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</si>
  <si>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</si>
  <si>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</si>
  <si>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</si>
  <si>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</si>
  <si>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</si>
  <si>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</si>
  <si>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</si>
  <si>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</si>
  <si>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</si>
  <si>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</si>
  <si>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</si>
  <si>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</si>
  <si>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</si>
  <si>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</si>
  <si>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</si>
  <si>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</si>
  <si>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</si>
  <si>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</si>
  <si>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</si>
  <si>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</si>
  <si>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</si>
  <si>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</si>
  <si>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</si>
  <si>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</si>
  <si>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</si>
  <si>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</si>
  <si>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</si>
  <si>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</si>
  <si>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</si>
  <si>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</si>
  <si>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</si>
  <si>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</si>
  <si>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</si>
  <si>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</si>
  <si>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</si>
  <si>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</si>
  <si>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</si>
  <si>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</si>
  <si>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</si>
  <si>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</si>
  <si>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</si>
  <si>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</si>
  <si>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</si>
  <si>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</si>
  <si>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</si>
  <si>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</si>
  <si>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</si>
  <si>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</si>
  <si>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</si>
  <si>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</si>
  <si>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</si>
  <si>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</si>
  <si>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</si>
  <si>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</si>
  <si>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</si>
  <si>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</si>
  <si>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</si>
  <si>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</si>
  <si>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</si>
  <si>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</si>
  <si>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</si>
  <si>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</si>
  <si>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</si>
  <si>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</si>
  <si>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</si>
  <si>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</si>
  <si>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</si>
  <si>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</si>
  <si>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</si>
  <si>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</si>
  <si>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</si>
  <si>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</si>
  <si>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</si>
  <si>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</si>
  <si>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</si>
  <si>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</si>
  <si>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</si>
  <si>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</si>
  <si>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</si>
  <si>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</si>
  <si>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</si>
  <si>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</si>
  <si>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</si>
  <si>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</si>
  <si>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</si>
  <si>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</si>
  <si>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</si>
  <si>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</si>
  <si>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</si>
  <si>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</si>
  <si>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</si>
  <si>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</si>
  <si>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</si>
  <si>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</si>
  <si>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</si>
  <si>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</si>
  <si>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</si>
  <si>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</si>
  <si>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</si>
  <si>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</si>
  <si>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</si>
  <si>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</si>
  <si>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</si>
  <si>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</si>
  <si>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</si>
  <si>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</si>
  <si>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</si>
  <si>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</si>
  <si>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</si>
  <si>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</si>
  <si>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</si>
  <si>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</si>
  <si>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</si>
  <si>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</si>
  <si>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</si>
  <si>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</si>
  <si>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</si>
  <si>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</si>
  <si>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</si>
  <si>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</si>
  <si>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</si>
  <si>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</si>
  <si>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</si>
  <si>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</si>
  <si>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</si>
  <si>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</si>
  <si>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</si>
  <si>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</si>
  <si>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</si>
  <si>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</si>
  <si>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</si>
  <si>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</si>
  <si>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</si>
  <si>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</si>
  <si>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</si>
  <si>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</si>
  <si>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</si>
  <si>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</si>
  <si>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</si>
  <si>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</si>
  <si>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</si>
  <si>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</si>
  <si>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</si>
  <si>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</si>
  <si>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</si>
  <si>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</si>
  <si>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</si>
  <si>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</si>
  <si>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</si>
  <si>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</si>
  <si>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</si>
  <si>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</si>
  <si>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</si>
  <si>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</si>
  <si>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</si>
  <si>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</si>
  <si>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</si>
  <si>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</si>
  <si>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</si>
  <si>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</si>
  <si>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</si>
  <si>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</si>
  <si>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</si>
  <si>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</si>
  <si>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</si>
  <si>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</si>
  <si>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</si>
  <si>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</si>
  <si>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</si>
  <si>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</si>
  <si>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</si>
  <si>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</si>
  <si>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</si>
  <si>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</si>
  <si>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</si>
  <si>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</si>
  <si>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</si>
  <si>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</si>
  <si>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</si>
  <si>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</si>
  <si>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</si>
  <si>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</si>
  <si>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</si>
  <si>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</si>
  <si>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</si>
  <si>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</si>
  <si>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</si>
  <si>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</si>
  <si>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</si>
  <si>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</si>
  <si>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</si>
  <si>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</si>
  <si>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</si>
  <si>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</si>
  <si>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</si>
  <si>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</si>
  <si>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</si>
  <si>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</si>
  <si>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</si>
  <si>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</si>
  <si>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</si>
  <si>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</si>
  <si>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</si>
  <si>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</si>
  <si>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</si>
  <si>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</si>
  <si>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</si>
  <si>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</si>
  <si>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</si>
  <si>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</si>
  <si>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</si>
  <si>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</si>
  <si>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</si>
  <si>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</si>
  <si>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</si>
  <si>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</si>
  <si>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</si>
  <si>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</si>
  <si>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</si>
  <si>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</si>
  <si>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</si>
  <si>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</si>
  <si>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</si>
  <si>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</si>
  <si>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</si>
  <si>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</si>
  <si>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</si>
  <si>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</si>
  <si>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</si>
  <si>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</si>
  <si>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</si>
  <si>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</si>
  <si>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</si>
  <si>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</si>
  <si>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</si>
  <si>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</si>
  <si>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</si>
  <si>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</si>
  <si>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</si>
  <si>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</si>
  <si>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</si>
  <si>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</si>
  <si>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</si>
  <si>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</si>
  <si>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</si>
  <si>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</si>
  <si>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</si>
  <si>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</si>
  <si>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</si>
  <si>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</si>
  <si>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</si>
  <si>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</si>
  <si>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</si>
  <si>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</si>
  <si>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</si>
  <si>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</si>
  <si>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</si>
  <si>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</si>
  <si>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</si>
  <si>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</si>
  <si>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</si>
  <si>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</si>
  <si>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</si>
  <si>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</si>
  <si>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</si>
  <si>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</si>
  <si>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</si>
  <si>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</si>
  <si>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</si>
  <si>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</si>
  <si>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</si>
  <si>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</si>
  <si>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</si>
  <si>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</si>
  <si>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</si>
  <si>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</si>
  <si>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</si>
  <si>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</si>
  <si>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</si>
  <si>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</si>
  <si>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</si>
  <si>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</si>
  <si>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</si>
  <si>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</si>
  <si>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</si>
  <si>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</si>
  <si>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</si>
  <si>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</si>
  <si>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</si>
  <si>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</si>
  <si>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</si>
  <si>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</si>
  <si>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</si>
  <si>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NORKA RODRIGUEZ</t>
  </si>
  <si>
    <t>2932430474 Y 2914642412</t>
  </si>
  <si>
    <t>WEB (Cambio)</t>
  </si>
  <si>
    <t>WEB (Reenvío)</t>
  </si>
  <si>
    <t>QUINTANA JENNIFER SUSANA NOEMI</t>
  </si>
  <si>
    <t>ROLDAN MARCELO OSMAR</t>
  </si>
  <si>
    <t>NRO FACTURA 28185</t>
  </si>
  <si>
    <t>Teófilo Deloqui 45</t>
  </si>
  <si>
    <t>RÍO GALLEGOS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</si>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</sst>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X7" sqref="X7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3566</v>
      </c>
      <c r="Y1" s="103"/>
      <c r="Z1" s="151">
        <f ca="1">TODAY()</f>
        <v>44750</v>
      </c>
      <c r="AA1" s="152"/>
    </row>
    <row r="2" spans="1:27" ht="14.1" customHeight="1" x14ac:dyDescent="0.2">
      <c r="A2" s="167" t="s">
        <v>2474</v>
      </c>
      <c r="B2" s="161" t="str">
        <f>+Datos!B4</f>
        <v>RERDA S.A.</v>
      </c>
      <c r="C2" s="162"/>
      <c r="D2" s="162"/>
      <c r="E2" s="162"/>
      <c r="F2" s="162"/>
      <c r="G2" s="162"/>
      <c r="H2" s="162"/>
      <c r="I2" s="73"/>
      <c r="J2" s="73"/>
      <c r="K2" s="73"/>
      <c r="L2" s="73"/>
      <c r="M2" s="73"/>
      <c r="N2" s="73"/>
      <c r="O2" s="74"/>
      <c r="P2" s="138"/>
      <c r="Q2" s="139"/>
      <c r="R2" s="139"/>
      <c r="S2" s="139"/>
      <c r="T2" s="139"/>
      <c r="U2" s="140"/>
      <c r="W2" s="104" t="s">
        <v>13591</v>
      </c>
      <c r="X2" s="156" t="s">
        <v>15534</v>
      </c>
      <c r="Y2" s="156"/>
      <c r="Z2" s="156"/>
      <c r="AA2" s="156"/>
    </row>
    <row r="3" spans="1:27" ht="14.1" customHeight="1" x14ac:dyDescent="0.2">
      <c r="A3" s="168"/>
      <c r="B3" s="149" t="str">
        <f>+Datos!B6</f>
        <v>San Martín</v>
      </c>
      <c r="C3" s="150"/>
      <c r="D3" s="150"/>
      <c r="E3" s="150"/>
      <c r="F3" s="150"/>
      <c r="G3" s="150">
        <f>+Datos!B7</f>
        <v>1665</v>
      </c>
      <c r="H3" s="150"/>
      <c r="I3" s="150"/>
      <c r="J3" s="75"/>
      <c r="K3" s="12"/>
      <c r="L3" s="76"/>
      <c r="M3" s="147" t="str">
        <f>+Datos!B8</f>
        <v>Mendoza</v>
      </c>
      <c r="N3" s="147"/>
      <c r="O3" s="148"/>
      <c r="P3" s="141"/>
      <c r="Q3" s="142"/>
      <c r="R3" s="142"/>
      <c r="S3" s="142"/>
      <c r="T3" s="142"/>
      <c r="U3" s="143"/>
      <c r="W3" s="104" t="s">
        <v>13586</v>
      </c>
      <c r="X3" s="157" t="s">
        <v>15536</v>
      </c>
      <c r="Y3" s="157"/>
      <c r="Z3" s="157"/>
      <c r="AA3" s="157"/>
    </row>
    <row r="4" spans="1:27" ht="14.1" customHeight="1" x14ac:dyDescent="0.2">
      <c r="A4" s="168"/>
      <c r="B4" s="186" t="str">
        <f>+Datos!B9</f>
        <v>Mendoza</v>
      </c>
      <c r="C4" s="147"/>
      <c r="D4" s="147"/>
      <c r="E4" s="147"/>
      <c r="F4" s="147"/>
      <c r="G4" s="147">
        <f>+Datos!B10</f>
        <v>5500</v>
      </c>
      <c r="H4" s="147"/>
      <c r="I4" s="147"/>
      <c r="J4" s="75"/>
      <c r="K4" s="75"/>
      <c r="L4" s="75"/>
      <c r="M4" s="75"/>
      <c r="N4" s="75"/>
      <c r="O4" s="77"/>
      <c r="P4" s="141"/>
      <c r="Q4" s="142"/>
      <c r="R4" s="142"/>
      <c r="S4" s="142"/>
      <c r="T4" s="142"/>
      <c r="U4" s="143"/>
      <c r="W4" s="105"/>
      <c r="X4" s="158" t="s">
        <v>15535</v>
      </c>
      <c r="Y4" s="158"/>
      <c r="Z4" s="158"/>
      <c r="AA4" s="158"/>
    </row>
    <row r="5" spans="1:27" ht="14.1" customHeight="1" x14ac:dyDescent="0.2">
      <c r="A5" s="168"/>
      <c r="B5" s="170" t="str">
        <f>+Datos!B11</f>
        <v>ventas@rerda.com</v>
      </c>
      <c r="C5" s="171"/>
      <c r="D5" s="171"/>
      <c r="E5" s="171"/>
      <c r="F5" s="171"/>
      <c r="G5" s="171"/>
      <c r="H5" s="171"/>
      <c r="I5" s="78"/>
      <c r="J5" s="78"/>
      <c r="K5" s="79" t="s">
        <v>13582</v>
      </c>
      <c r="L5" s="187">
        <f>+Datos!B5</f>
        <v>30535195869</v>
      </c>
      <c r="M5" s="187"/>
      <c r="N5" s="187"/>
      <c r="O5" s="188"/>
      <c r="P5" s="141"/>
      <c r="Q5" s="142"/>
      <c r="R5" s="142"/>
      <c r="S5" s="142"/>
      <c r="T5" s="142"/>
      <c r="U5" s="143"/>
      <c r="W5" s="104" t="s">
        <v>13585</v>
      </c>
      <c r="X5" s="131">
        <v>9400</v>
      </c>
      <c r="Y5" s="131"/>
      <c r="Z5" s="131"/>
      <c r="AA5" s="131"/>
    </row>
    <row r="6" spans="1:27" ht="14.1" customHeight="1" x14ac:dyDescent="0.2">
      <c r="A6" s="169"/>
      <c r="B6" s="163" t="str">
        <f>+Datos!B12</f>
        <v>0261-4256567 | +549 2615117948</v>
      </c>
      <c r="C6" s="164"/>
      <c r="D6" s="164"/>
      <c r="E6" s="164"/>
      <c r="F6" s="164"/>
      <c r="G6" s="164"/>
      <c r="H6" s="164"/>
      <c r="I6" s="80"/>
      <c r="J6" s="80"/>
      <c r="K6" s="81" t="s">
        <v>13583</v>
      </c>
      <c r="L6" s="184">
        <f>+Datos!B3</f>
        <v>20355</v>
      </c>
      <c r="M6" s="184"/>
      <c r="N6" s="184"/>
      <c r="O6" s="185"/>
      <c r="P6" s="144"/>
      <c r="Q6" s="145"/>
      <c r="R6" s="145"/>
      <c r="S6" s="145"/>
      <c r="T6" s="145"/>
      <c r="U6" s="146"/>
      <c r="W6" s="104" t="s">
        <v>13595</v>
      </c>
      <c r="X6" s="132">
        <v>23929470</v>
      </c>
      <c r="Y6" s="132"/>
      <c r="Z6" s="132"/>
      <c r="AA6" s="132"/>
    </row>
    <row r="7" spans="1:27" ht="14.1" customHeight="1" x14ac:dyDescent="0.2">
      <c r="A7" s="82"/>
      <c r="B7" s="137" t="s">
        <v>13597</v>
      </c>
      <c r="C7" s="137"/>
      <c r="D7" s="137" t="str">
        <f>IF(X1="", "¿Y EL NOMBRE DE VIAJANTE, SUCURSAL O VENDEDOR?",X1)</f>
        <v>RIO GALLEGOS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83"/>
      <c r="W7" s="104" t="s">
        <v>13587</v>
      </c>
      <c r="X7" s="131" t="s">
        <v>15538</v>
      </c>
      <c r="Y7" s="131"/>
      <c r="Z7" s="131"/>
      <c r="AA7" s="131"/>
    </row>
    <row r="8" spans="1:27" ht="14.1" customHeight="1" x14ac:dyDescent="0.2">
      <c r="A8" s="175" t="s">
        <v>2483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  <c r="W8" s="104" t="s">
        <v>13589</v>
      </c>
      <c r="X8" s="156" t="s">
        <v>15537</v>
      </c>
      <c r="Y8" s="156"/>
      <c r="Z8" s="156"/>
      <c r="AA8" s="156"/>
    </row>
    <row r="9" spans="1:27" ht="14.1" customHeight="1" x14ac:dyDescent="0.2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  <c r="W9" s="104" t="s">
        <v>13588</v>
      </c>
      <c r="X9" s="156" t="s">
        <v>1297</v>
      </c>
      <c r="Y9" s="156"/>
      <c r="Z9" s="156"/>
      <c r="AA9" s="156"/>
    </row>
    <row r="10" spans="1:27" ht="14.1" customHeight="1" x14ac:dyDescent="0.2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  <c r="W10" s="105"/>
      <c r="X10" s="105"/>
      <c r="Y10" s="105"/>
      <c r="Z10" s="105"/>
      <c r="AA10" s="105"/>
    </row>
    <row r="11" spans="1:27" ht="14.1" customHeight="1" x14ac:dyDescent="0.2">
      <c r="A11" s="8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72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>
        <v>8708300</v>
      </c>
      <c r="X12" s="129" t="str">
        <f>IFERROR(VLOOKUP(Tabla2[[#This Row],[CODIGO]],Lince!$A$2:$E10000,3,FALSE),"")</f>
        <v>CHALECO FUNDA MOLLE RRD80</v>
      </c>
      <c r="Y12" s="113"/>
      <c r="Z12" s="114" t="s">
        <v>2501</v>
      </c>
      <c r="AA12" s="114">
        <v>1</v>
      </c>
    </row>
    <row r="13" spans="1:27" ht="14.1" customHeight="1" x14ac:dyDescent="0.2">
      <c r="A13" s="17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36" t="s">
        <v>13596</v>
      </c>
      <c r="M13" s="136"/>
      <c r="N13" s="136"/>
      <c r="O13" s="136"/>
      <c r="P13" s="134">
        <f>IF(X6="", "¿Y el DNI o CUIL/CUIT?",X6)</f>
        <v>23929470</v>
      </c>
      <c r="Q13" s="135"/>
      <c r="R13" s="135"/>
      <c r="S13" s="135"/>
      <c r="T13" s="13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73"/>
      <c r="B14" s="93"/>
      <c r="C14" s="155" t="str">
        <f>IF(X2="", "Falta Apellido, nombre o razón social del cliente",X2)</f>
        <v>ROLDAN MARCELO OSMAR</v>
      </c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73"/>
      <c r="B15" s="93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73"/>
      <c r="B16" s="86"/>
      <c r="C16" s="133" t="str">
        <f>IF(X3="", "¿Y la dirección?",X3)</f>
        <v>Teófilo Deloqui 45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73"/>
      <c r="B17" s="86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73"/>
      <c r="B18" s="86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73"/>
      <c r="B19" s="94"/>
      <c r="C19" s="160" t="s">
        <v>13585</v>
      </c>
      <c r="D19" s="160"/>
      <c r="E19" s="159">
        <f>IF(X5="", "¿Y el CP?",X5)</f>
        <v>9400</v>
      </c>
      <c r="F19" s="155"/>
      <c r="G19" s="166" t="str">
        <f>IF(X8="", "Falta Ciudad o Pueblo",X8)</f>
        <v>RÍO GALLEGOS</v>
      </c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73"/>
      <c r="B20" s="94"/>
      <c r="C20" s="160"/>
      <c r="D20" s="160"/>
      <c r="E20" s="155"/>
      <c r="F20" s="155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73"/>
      <c r="B21" s="95"/>
      <c r="C21" s="165" t="str">
        <f>IF(X9="", "FALTA LA PROVINCIA",X9)</f>
        <v>SANTA CRUZ</v>
      </c>
      <c r="D21" s="165"/>
      <c r="E21" s="165"/>
      <c r="F21" s="165"/>
      <c r="G21" s="165"/>
      <c r="H21" s="165"/>
      <c r="I21" s="165"/>
      <c r="J21" s="165"/>
      <c r="K21" s="96"/>
      <c r="L21" s="153" t="s">
        <v>13584</v>
      </c>
      <c r="M21" s="153"/>
      <c r="N21" s="153"/>
      <c r="O21" s="153"/>
      <c r="P21" s="154" t="str">
        <f>IF(X7="", "Falta teléfono",X7)</f>
        <v xml:space="preserve"> </v>
      </c>
      <c r="Q21" s="154"/>
      <c r="R21" s="154"/>
      <c r="S21" s="154"/>
      <c r="T21" s="154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73"/>
      <c r="B22" s="95"/>
      <c r="C22" s="165"/>
      <c r="D22" s="165"/>
      <c r="E22" s="165"/>
      <c r="F22" s="165"/>
      <c r="G22" s="165"/>
      <c r="H22" s="165"/>
      <c r="I22" s="165"/>
      <c r="J22" s="165"/>
      <c r="K22" s="96"/>
      <c r="L22" s="153"/>
      <c r="M22" s="153"/>
      <c r="N22" s="153"/>
      <c r="O22" s="153"/>
      <c r="P22" s="154"/>
      <c r="Q22" s="154"/>
      <c r="R22" s="154"/>
      <c r="S22" s="154"/>
      <c r="T22" s="154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7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15531</v>
      </c>
      <c r="Y1" s="103"/>
      <c r="Z1" s="151">
        <f ca="1">TODAY()</f>
        <v>44750</v>
      </c>
      <c r="AA1" s="152"/>
    </row>
    <row r="2" spans="1:27" ht="14.1" customHeight="1" x14ac:dyDescent="0.2">
      <c r="A2" s="233" t="s">
        <v>2474</v>
      </c>
      <c r="B2" s="236" t="str">
        <f>+Datos!B4</f>
        <v>RERDA S.A.</v>
      </c>
      <c r="C2" s="237"/>
      <c r="D2" s="237"/>
      <c r="E2" s="237"/>
      <c r="F2" s="237"/>
      <c r="G2" s="237"/>
      <c r="H2" s="237"/>
      <c r="I2" s="27"/>
      <c r="J2" s="27"/>
      <c r="K2" s="27"/>
      <c r="L2" s="27"/>
      <c r="M2" s="27"/>
      <c r="N2" s="27"/>
      <c r="O2" s="30"/>
      <c r="P2" s="238"/>
      <c r="Q2" s="239"/>
      <c r="R2" s="239"/>
      <c r="S2" s="239"/>
      <c r="T2" s="239"/>
      <c r="U2" s="240"/>
      <c r="W2" s="104" t="s">
        <v>13591</v>
      </c>
      <c r="X2" s="156" t="s">
        <v>15529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>
        <v>8000</v>
      </c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>
        <v>18854573</v>
      </c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WEB (Cambio)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 t="s">
        <v>15530</v>
      </c>
      <c r="Y7" s="131"/>
      <c r="Z7" s="131"/>
      <c r="AA7" s="131"/>
    </row>
    <row r="8" spans="1:27" ht="14.1" customHeight="1" x14ac:dyDescent="0.2">
      <c r="A8" s="216" t="s">
        <v>2487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8"/>
      <c r="W8" s="104" t="s">
        <v>13589</v>
      </c>
      <c r="X8" s="189" t="str">
        <f>IFERROR(G20,"")</f>
        <v>BAHIA BLANCA</v>
      </c>
      <c r="Y8" s="189"/>
      <c r="Z8" s="189"/>
      <c r="AA8" s="189"/>
    </row>
    <row r="9" spans="1:27" ht="14.1" customHeight="1" x14ac:dyDescent="0.2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1"/>
      <c r="W9" s="104" t="s">
        <v>13588</v>
      </c>
      <c r="X9" s="189" t="str">
        <f>IFERROR(B21,"")</f>
        <v>BUENOS AIRES</v>
      </c>
      <c r="Y9" s="189"/>
      <c r="Z9" s="189"/>
      <c r="AA9" s="189"/>
    </row>
    <row r="10" spans="1:27" ht="14.1" customHeight="1" x14ac:dyDescent="0.2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196" t="s">
        <v>2484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55"/>
      <c r="N12" s="67"/>
      <c r="O12" s="195" t="s">
        <v>13598</v>
      </c>
      <c r="P12" s="195"/>
      <c r="Q12" s="195"/>
      <c r="R12" s="195"/>
      <c r="S12" s="195"/>
      <c r="T12" s="195"/>
      <c r="U12" s="58"/>
      <c r="W12" s="108">
        <v>2601495</v>
      </c>
      <c r="X12" s="129" t="str">
        <f>IFERROR(VLOOKUP(Tabla24[[#This Row],[CODIGO]],Lince!$A$2:$E10000,3,FALSE),"")</f>
        <v>BUZO FRIZA AZUL CON CIERRE 3XS/2XL RER</v>
      </c>
      <c r="Y12" s="113"/>
      <c r="Z12" s="114" t="s">
        <v>13630</v>
      </c>
      <c r="AA12" s="117">
        <v>1</v>
      </c>
    </row>
    <row r="13" spans="1:27" ht="14.1" customHeight="1" x14ac:dyDescent="0.2">
      <c r="A13" s="56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57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199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00"/>
      <c r="B16" s="210" t="str">
        <f>IF(X2="", "Falta Apellido, nombre o razón social del cliente",X2)</f>
        <v>NORKA RODRIGUEZ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>
        <f>IF(X6="", "¿Y el DNI o CUIL/CUIT?",X6)</f>
        <v>18854573</v>
      </c>
      <c r="R16" s="204"/>
      <c r="S16" s="204"/>
      <c r="T16" s="205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00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00"/>
      <c r="B18" s="214" t="s">
        <v>1282</v>
      </c>
      <c r="C18" s="215"/>
      <c r="D18" s="215"/>
      <c r="E18" s="198" t="str">
        <f>VLOOKUP(R18,Sucursales!A:B,2,FALSE)</f>
        <v>BAHIA BLANCA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str">
        <f>VLOOKUP(X5,Sucursales!$J$4:$K$5000,2,FALSE)</f>
        <v>B0500</v>
      </c>
      <c r="S18" s="192"/>
      <c r="T18" s="193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00"/>
      <c r="B19" s="190" t="s">
        <v>1283</v>
      </c>
      <c r="C19" s="191"/>
      <c r="D19" s="191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00"/>
      <c r="B20" s="229" t="str">
        <f>VLOOKUP(R18,Sucursales!A:G,6,FALSE)</f>
        <v>B8000ZAA</v>
      </c>
      <c r="C20" s="230"/>
      <c r="D20" s="230"/>
      <c r="E20" s="230"/>
      <c r="G20" s="231" t="str">
        <f>VLOOKUP(R18,Sucursales!A:H,7,FALSE)</f>
        <v>BAHIA BLANCA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00"/>
      <c r="B21" s="225" t="str">
        <f>VLOOKUP(R18,Sucursales!A:H,8,FALSE)</f>
        <v>BUENOS AIRES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00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2932430474 Y 2914642412</v>
      </c>
      <c r="R22" s="207"/>
      <c r="S22" s="207"/>
      <c r="T22" s="208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0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X7" sqref="X7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 t="s">
        <v>15532</v>
      </c>
      <c r="Y1" s="103"/>
      <c r="Z1" s="151">
        <f ca="1">TODAY()</f>
        <v>44750</v>
      </c>
      <c r="AA1" s="152"/>
    </row>
    <row r="2" spans="1:27" ht="14.1" customHeight="1" x14ac:dyDescent="0.2">
      <c r="A2" s="233" t="s">
        <v>2474</v>
      </c>
      <c r="B2" s="276" t="str">
        <f>+Datos!B4</f>
        <v>RERDA S.A.</v>
      </c>
      <c r="C2" s="277"/>
      <c r="D2" s="277"/>
      <c r="E2" s="277"/>
      <c r="F2" s="277"/>
      <c r="G2" s="278" t="s">
        <v>13600</v>
      </c>
      <c r="H2" s="278"/>
      <c r="I2" s="278"/>
      <c r="J2" s="278"/>
      <c r="K2" s="278"/>
      <c r="L2" s="278"/>
      <c r="M2" s="278"/>
      <c r="N2" s="278"/>
      <c r="O2" s="279"/>
      <c r="P2" s="238"/>
      <c r="Q2" s="239"/>
      <c r="R2" s="239"/>
      <c r="S2" s="239"/>
      <c r="T2" s="239"/>
      <c r="U2" s="240"/>
      <c r="W2" s="104" t="s">
        <v>13591</v>
      </c>
      <c r="X2" s="156" t="s">
        <v>15533</v>
      </c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>
        <v>1657</v>
      </c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>
        <v>39393565</v>
      </c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WEB (Reenvío)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>
        <v>1170295710</v>
      </c>
      <c r="Y7" s="131"/>
      <c r="Z7" s="131"/>
      <c r="AA7" s="131"/>
    </row>
    <row r="8" spans="1:27" ht="14.1" customHeight="1" x14ac:dyDescent="0.2">
      <c r="A8" s="267" t="s">
        <v>2477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104" t="s">
        <v>13589</v>
      </c>
      <c r="X8" s="189" t="str">
        <f>IFERROR(G20,"")</f>
        <v>LOMA HERMOSA</v>
      </c>
      <c r="Y8" s="189"/>
      <c r="Z8" s="189"/>
      <c r="AA8" s="189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104" t="s">
        <v>13588</v>
      </c>
      <c r="X9" s="189" t="str">
        <f>IFERROR(B21,"")</f>
        <v>BUENOS AIRES</v>
      </c>
      <c r="Y9" s="189"/>
      <c r="Z9" s="189"/>
      <c r="AA9" s="189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63" t="s">
        <v>2478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4"/>
      <c r="N12" s="67"/>
      <c r="O12" s="195" t="s">
        <v>13598</v>
      </c>
      <c r="P12" s="195"/>
      <c r="Q12" s="195"/>
      <c r="R12" s="195"/>
      <c r="S12" s="195"/>
      <c r="T12" s="195"/>
      <c r="U12" s="58"/>
      <c r="W12" s="108">
        <v>1120206</v>
      </c>
      <c r="X12" s="129" t="str">
        <f>IFERROR(VLOOKUP(Tabla245[[#This Row],[CODIGO]],Lince!$A$2:$E10000,3,FALSE),"")</f>
        <v>BOMB AMER GAB NEGRA 34/48 RER</v>
      </c>
      <c r="Y12" s="113"/>
      <c r="Z12" s="114">
        <v>48</v>
      </c>
      <c r="AA12" s="117">
        <v>1</v>
      </c>
    </row>
    <row r="13" spans="1:27" ht="14.1" customHeight="1" x14ac:dyDescent="0.2">
      <c r="A13" s="66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60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61"/>
      <c r="B16" s="210" t="str">
        <f>IF(X2="", "Falta Apellido, nombre o razón social del cliente",X2)</f>
        <v>QUINTANA JENNIFER SUSANA NOEMI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>
        <f>IF(X6="", "¿Y el DNI o CUIL/CUIT?",X6)</f>
        <v>39393565</v>
      </c>
      <c r="R16" s="204"/>
      <c r="S16" s="204"/>
      <c r="T16" s="205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6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61"/>
      <c r="B18" s="225" t="s">
        <v>2554</v>
      </c>
      <c r="C18" s="198"/>
      <c r="D18" s="198"/>
      <c r="E18" s="198" t="str">
        <f>VLOOKUP(R18,Sucursales!A:B,2,FALSE)</f>
        <v>LOMA HERMOSA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str">
        <f>VLOOKUP(X5,Sucursales!$J$4:$K$5000,2,FALSE)</f>
        <v>B0007</v>
      </c>
      <c r="S18" s="192"/>
      <c r="T18" s="193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61"/>
      <c r="B19" s="225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61"/>
      <c r="B20" s="229" t="str">
        <f>VLOOKUP(R18,Sucursales!A:G,6,FALSE)</f>
        <v>B1657ZAA</v>
      </c>
      <c r="C20" s="230"/>
      <c r="D20" s="230"/>
      <c r="E20" s="230"/>
      <c r="G20" s="231" t="str">
        <f>VLOOKUP(R18,Sucursales!A:H,7,FALSE)</f>
        <v>LOMA HERMOSA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61"/>
      <c r="B21" s="225" t="str">
        <f>VLOOKUP(R18,Sucursales!A:H,8,FALSE)</f>
        <v>BUENOS AIRES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61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>
        <f>IF(X7="", "Falta teléfono",X7)</f>
        <v>1170295710</v>
      </c>
      <c r="R22" s="207"/>
      <c r="S22" s="207"/>
      <c r="T22" s="208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6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1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D29" sqref="D29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15528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14531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14532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14533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14534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14535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14536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14537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14538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14539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14540</v>
      </c>
      <c r="B438" s="8" t="s">
        <v>14541</v>
      </c>
      <c r="C438" s="7" t="s">
        <v>2501</v>
      </c>
      <c r="D438" s="9" t="s">
        <v>3807</v>
      </c>
      <c r="E438" s="7">
        <v>24</v>
      </c>
      <c r="F438" s="14" t="s">
        <v>14542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14540</v>
      </c>
    </row>
    <row r="439" spans="1:11" x14ac:dyDescent="0.25">
      <c r="A439" s="14" t="s">
        <v>912</v>
      </c>
      <c r="B439" s="8" t="s">
        <v>14543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14544</v>
      </c>
      <c r="B442" s="8" t="s">
        <v>14545</v>
      </c>
      <c r="C442" s="7" t="s">
        <v>2501</v>
      </c>
      <c r="D442" s="9" t="s">
        <v>14292</v>
      </c>
      <c r="E442" s="7">
        <v>326</v>
      </c>
      <c r="F442" s="14" t="s">
        <v>14546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14544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14547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14548</v>
      </c>
      <c r="B444" s="8" t="s">
        <v>14549</v>
      </c>
      <c r="C444" s="7" t="s">
        <v>2501</v>
      </c>
      <c r="D444" s="9" t="s">
        <v>14550</v>
      </c>
      <c r="E444" s="7">
        <v>250</v>
      </c>
      <c r="F444" s="14" t="s">
        <v>14551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14548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14552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14553</v>
      </c>
      <c r="B447" s="8" t="s">
        <v>14554</v>
      </c>
      <c r="C447" s="7" t="s">
        <v>2501</v>
      </c>
      <c r="D447" s="9" t="s">
        <v>14212</v>
      </c>
      <c r="E447" s="7">
        <v>250</v>
      </c>
      <c r="F447" s="14" t="s">
        <v>14555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14553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14556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14557</v>
      </c>
      <c r="B451" s="8" t="s">
        <v>14558</v>
      </c>
      <c r="C451" s="7" t="s">
        <v>2501</v>
      </c>
      <c r="D451" s="9" t="s">
        <v>1054</v>
      </c>
      <c r="E451" s="7">
        <v>368</v>
      </c>
      <c r="F451" s="14" t="s">
        <v>14559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14557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14560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14561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14562</v>
      </c>
      <c r="B457" s="8" t="s">
        <v>14563</v>
      </c>
      <c r="C457" s="7" t="s">
        <v>2501</v>
      </c>
      <c r="D457" s="9" t="s">
        <v>14561</v>
      </c>
      <c r="E457" s="7">
        <v>663</v>
      </c>
      <c r="F457" s="14" t="s">
        <v>14564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14562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14565</v>
      </c>
      <c r="B460" s="8" t="s">
        <v>14566</v>
      </c>
      <c r="C460" s="7" t="s">
        <v>2501</v>
      </c>
      <c r="D460" s="9" t="s">
        <v>14567</v>
      </c>
      <c r="E460" s="7">
        <v>550</v>
      </c>
      <c r="F460" s="14" t="s">
        <v>14568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14565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14569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14570</v>
      </c>
      <c r="B462" s="8" t="s">
        <v>14571</v>
      </c>
      <c r="C462" s="7" t="s">
        <v>2501</v>
      </c>
      <c r="D462" s="9" t="s">
        <v>14572</v>
      </c>
      <c r="E462" s="7">
        <v>1950</v>
      </c>
      <c r="F462" s="14" t="s">
        <v>14573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14570</v>
      </c>
    </row>
    <row r="463" spans="1:11" x14ac:dyDescent="0.25">
      <c r="A463" s="14" t="s">
        <v>14574</v>
      </c>
      <c r="B463" s="8" t="s">
        <v>14575</v>
      </c>
      <c r="C463" s="7" t="s">
        <v>2501</v>
      </c>
      <c r="D463" s="9" t="s">
        <v>14523</v>
      </c>
      <c r="E463" s="7">
        <v>1441</v>
      </c>
      <c r="F463" s="14" t="s">
        <v>14576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14574</v>
      </c>
    </row>
    <row r="464" spans="1:11" x14ac:dyDescent="0.25">
      <c r="A464" s="14" t="s">
        <v>14577</v>
      </c>
      <c r="B464" s="8" t="s">
        <v>14578</v>
      </c>
      <c r="C464" s="7" t="s">
        <v>2501</v>
      </c>
      <c r="D464" s="9" t="s">
        <v>4164</v>
      </c>
      <c r="E464" s="7">
        <v>151</v>
      </c>
      <c r="F464" s="14" t="s">
        <v>14579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14577</v>
      </c>
    </row>
    <row r="465" spans="1:11" x14ac:dyDescent="0.25">
      <c r="A465" s="14" t="s">
        <v>14580</v>
      </c>
      <c r="B465" s="8" t="s">
        <v>14581</v>
      </c>
      <c r="C465" s="7" t="s">
        <v>2501</v>
      </c>
      <c r="D465" s="9" t="s">
        <v>4164</v>
      </c>
      <c r="E465" s="7">
        <v>151</v>
      </c>
      <c r="F465" s="14" t="s">
        <v>14582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14580</v>
      </c>
    </row>
    <row r="466" spans="1:11" x14ac:dyDescent="0.25">
      <c r="A466" s="14" t="s">
        <v>14583</v>
      </c>
      <c r="B466" s="8" t="s">
        <v>14584</v>
      </c>
      <c r="C466" s="7" t="s">
        <v>2501</v>
      </c>
      <c r="D466" s="9" t="s">
        <v>14527</v>
      </c>
      <c r="E466" s="7">
        <v>1349</v>
      </c>
      <c r="F466" s="14" t="s">
        <v>14585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14583</v>
      </c>
    </row>
    <row r="467" spans="1:11" x14ac:dyDescent="0.25">
      <c r="A467" s="14" t="s">
        <v>14586</v>
      </c>
      <c r="B467" s="8" t="s">
        <v>14587</v>
      </c>
      <c r="C467" s="7" t="s">
        <v>2501</v>
      </c>
      <c r="D467" s="9" t="s">
        <v>14588</v>
      </c>
      <c r="E467" s="7">
        <v>2000</v>
      </c>
      <c r="F467" s="14" t="s">
        <v>14589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14586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14590</v>
      </c>
      <c r="J468" s="128">
        <v>4700</v>
      </c>
      <c r="K468" s="14" t="s">
        <v>1609</v>
      </c>
    </row>
    <row r="469" spans="1:11" x14ac:dyDescent="0.25">
      <c r="A469" s="14" t="s">
        <v>14591</v>
      </c>
      <c r="B469" s="8" t="s">
        <v>14592</v>
      </c>
      <c r="C469" s="7" t="s">
        <v>2501</v>
      </c>
      <c r="D469" s="9" t="s">
        <v>2822</v>
      </c>
      <c r="E469" s="7">
        <v>0</v>
      </c>
      <c r="F469" s="14" t="s">
        <v>14593</v>
      </c>
      <c r="G469" s="7" t="s">
        <v>14592</v>
      </c>
      <c r="H469" s="7" t="s">
        <v>1610</v>
      </c>
      <c r="I469" s="8" t="s">
        <v>14592</v>
      </c>
      <c r="J469" s="128">
        <v>4701</v>
      </c>
      <c r="K469" s="14" t="s">
        <v>14591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14594</v>
      </c>
      <c r="C471" s="7" t="s">
        <v>2501</v>
      </c>
      <c r="D471" s="9" t="s">
        <v>14595</v>
      </c>
      <c r="E471" s="7">
        <v>0</v>
      </c>
      <c r="F471" s="14" t="s">
        <v>1617</v>
      </c>
      <c r="G471" s="7" t="s">
        <v>14594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14596</v>
      </c>
      <c r="J473" s="128">
        <v>4728</v>
      </c>
      <c r="K473" s="14" t="s">
        <v>1621</v>
      </c>
    </row>
    <row r="474" spans="1:11" x14ac:dyDescent="0.25">
      <c r="A474" s="14" t="s">
        <v>14597</v>
      </c>
      <c r="B474" s="8" t="s">
        <v>14598</v>
      </c>
      <c r="C474" s="7" t="s">
        <v>2501</v>
      </c>
      <c r="D474" s="9" t="s">
        <v>14599</v>
      </c>
      <c r="E474" s="7">
        <v>0</v>
      </c>
      <c r="F474" s="14" t="s">
        <v>14600</v>
      </c>
      <c r="G474" s="7" t="s">
        <v>14598</v>
      </c>
      <c r="H474" s="7" t="s">
        <v>1610</v>
      </c>
      <c r="I474" s="8" t="s">
        <v>1677</v>
      </c>
      <c r="J474" s="128">
        <v>5333</v>
      </c>
      <c r="K474" s="14" t="s">
        <v>14597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14601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14602</v>
      </c>
      <c r="B476" s="8" t="s">
        <v>14603</v>
      </c>
      <c r="C476" s="7" t="s">
        <v>2501</v>
      </c>
      <c r="D476" s="9" t="s">
        <v>14604</v>
      </c>
      <c r="E476" s="7">
        <v>0</v>
      </c>
      <c r="F476" s="14" t="s">
        <v>14605</v>
      </c>
      <c r="G476" s="7" t="s">
        <v>14603</v>
      </c>
      <c r="H476" s="7" t="s">
        <v>1610</v>
      </c>
      <c r="I476" s="8" t="s">
        <v>14603</v>
      </c>
      <c r="J476" s="128">
        <v>4235</v>
      </c>
      <c r="K476" s="14" t="s">
        <v>14602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14606</v>
      </c>
      <c r="J477" s="128">
        <v>4715</v>
      </c>
      <c r="K477" s="14" t="s">
        <v>1627</v>
      </c>
    </row>
    <row r="478" spans="1:11" x14ac:dyDescent="0.25">
      <c r="A478" s="14" t="s">
        <v>14607</v>
      </c>
      <c r="B478" s="8" t="s">
        <v>14608</v>
      </c>
      <c r="C478" s="7" t="s">
        <v>2501</v>
      </c>
      <c r="D478" s="9" t="s">
        <v>14609</v>
      </c>
      <c r="E478" s="7">
        <v>0</v>
      </c>
      <c r="F478" s="14" t="s">
        <v>14610</v>
      </c>
      <c r="G478" s="7" t="s">
        <v>14608</v>
      </c>
      <c r="H478" s="7" t="s">
        <v>1610</v>
      </c>
      <c r="I478" s="8" t="s">
        <v>309</v>
      </c>
      <c r="J478" s="128">
        <v>5261</v>
      </c>
      <c r="K478" s="14" t="s">
        <v>14607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14611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14612</v>
      </c>
      <c r="B480" s="8" t="s">
        <v>14613</v>
      </c>
      <c r="C480" s="7" t="s">
        <v>2501</v>
      </c>
      <c r="D480" s="9" t="s">
        <v>14135</v>
      </c>
      <c r="E480" s="7">
        <v>0</v>
      </c>
      <c r="F480" s="14" t="s">
        <v>14614</v>
      </c>
      <c r="G480" s="7" t="s">
        <v>14613</v>
      </c>
      <c r="H480" s="7" t="s">
        <v>1610</v>
      </c>
      <c r="I480" s="8" t="s">
        <v>1619</v>
      </c>
      <c r="J480" s="128">
        <v>4751</v>
      </c>
      <c r="K480" s="14" t="s">
        <v>14612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14596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14615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14616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14606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14617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14618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14619</v>
      </c>
      <c r="B486" s="8" t="s">
        <v>14620</v>
      </c>
      <c r="C486" s="7" t="s">
        <v>2501</v>
      </c>
      <c r="D486" s="9" t="s">
        <v>14621</v>
      </c>
      <c r="E486" s="7">
        <v>0</v>
      </c>
      <c r="F486" s="14" t="s">
        <v>14622</v>
      </c>
      <c r="G486" s="7" t="s">
        <v>14623</v>
      </c>
      <c r="H486" s="7" t="s">
        <v>1610</v>
      </c>
      <c r="I486" s="8" t="s">
        <v>14606</v>
      </c>
      <c r="J486" s="128">
        <v>4704</v>
      </c>
      <c r="K486" s="14" t="s">
        <v>14619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14624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14625</v>
      </c>
      <c r="B488" s="8" t="s">
        <v>14626</v>
      </c>
      <c r="C488" s="7" t="s">
        <v>2501</v>
      </c>
      <c r="D488" s="9" t="s">
        <v>14627</v>
      </c>
      <c r="E488" s="7">
        <v>0</v>
      </c>
      <c r="F488" s="14" t="s">
        <v>14628</v>
      </c>
      <c r="G488" s="7" t="s">
        <v>14626</v>
      </c>
      <c r="H488" s="7" t="s">
        <v>1610</v>
      </c>
      <c r="I488" s="8" t="s">
        <v>14596</v>
      </c>
      <c r="J488" s="128">
        <v>4724</v>
      </c>
      <c r="K488" s="14" t="s">
        <v>14625</v>
      </c>
    </row>
    <row r="489" spans="1:11" x14ac:dyDescent="0.25">
      <c r="A489" s="14" t="s">
        <v>14629</v>
      </c>
      <c r="B489" s="8" t="s">
        <v>14630</v>
      </c>
      <c r="C489" s="7" t="s">
        <v>2501</v>
      </c>
      <c r="D489" s="9" t="s">
        <v>14631</v>
      </c>
      <c r="E489" s="7">
        <v>0</v>
      </c>
      <c r="F489" s="14" t="s">
        <v>14632</v>
      </c>
      <c r="G489" s="7" t="s">
        <v>14630</v>
      </c>
      <c r="H489" s="7" t="s">
        <v>1610</v>
      </c>
      <c r="I489" s="8" t="s">
        <v>1659</v>
      </c>
      <c r="J489" s="128">
        <v>5315</v>
      </c>
      <c r="K489" s="14" t="s">
        <v>14629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14633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14634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14635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14636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14637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14638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14639</v>
      </c>
      <c r="B496" s="8" t="s">
        <v>1690</v>
      </c>
      <c r="C496" s="7" t="s">
        <v>2501</v>
      </c>
      <c r="D496" s="9" t="s">
        <v>14640</v>
      </c>
      <c r="E496" s="7">
        <v>50</v>
      </c>
      <c r="F496" s="14" t="s">
        <v>14641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14639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14642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14643</v>
      </c>
      <c r="B500" s="8" t="s">
        <v>14644</v>
      </c>
      <c r="C500" s="7" t="s">
        <v>2501</v>
      </c>
      <c r="D500" s="9" t="s">
        <v>14645</v>
      </c>
      <c r="E500" s="7">
        <v>100</v>
      </c>
      <c r="F500" s="14" t="s">
        <v>14646</v>
      </c>
      <c r="G500" s="7" t="s">
        <v>1612</v>
      </c>
      <c r="H500" s="7" t="s">
        <v>1610</v>
      </c>
      <c r="I500" s="8" t="s">
        <v>14590</v>
      </c>
      <c r="J500" s="128">
        <v>4700</v>
      </c>
      <c r="K500" s="14" t="s">
        <v>14643</v>
      </c>
    </row>
    <row r="501" spans="1:11" x14ac:dyDescent="0.25">
      <c r="A501" s="14" t="s">
        <v>14647</v>
      </c>
      <c r="B501" s="8" t="s">
        <v>14648</v>
      </c>
      <c r="C501" s="7" t="s">
        <v>2501</v>
      </c>
      <c r="D501" s="9" t="s">
        <v>14649</v>
      </c>
      <c r="E501" s="7">
        <v>1500</v>
      </c>
      <c r="F501" s="14" t="s">
        <v>14650</v>
      </c>
      <c r="G501" s="7" t="s">
        <v>1612</v>
      </c>
      <c r="H501" s="7" t="s">
        <v>1610</v>
      </c>
      <c r="I501" s="8" t="s">
        <v>14590</v>
      </c>
      <c r="J501" s="128">
        <v>4700</v>
      </c>
      <c r="K501" s="14" t="s">
        <v>14647</v>
      </c>
    </row>
    <row r="502" spans="1:11" x14ac:dyDescent="0.25">
      <c r="A502" s="14" t="s">
        <v>14651</v>
      </c>
      <c r="B502" s="8" t="s">
        <v>14652</v>
      </c>
      <c r="C502" s="7" t="s">
        <v>2501</v>
      </c>
      <c r="D502" s="9" t="s">
        <v>14621</v>
      </c>
      <c r="E502" s="7">
        <v>0</v>
      </c>
      <c r="F502" s="14" t="s">
        <v>14653</v>
      </c>
      <c r="G502" s="7" t="s">
        <v>14654</v>
      </c>
      <c r="H502" s="7" t="s">
        <v>1610</v>
      </c>
      <c r="I502" s="8" t="s">
        <v>14596</v>
      </c>
      <c r="J502" s="128">
        <v>5263</v>
      </c>
      <c r="K502" s="14" t="s">
        <v>14651</v>
      </c>
    </row>
    <row r="503" spans="1:11" x14ac:dyDescent="0.25">
      <c r="A503" s="14" t="s">
        <v>14655</v>
      </c>
      <c r="B503" s="8" t="s">
        <v>14656</v>
      </c>
      <c r="C503" s="7" t="s">
        <v>2501</v>
      </c>
      <c r="D503" s="9" t="s">
        <v>1223</v>
      </c>
      <c r="E503" s="7">
        <v>0</v>
      </c>
      <c r="F503" s="14" t="s">
        <v>14657</v>
      </c>
      <c r="G503" s="7" t="s">
        <v>14658</v>
      </c>
      <c r="H503" s="7" t="s">
        <v>1610</v>
      </c>
      <c r="I503" s="8" t="s">
        <v>14658</v>
      </c>
      <c r="J503" s="128">
        <v>4705</v>
      </c>
      <c r="K503" s="14" t="s">
        <v>14655</v>
      </c>
    </row>
    <row r="504" spans="1:11" x14ac:dyDescent="0.25">
      <c r="A504" s="14" t="s">
        <v>14659</v>
      </c>
      <c r="B504" s="8" t="s">
        <v>14660</v>
      </c>
      <c r="C504" s="7" t="s">
        <v>2501</v>
      </c>
      <c r="D504" s="9" t="s">
        <v>14661</v>
      </c>
      <c r="E504" s="7">
        <v>0</v>
      </c>
      <c r="F504" s="14" t="s">
        <v>14662</v>
      </c>
      <c r="G504" s="7" t="s">
        <v>14660</v>
      </c>
      <c r="H504" s="7" t="s">
        <v>1610</v>
      </c>
      <c r="I504" s="8" t="s">
        <v>1659</v>
      </c>
      <c r="J504" s="128">
        <v>5315</v>
      </c>
      <c r="K504" s="14" t="s">
        <v>14659</v>
      </c>
    </row>
    <row r="505" spans="1:11" x14ac:dyDescent="0.25">
      <c r="A505" s="14" t="s">
        <v>14663</v>
      </c>
      <c r="B505" s="8" t="s">
        <v>14664</v>
      </c>
      <c r="C505" s="7" t="s">
        <v>2501</v>
      </c>
      <c r="D505" s="9" t="s">
        <v>14664</v>
      </c>
      <c r="E505" s="7">
        <v>0</v>
      </c>
      <c r="F505" s="14" t="s">
        <v>14665</v>
      </c>
      <c r="G505" s="7" t="s">
        <v>14664</v>
      </c>
      <c r="H505" s="7" t="s">
        <v>1610</v>
      </c>
      <c r="I505" s="8" t="s">
        <v>1619</v>
      </c>
      <c r="J505" s="128">
        <v>4751</v>
      </c>
      <c r="K505" s="14" t="s">
        <v>14663</v>
      </c>
    </row>
    <row r="506" spans="1:11" x14ac:dyDescent="0.25">
      <c r="A506" s="14" t="s">
        <v>14666</v>
      </c>
      <c r="B506" s="8" t="s">
        <v>3635</v>
      </c>
      <c r="C506" s="7" t="s">
        <v>2501</v>
      </c>
      <c r="D506" s="9" t="s">
        <v>14661</v>
      </c>
      <c r="E506" s="7">
        <v>0</v>
      </c>
      <c r="F506" s="14" t="s">
        <v>14667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14666</v>
      </c>
    </row>
    <row r="507" spans="1:11" x14ac:dyDescent="0.25">
      <c r="A507" s="14" t="s">
        <v>14668</v>
      </c>
      <c r="B507" s="8" t="s">
        <v>14669</v>
      </c>
      <c r="C507" s="7" t="s">
        <v>2501</v>
      </c>
      <c r="D507" s="9" t="s">
        <v>14661</v>
      </c>
      <c r="E507" s="7">
        <v>0</v>
      </c>
      <c r="F507" s="14" t="s">
        <v>14670</v>
      </c>
      <c r="G507" s="7" t="s">
        <v>14669</v>
      </c>
      <c r="H507" s="7" t="s">
        <v>1610</v>
      </c>
      <c r="I507" s="8" t="s">
        <v>1619</v>
      </c>
      <c r="J507" s="128">
        <v>4750</v>
      </c>
      <c r="K507" s="14" t="s">
        <v>14668</v>
      </c>
    </row>
    <row r="508" spans="1:11" x14ac:dyDescent="0.25">
      <c r="A508" s="14" t="s">
        <v>14671</v>
      </c>
      <c r="B508" s="8" t="s">
        <v>14672</v>
      </c>
      <c r="C508" s="7" t="s">
        <v>2501</v>
      </c>
      <c r="D508" s="9" t="s">
        <v>14661</v>
      </c>
      <c r="E508" s="7">
        <v>0</v>
      </c>
      <c r="F508" s="14" t="s">
        <v>14673</v>
      </c>
      <c r="G508" s="7" t="s">
        <v>14672</v>
      </c>
      <c r="H508" s="7" t="s">
        <v>1610</v>
      </c>
      <c r="I508" s="8" t="s">
        <v>14616</v>
      </c>
      <c r="J508" s="128">
        <v>4718</v>
      </c>
      <c r="K508" s="14" t="s">
        <v>14671</v>
      </c>
    </row>
    <row r="509" spans="1:11" x14ac:dyDescent="0.25">
      <c r="A509" s="14" t="s">
        <v>14674</v>
      </c>
      <c r="B509" s="8" t="s">
        <v>14675</v>
      </c>
      <c r="C509" s="7" t="s">
        <v>2501</v>
      </c>
      <c r="D509" s="9" t="s">
        <v>14661</v>
      </c>
      <c r="E509" s="7">
        <v>0</v>
      </c>
      <c r="F509" s="14" t="s">
        <v>14676</v>
      </c>
      <c r="G509" s="7" t="s">
        <v>14675</v>
      </c>
      <c r="H509" s="7" t="s">
        <v>1610</v>
      </c>
      <c r="I509" s="8" t="s">
        <v>1680</v>
      </c>
      <c r="J509" s="128">
        <v>4707</v>
      </c>
      <c r="K509" s="14" t="s">
        <v>14674</v>
      </c>
    </row>
    <row r="510" spans="1:11" x14ac:dyDescent="0.25">
      <c r="A510" s="14" t="s">
        <v>14677</v>
      </c>
      <c r="B510" s="8" t="s">
        <v>14678</v>
      </c>
      <c r="C510" s="7" t="s">
        <v>2501</v>
      </c>
      <c r="D510" s="9" t="s">
        <v>14661</v>
      </c>
      <c r="E510" s="7">
        <v>0</v>
      </c>
      <c r="F510" s="14" t="s">
        <v>14679</v>
      </c>
      <c r="G510" s="7" t="s">
        <v>14678</v>
      </c>
      <c r="H510" s="7" t="s">
        <v>1610</v>
      </c>
      <c r="I510" s="8" t="s">
        <v>1619</v>
      </c>
      <c r="J510" s="128">
        <v>4751</v>
      </c>
      <c r="K510" s="14" t="s">
        <v>14677</v>
      </c>
    </row>
    <row r="511" spans="1:11" x14ac:dyDescent="0.25">
      <c r="A511" s="14" t="s">
        <v>14680</v>
      </c>
      <c r="B511" s="8" t="s">
        <v>14681</v>
      </c>
      <c r="C511" s="7" t="s">
        <v>2501</v>
      </c>
      <c r="D511" s="9" t="s">
        <v>14682</v>
      </c>
      <c r="E511" s="7">
        <v>0</v>
      </c>
      <c r="F511" s="14" t="s">
        <v>14683</v>
      </c>
      <c r="G511" s="7" t="s">
        <v>14681</v>
      </c>
      <c r="H511" s="7" t="s">
        <v>1610</v>
      </c>
      <c r="I511" s="8" t="s">
        <v>1677</v>
      </c>
      <c r="J511" s="128">
        <v>5332</v>
      </c>
      <c r="K511" s="14" t="s">
        <v>14680</v>
      </c>
    </row>
    <row r="512" spans="1:11" x14ac:dyDescent="0.25">
      <c r="A512" s="14" t="s">
        <v>14684</v>
      </c>
      <c r="B512" s="8" t="s">
        <v>14685</v>
      </c>
      <c r="C512" s="7" t="s">
        <v>2501</v>
      </c>
      <c r="D512" s="9" t="s">
        <v>14686</v>
      </c>
      <c r="E512" s="7">
        <v>10</v>
      </c>
      <c r="F512" s="14" t="s">
        <v>14687</v>
      </c>
      <c r="G512" s="7" t="s">
        <v>14688</v>
      </c>
      <c r="H512" s="7" t="s">
        <v>1610</v>
      </c>
      <c r="I512" s="8" t="s">
        <v>1619</v>
      </c>
      <c r="J512" s="128">
        <v>4755</v>
      </c>
      <c r="K512" s="14" t="s">
        <v>14684</v>
      </c>
    </row>
    <row r="513" spans="1:11" x14ac:dyDescent="0.25">
      <c r="A513" s="14" t="s">
        <v>14689</v>
      </c>
      <c r="B513" s="8" t="s">
        <v>14690</v>
      </c>
      <c r="C513" s="7" t="s">
        <v>2501</v>
      </c>
      <c r="D513" s="9" t="s">
        <v>14661</v>
      </c>
      <c r="E513" s="7">
        <v>0</v>
      </c>
      <c r="F513" s="14" t="s">
        <v>14691</v>
      </c>
      <c r="G513" s="7" t="s">
        <v>14690</v>
      </c>
      <c r="H513" s="7" t="s">
        <v>1610</v>
      </c>
      <c r="I513" s="8" t="s">
        <v>1671</v>
      </c>
      <c r="J513" s="128">
        <v>4139</v>
      </c>
      <c r="K513" s="14" t="s">
        <v>14689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14692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14692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14693</v>
      </c>
      <c r="B516" s="8" t="s">
        <v>14694</v>
      </c>
      <c r="C516" s="7" t="s">
        <v>2501</v>
      </c>
      <c r="D516" s="9" t="s">
        <v>3941</v>
      </c>
      <c r="E516" s="7">
        <v>881</v>
      </c>
      <c r="F516" s="14" t="s">
        <v>14695</v>
      </c>
      <c r="G516" s="7" t="s">
        <v>1612</v>
      </c>
      <c r="H516" s="7" t="s">
        <v>1610</v>
      </c>
      <c r="I516" s="8" t="s">
        <v>14590</v>
      </c>
      <c r="J516" s="128">
        <v>4700</v>
      </c>
      <c r="K516" s="14" t="s">
        <v>14693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14696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14697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14698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14699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14700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14701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14700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14702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14703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14704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14705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14706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14707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14708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14708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14709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14709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14710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14708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14711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14704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14704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14712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14713</v>
      </c>
      <c r="H547" s="7" t="s">
        <v>2885</v>
      </c>
      <c r="I547" s="8" t="s">
        <v>14714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14715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14716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14717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14718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14702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14719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14720</v>
      </c>
      <c r="B557" s="8" t="s">
        <v>14721</v>
      </c>
      <c r="C557" s="7" t="s">
        <v>2501</v>
      </c>
      <c r="D557" s="9" t="s">
        <v>14722</v>
      </c>
      <c r="E557" s="7">
        <v>0</v>
      </c>
      <c r="F557" s="14" t="s">
        <v>14723</v>
      </c>
      <c r="G557" s="7" t="s">
        <v>14721</v>
      </c>
      <c r="H557" s="7" t="s">
        <v>2885</v>
      </c>
      <c r="I557" s="8" t="s">
        <v>14724</v>
      </c>
      <c r="J557" s="128">
        <v>3513</v>
      </c>
      <c r="K557" s="14" t="s">
        <v>14720</v>
      </c>
    </row>
    <row r="558" spans="1:11" x14ac:dyDescent="0.25">
      <c r="A558" s="14" t="s">
        <v>14725</v>
      </c>
      <c r="B558" s="8" t="s">
        <v>14726</v>
      </c>
      <c r="C558" s="7" t="s">
        <v>2501</v>
      </c>
      <c r="D558" s="9" t="s">
        <v>14722</v>
      </c>
      <c r="E558" s="7">
        <v>0</v>
      </c>
      <c r="F558" s="14" t="s">
        <v>14727</v>
      </c>
      <c r="G558" s="7" t="s">
        <v>14726</v>
      </c>
      <c r="H558" s="7" t="s">
        <v>2885</v>
      </c>
      <c r="I558" s="8" t="s">
        <v>3632</v>
      </c>
      <c r="J558" s="128">
        <v>3505</v>
      </c>
      <c r="K558" s="14" t="s">
        <v>14725</v>
      </c>
    </row>
    <row r="559" spans="1:11" x14ac:dyDescent="0.25">
      <c r="A559" s="14" t="s">
        <v>14728</v>
      </c>
      <c r="B559" s="8" t="s">
        <v>14729</v>
      </c>
      <c r="C559" s="7" t="s">
        <v>2501</v>
      </c>
      <c r="D559" s="9" t="s">
        <v>14722</v>
      </c>
      <c r="E559" s="7">
        <v>0</v>
      </c>
      <c r="F559" s="14" t="s">
        <v>14730</v>
      </c>
      <c r="G559" s="7" t="s">
        <v>14729</v>
      </c>
      <c r="H559" s="7" t="s">
        <v>2885</v>
      </c>
      <c r="I559" s="8" t="s">
        <v>170</v>
      </c>
      <c r="J559" s="128">
        <v>3518</v>
      </c>
      <c r="K559" s="14" t="s">
        <v>14728</v>
      </c>
    </row>
    <row r="560" spans="1:11" x14ac:dyDescent="0.25">
      <c r="A560" s="14" t="s">
        <v>14731</v>
      </c>
      <c r="B560" s="8" t="s">
        <v>14732</v>
      </c>
      <c r="C560" s="7" t="s">
        <v>2501</v>
      </c>
      <c r="D560" s="9" t="s">
        <v>14733</v>
      </c>
      <c r="E560" s="7">
        <v>0</v>
      </c>
      <c r="F560" s="14" t="s">
        <v>14734</v>
      </c>
      <c r="G560" s="7" t="s">
        <v>14732</v>
      </c>
      <c r="H560" s="7" t="s">
        <v>2885</v>
      </c>
      <c r="I560" s="8" t="s">
        <v>859</v>
      </c>
      <c r="J560" s="128">
        <v>3725</v>
      </c>
      <c r="K560" s="14" t="s">
        <v>14731</v>
      </c>
    </row>
    <row r="561" spans="1:11" x14ac:dyDescent="0.25">
      <c r="A561" s="14" t="s">
        <v>14735</v>
      </c>
      <c r="B561" s="8" t="s">
        <v>14736</v>
      </c>
      <c r="C561" s="7" t="s">
        <v>2501</v>
      </c>
      <c r="D561" s="9" t="s">
        <v>14737</v>
      </c>
      <c r="E561" s="7">
        <v>100</v>
      </c>
      <c r="F561" s="14" t="s">
        <v>14738</v>
      </c>
      <c r="G561" s="7" t="s">
        <v>14736</v>
      </c>
      <c r="H561" s="7" t="s">
        <v>2885</v>
      </c>
      <c r="I561" s="8" t="s">
        <v>4259</v>
      </c>
      <c r="J561" s="128">
        <v>3715</v>
      </c>
      <c r="K561" s="14" t="s">
        <v>14735</v>
      </c>
    </row>
    <row r="562" spans="1:11" x14ac:dyDescent="0.25">
      <c r="A562" s="14" t="s">
        <v>14739</v>
      </c>
      <c r="B562" s="8" t="s">
        <v>14740</v>
      </c>
      <c r="C562" s="7" t="s">
        <v>2501</v>
      </c>
      <c r="D562" s="9" t="s">
        <v>14741</v>
      </c>
      <c r="E562" s="7">
        <v>0</v>
      </c>
      <c r="F562" s="14" t="s">
        <v>14742</v>
      </c>
      <c r="G562" s="7" t="s">
        <v>14740</v>
      </c>
      <c r="H562" s="7" t="s">
        <v>2885</v>
      </c>
      <c r="I562" s="8" t="s">
        <v>2452</v>
      </c>
      <c r="J562" s="128">
        <v>3543</v>
      </c>
      <c r="K562" s="14" t="s">
        <v>14739</v>
      </c>
    </row>
    <row r="563" spans="1:11" x14ac:dyDescent="0.25">
      <c r="A563" s="14" t="s">
        <v>14743</v>
      </c>
      <c r="B563" s="8" t="s">
        <v>14744</v>
      </c>
      <c r="C563" s="7" t="s">
        <v>2501</v>
      </c>
      <c r="D563" s="9" t="s">
        <v>14722</v>
      </c>
      <c r="E563" s="7">
        <v>0</v>
      </c>
      <c r="F563" s="14" t="s">
        <v>14745</v>
      </c>
      <c r="G563" s="7" t="s">
        <v>14744</v>
      </c>
      <c r="H563" s="7" t="s">
        <v>2885</v>
      </c>
      <c r="I563" s="8" t="s">
        <v>14704</v>
      </c>
      <c r="J563" s="128">
        <v>3507</v>
      </c>
      <c r="K563" s="14" t="s">
        <v>14743</v>
      </c>
    </row>
    <row r="564" spans="1:11" x14ac:dyDescent="0.25">
      <c r="A564" s="14" t="s">
        <v>14746</v>
      </c>
      <c r="B564" s="8" t="s">
        <v>14747</v>
      </c>
      <c r="C564" s="7" t="s">
        <v>2501</v>
      </c>
      <c r="D564" s="9" t="s">
        <v>1253</v>
      </c>
      <c r="E564" s="7">
        <v>0</v>
      </c>
      <c r="F564" s="14" t="s">
        <v>14748</v>
      </c>
      <c r="G564" s="7" t="s">
        <v>14749</v>
      </c>
      <c r="H564" s="7" t="s">
        <v>2885</v>
      </c>
      <c r="I564" s="8" t="s">
        <v>2544</v>
      </c>
      <c r="J564" s="128">
        <v>3705</v>
      </c>
      <c r="K564" s="14" t="s">
        <v>14746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14750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14751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14752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14751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14753</v>
      </c>
      <c r="C568" s="7" t="s">
        <v>2501</v>
      </c>
      <c r="D568" s="9" t="s">
        <v>14754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14751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14755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14756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14756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14757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14758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14758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14759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14751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14756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14760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14758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14761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14757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14762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14763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14764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14763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14765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14763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14766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14757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14767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14768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14769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14770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14763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14771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14772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14773</v>
      </c>
      <c r="B593" s="8" t="s">
        <v>14774</v>
      </c>
      <c r="C593" s="7" t="s">
        <v>2501</v>
      </c>
      <c r="D593" s="9" t="s">
        <v>14775</v>
      </c>
      <c r="E593" s="7">
        <v>0</v>
      </c>
      <c r="F593" s="14" t="s">
        <v>14776</v>
      </c>
      <c r="G593" s="7" t="s">
        <v>14774</v>
      </c>
      <c r="H593" s="7" t="s">
        <v>467</v>
      </c>
      <c r="I593" s="8" t="s">
        <v>14763</v>
      </c>
      <c r="J593" s="128">
        <v>9202</v>
      </c>
      <c r="K593" s="14" t="s">
        <v>14773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14777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14590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14778</v>
      </c>
      <c r="C595" s="7" t="s">
        <v>2501</v>
      </c>
      <c r="D595" s="9" t="s">
        <v>14779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14590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14780</v>
      </c>
      <c r="C596" s="7" t="s">
        <v>2501</v>
      </c>
      <c r="D596" s="9" t="s">
        <v>14777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14590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14781</v>
      </c>
      <c r="C597" s="7" t="s">
        <v>2501</v>
      </c>
      <c r="D597" s="9" t="s">
        <v>14782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14590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14783</v>
      </c>
      <c r="C598" s="7" t="s">
        <v>2501</v>
      </c>
      <c r="D598" s="9" t="s">
        <v>14784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14590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14785</v>
      </c>
      <c r="C599" s="7" t="s">
        <v>2501</v>
      </c>
      <c r="D599" s="9" t="s">
        <v>14786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14590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14787</v>
      </c>
      <c r="C600" s="7" t="s">
        <v>2501</v>
      </c>
      <c r="D600" s="9" t="s">
        <v>14784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14590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14788</v>
      </c>
      <c r="C601" s="7" t="s">
        <v>2501</v>
      </c>
      <c r="D601" s="9" t="s">
        <v>14789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14590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14790</v>
      </c>
      <c r="C602" s="7" t="s">
        <v>2501</v>
      </c>
      <c r="D602" s="9" t="s">
        <v>14791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14590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14792</v>
      </c>
      <c r="C603" s="7" t="s">
        <v>2501</v>
      </c>
      <c r="D603" s="9" t="s">
        <v>14552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14590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14793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14590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14794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14795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14552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14796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14797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14798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14799</v>
      </c>
      <c r="J612" s="128">
        <v>5184</v>
      </c>
      <c r="K612" s="14" t="s">
        <v>3048</v>
      </c>
    </row>
    <row r="613" spans="1:11" x14ac:dyDescent="0.25">
      <c r="A613" s="14" t="s">
        <v>14800</v>
      </c>
      <c r="B613" s="8" t="s">
        <v>14788</v>
      </c>
      <c r="C613" s="7" t="s">
        <v>2501</v>
      </c>
      <c r="D613" s="9" t="s">
        <v>14801</v>
      </c>
      <c r="E613" s="7">
        <v>7200</v>
      </c>
      <c r="F613" s="14" t="s">
        <v>14802</v>
      </c>
      <c r="G613" s="7" t="s">
        <v>1703</v>
      </c>
      <c r="H613" s="7" t="s">
        <v>1703</v>
      </c>
      <c r="I613" s="8" t="s">
        <v>14590</v>
      </c>
      <c r="J613" s="128">
        <v>5023</v>
      </c>
      <c r="K613" s="14" t="s">
        <v>14800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14803</v>
      </c>
      <c r="B615" s="8" t="s">
        <v>14804</v>
      </c>
      <c r="C615" s="7" t="s">
        <v>2501</v>
      </c>
      <c r="D615" s="9" t="s">
        <v>14515</v>
      </c>
      <c r="E615" s="7">
        <v>472</v>
      </c>
      <c r="F615" s="14" t="s">
        <v>14805</v>
      </c>
      <c r="G615" s="7" t="s">
        <v>14804</v>
      </c>
      <c r="H615" s="7" t="s">
        <v>1703</v>
      </c>
      <c r="I615" s="8" t="s">
        <v>2031</v>
      </c>
      <c r="J615" s="128">
        <v>2426</v>
      </c>
      <c r="K615" s="14" t="s">
        <v>14803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14799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14806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14807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14808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14809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14810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14810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14796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14799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14811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14799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14812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14813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14814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14814</v>
      </c>
      <c r="H636" s="7" t="s">
        <v>1703</v>
      </c>
      <c r="I636" s="8" t="s">
        <v>14815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14816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14817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14818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14819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14820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14821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14821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14807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14822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14801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14823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14824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14825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14826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14827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14828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14799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14829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14830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14799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14831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14832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14833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14815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14834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14835</v>
      </c>
      <c r="H677" s="7" t="s">
        <v>1703</v>
      </c>
      <c r="I677" s="8" t="s">
        <v>14836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14837</v>
      </c>
      <c r="C678" s="7" t="s">
        <v>2501</v>
      </c>
      <c r="D678" s="9" t="s">
        <v>14838</v>
      </c>
      <c r="E678" s="7">
        <v>518</v>
      </c>
      <c r="F678" s="14" t="s">
        <v>1790</v>
      </c>
      <c r="G678" s="7" t="s">
        <v>14837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14839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14840</v>
      </c>
      <c r="C681" s="7" t="s">
        <v>2501</v>
      </c>
      <c r="D681" s="9" t="s">
        <v>14841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14842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14843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14844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14696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14845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14846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14847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14848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14849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14850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14851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14817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14852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14844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14844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14853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14846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14854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14855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14846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14817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14844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14856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14857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14853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14846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14858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14859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14860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14817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14861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14552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14862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14846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14863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14863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14811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14864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14846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14817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14852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14844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14853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14817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14846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14844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14865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14846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14866</v>
      </c>
      <c r="C752" s="7" t="s">
        <v>2501</v>
      </c>
      <c r="D752" s="9" t="s">
        <v>14867</v>
      </c>
      <c r="E752" s="7">
        <v>630</v>
      </c>
      <c r="F752" s="14" t="s">
        <v>3444</v>
      </c>
      <c r="G752" s="7" t="s">
        <v>14866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14817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14868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14869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14870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14817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14871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14817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14872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14873</v>
      </c>
      <c r="B761" s="8" t="s">
        <v>14874</v>
      </c>
      <c r="C761" s="7" t="s">
        <v>2501</v>
      </c>
      <c r="D761" s="9" t="s">
        <v>14875</v>
      </c>
      <c r="E761" s="7">
        <v>690</v>
      </c>
      <c r="F761" s="14" t="s">
        <v>14876</v>
      </c>
      <c r="G761" s="7" t="s">
        <v>1703</v>
      </c>
      <c r="H761" s="7" t="s">
        <v>1703</v>
      </c>
      <c r="I761" s="8" t="s">
        <v>14590</v>
      </c>
      <c r="J761" s="128">
        <v>5021</v>
      </c>
      <c r="K761" s="14" t="s">
        <v>14873</v>
      </c>
    </row>
    <row r="762" spans="1:11" x14ac:dyDescent="0.25">
      <c r="A762" s="14" t="s">
        <v>14877</v>
      </c>
      <c r="B762" s="8" t="s">
        <v>14878</v>
      </c>
      <c r="C762" s="7" t="s">
        <v>2501</v>
      </c>
      <c r="D762" s="9" t="s">
        <v>14879</v>
      </c>
      <c r="E762" s="7">
        <v>1</v>
      </c>
      <c r="F762" s="14" t="s">
        <v>14880</v>
      </c>
      <c r="G762" s="7" t="s">
        <v>1703</v>
      </c>
      <c r="H762" s="7" t="s">
        <v>1703</v>
      </c>
      <c r="I762" s="8" t="s">
        <v>14590</v>
      </c>
      <c r="J762" s="128">
        <v>5002</v>
      </c>
      <c r="K762" s="14" t="s">
        <v>14877</v>
      </c>
    </row>
    <row r="763" spans="1:11" x14ac:dyDescent="0.25">
      <c r="A763" s="14" t="s">
        <v>14881</v>
      </c>
      <c r="B763" s="8" t="s">
        <v>14882</v>
      </c>
      <c r="C763" s="7" t="s">
        <v>2501</v>
      </c>
      <c r="D763" s="9" t="s">
        <v>14883</v>
      </c>
      <c r="E763" s="7">
        <v>0</v>
      </c>
      <c r="F763" s="14" t="s">
        <v>14884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14881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14885</v>
      </c>
      <c r="B766" s="8" t="s">
        <v>14886</v>
      </c>
      <c r="C766" s="7" t="s">
        <v>2501</v>
      </c>
      <c r="D766" s="9" t="s">
        <v>14887</v>
      </c>
      <c r="E766" s="7">
        <v>1</v>
      </c>
      <c r="F766" s="14" t="s">
        <v>14888</v>
      </c>
      <c r="G766" s="7" t="s">
        <v>14886</v>
      </c>
      <c r="H766" s="7" t="s">
        <v>1703</v>
      </c>
      <c r="I766" s="8" t="s">
        <v>1505</v>
      </c>
      <c r="J766" s="128">
        <v>4525</v>
      </c>
      <c r="K766" s="14" t="s">
        <v>14885</v>
      </c>
    </row>
    <row r="767" spans="1:11" x14ac:dyDescent="0.25">
      <c r="A767" s="14" t="s">
        <v>14889</v>
      </c>
      <c r="B767" s="8" t="s">
        <v>14890</v>
      </c>
      <c r="C767" s="7" t="s">
        <v>2501</v>
      </c>
      <c r="D767" s="9" t="s">
        <v>14891</v>
      </c>
      <c r="E767" s="7">
        <v>0</v>
      </c>
      <c r="F767" s="14" t="s">
        <v>14892</v>
      </c>
      <c r="G767" s="7" t="s">
        <v>14890</v>
      </c>
      <c r="H767" s="7" t="s">
        <v>1703</v>
      </c>
      <c r="I767" s="8" t="s">
        <v>14815</v>
      </c>
      <c r="J767" s="128">
        <v>5242</v>
      </c>
      <c r="K767" s="14" t="s">
        <v>14889</v>
      </c>
    </row>
    <row r="768" spans="1:11" x14ac:dyDescent="0.25">
      <c r="A768" s="14" t="s">
        <v>14893</v>
      </c>
      <c r="B768" s="8" t="s">
        <v>14894</v>
      </c>
      <c r="C768" s="7" t="s">
        <v>2501</v>
      </c>
      <c r="D768" s="9" t="s">
        <v>14895</v>
      </c>
      <c r="E768" s="7">
        <v>0</v>
      </c>
      <c r="F768" s="14" t="s">
        <v>14896</v>
      </c>
      <c r="G768" s="7" t="s">
        <v>14897</v>
      </c>
      <c r="H768" s="7" t="s">
        <v>1703</v>
      </c>
      <c r="I768" s="8" t="s">
        <v>1671</v>
      </c>
      <c r="J768" s="128">
        <v>5189</v>
      </c>
      <c r="K768" s="14" t="s">
        <v>14893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14898</v>
      </c>
      <c r="C770" s="7" t="s">
        <v>2501</v>
      </c>
      <c r="D770" s="9" t="s">
        <v>14841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14590</v>
      </c>
      <c r="J770" s="128">
        <v>5014</v>
      </c>
      <c r="K770" s="14" t="s">
        <v>3474</v>
      </c>
    </row>
    <row r="771" spans="1:11" x14ac:dyDescent="0.25">
      <c r="A771" s="14" t="s">
        <v>14899</v>
      </c>
      <c r="B771" s="8" t="s">
        <v>14900</v>
      </c>
      <c r="C771" s="7" t="s">
        <v>2501</v>
      </c>
      <c r="D771" s="9" t="s">
        <v>14284</v>
      </c>
      <c r="E771" s="7">
        <v>381</v>
      </c>
      <c r="F771" s="14" t="s">
        <v>14901</v>
      </c>
      <c r="G771" s="7" t="s">
        <v>1703</v>
      </c>
      <c r="H771" s="7" t="s">
        <v>1703</v>
      </c>
      <c r="I771" s="8" t="s">
        <v>14590</v>
      </c>
      <c r="J771" s="128">
        <v>5000</v>
      </c>
      <c r="K771" s="14" t="s">
        <v>14899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14902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14903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14904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14905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14906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14907</v>
      </c>
      <c r="B777" s="8" t="s">
        <v>14908</v>
      </c>
      <c r="C777" s="7" t="s">
        <v>2501</v>
      </c>
      <c r="D777" s="9" t="s">
        <v>14909</v>
      </c>
      <c r="E777" s="7">
        <v>417</v>
      </c>
      <c r="F777" s="14" t="s">
        <v>14910</v>
      </c>
      <c r="G777" s="7" t="s">
        <v>14908</v>
      </c>
      <c r="H777" s="7" t="s">
        <v>1703</v>
      </c>
      <c r="I777" s="8" t="s">
        <v>1320</v>
      </c>
      <c r="J777" s="128">
        <v>5150</v>
      </c>
      <c r="K777" s="14" t="s">
        <v>14907</v>
      </c>
    </row>
    <row r="778" spans="1:11" x14ac:dyDescent="0.25">
      <c r="A778" s="14" t="s">
        <v>14911</v>
      </c>
      <c r="B778" s="8" t="s">
        <v>14912</v>
      </c>
      <c r="C778" s="7" t="s">
        <v>2501</v>
      </c>
      <c r="D778" s="9" t="s">
        <v>14131</v>
      </c>
      <c r="E778" s="7">
        <v>953</v>
      </c>
      <c r="F778" s="14" t="s">
        <v>14913</v>
      </c>
      <c r="G778" s="7" t="s">
        <v>14912</v>
      </c>
      <c r="H778" s="7" t="s">
        <v>1703</v>
      </c>
      <c r="I778" s="8" t="s">
        <v>14831</v>
      </c>
      <c r="J778" s="128">
        <v>5231</v>
      </c>
      <c r="K778" s="14" t="s">
        <v>14911</v>
      </c>
    </row>
    <row r="779" spans="1:11" x14ac:dyDescent="0.25">
      <c r="A779" s="14" t="s">
        <v>14914</v>
      </c>
      <c r="B779" s="8" t="s">
        <v>14915</v>
      </c>
      <c r="C779" s="7" t="s">
        <v>2501</v>
      </c>
      <c r="D779" s="9" t="s">
        <v>1491</v>
      </c>
      <c r="E779" s="7">
        <v>288</v>
      </c>
      <c r="F779" s="14" t="s">
        <v>14916</v>
      </c>
      <c r="G779" s="7" t="s">
        <v>14917</v>
      </c>
      <c r="H779" s="7" t="s">
        <v>1703</v>
      </c>
      <c r="I779" s="8" t="s">
        <v>14819</v>
      </c>
      <c r="J779" s="128">
        <v>5891</v>
      </c>
      <c r="K779" s="14" t="s">
        <v>14914</v>
      </c>
    </row>
    <row r="780" spans="1:11" x14ac:dyDescent="0.25">
      <c r="A780" s="14" t="s">
        <v>14918</v>
      </c>
      <c r="B780" s="8" t="s">
        <v>14919</v>
      </c>
      <c r="C780" s="7" t="s">
        <v>2501</v>
      </c>
      <c r="D780" s="9" t="s">
        <v>1983</v>
      </c>
      <c r="E780" s="7">
        <v>1</v>
      </c>
      <c r="F780" s="14" t="s">
        <v>14920</v>
      </c>
      <c r="G780" s="7" t="s">
        <v>14919</v>
      </c>
      <c r="H780" s="7" t="s">
        <v>1703</v>
      </c>
      <c r="I780" s="8" t="s">
        <v>1671</v>
      </c>
      <c r="J780" s="128">
        <v>5123</v>
      </c>
      <c r="K780" s="14" t="s">
        <v>14918</v>
      </c>
    </row>
    <row r="781" spans="1:11" x14ac:dyDescent="0.25">
      <c r="A781" s="14" t="s">
        <v>14921</v>
      </c>
      <c r="B781" s="8" t="s">
        <v>14922</v>
      </c>
      <c r="C781" s="7" t="s">
        <v>2501</v>
      </c>
      <c r="D781" s="9" t="s">
        <v>14923</v>
      </c>
      <c r="E781" s="7">
        <v>6</v>
      </c>
      <c r="F781" s="14" t="s">
        <v>14924</v>
      </c>
      <c r="G781" s="7" t="s">
        <v>14922</v>
      </c>
      <c r="H781" s="7" t="s">
        <v>1703</v>
      </c>
      <c r="I781" s="8" t="s">
        <v>1320</v>
      </c>
      <c r="J781" s="128">
        <v>5108</v>
      </c>
      <c r="K781" s="14" t="s">
        <v>14921</v>
      </c>
    </row>
    <row r="782" spans="1:11" x14ac:dyDescent="0.25">
      <c r="A782" s="14" t="s">
        <v>14925</v>
      </c>
      <c r="B782" s="8" t="s">
        <v>14926</v>
      </c>
      <c r="C782" s="7" t="s">
        <v>2501</v>
      </c>
      <c r="D782" s="9" t="s">
        <v>14245</v>
      </c>
      <c r="E782" s="7">
        <v>18</v>
      </c>
      <c r="F782" s="14" t="s">
        <v>14927</v>
      </c>
      <c r="G782" s="7" t="s">
        <v>14926</v>
      </c>
      <c r="H782" s="7" t="s">
        <v>1703</v>
      </c>
      <c r="I782" s="8" t="s">
        <v>14819</v>
      </c>
      <c r="J782" s="128">
        <v>5887</v>
      </c>
      <c r="K782" s="14" t="s">
        <v>14925</v>
      </c>
    </row>
    <row r="783" spans="1:11" x14ac:dyDescent="0.25">
      <c r="A783" s="14" t="s">
        <v>14928</v>
      </c>
      <c r="B783" s="8" t="s">
        <v>14929</v>
      </c>
      <c r="C783" s="7" t="s">
        <v>2501</v>
      </c>
      <c r="D783" s="9" t="s">
        <v>1975</v>
      </c>
      <c r="E783" s="7">
        <v>1</v>
      </c>
      <c r="F783" s="14" t="s">
        <v>14930</v>
      </c>
      <c r="G783" s="7" t="s">
        <v>14929</v>
      </c>
      <c r="H783" s="7" t="s">
        <v>1703</v>
      </c>
      <c r="I783" s="8" t="s">
        <v>14815</v>
      </c>
      <c r="J783" s="128">
        <v>5221</v>
      </c>
      <c r="K783" s="14" t="s">
        <v>14928</v>
      </c>
    </row>
    <row r="784" spans="1:11" x14ac:dyDescent="0.25">
      <c r="A784" s="14" t="s">
        <v>14931</v>
      </c>
      <c r="B784" s="8" t="s">
        <v>14932</v>
      </c>
      <c r="C784" s="7" t="s">
        <v>2501</v>
      </c>
      <c r="D784" s="9" t="s">
        <v>14151</v>
      </c>
      <c r="E784" s="7">
        <v>0</v>
      </c>
      <c r="F784" s="14" t="s">
        <v>14933</v>
      </c>
      <c r="G784" s="7" t="s">
        <v>14932</v>
      </c>
      <c r="H784" s="7" t="s">
        <v>1703</v>
      </c>
      <c r="I784" s="8" t="s">
        <v>4246</v>
      </c>
      <c r="J784" s="128">
        <v>5885</v>
      </c>
      <c r="K784" s="14" t="s">
        <v>14931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14590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14590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14590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14934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14935</v>
      </c>
      <c r="C793" s="7" t="s">
        <v>2501</v>
      </c>
      <c r="D793" s="9" t="s">
        <v>14936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14937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14938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14939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14940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14941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14942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14943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14944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14766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14945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14946</v>
      </c>
      <c r="B826" s="8" t="s">
        <v>14947</v>
      </c>
      <c r="C826" s="7" t="s">
        <v>2501</v>
      </c>
      <c r="D826" s="9" t="s">
        <v>3126</v>
      </c>
      <c r="E826" s="7">
        <v>798</v>
      </c>
      <c r="F826" s="14" t="s">
        <v>14948</v>
      </c>
      <c r="G826" s="7" t="s">
        <v>794</v>
      </c>
      <c r="H826" s="7" t="s">
        <v>794</v>
      </c>
      <c r="I826" s="8" t="s">
        <v>14590</v>
      </c>
      <c r="J826" s="128">
        <v>3400</v>
      </c>
      <c r="K826" s="14" t="s">
        <v>14946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14949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14950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14951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14952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14953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14640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14954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14955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14956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14956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14957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14953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14958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14959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14954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14960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14961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14962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14838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14963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14964</v>
      </c>
      <c r="B882" s="8" t="s">
        <v>14965</v>
      </c>
      <c r="C882" s="7" t="s">
        <v>2501</v>
      </c>
      <c r="D882" s="9" t="s">
        <v>4276</v>
      </c>
      <c r="E882" s="7">
        <v>0</v>
      </c>
      <c r="F882" s="14" t="s">
        <v>14966</v>
      </c>
      <c r="G882" s="7" t="s">
        <v>14965</v>
      </c>
      <c r="H882" s="7" t="s">
        <v>2125</v>
      </c>
      <c r="I882" s="8" t="s">
        <v>2569</v>
      </c>
      <c r="J882" s="128">
        <v>3105</v>
      </c>
      <c r="K882" s="14" t="s">
        <v>14964</v>
      </c>
    </row>
    <row r="883" spans="1:11" x14ac:dyDescent="0.25">
      <c r="A883" s="14" t="s">
        <v>14967</v>
      </c>
      <c r="B883" s="8" t="s">
        <v>14968</v>
      </c>
      <c r="C883" s="7" t="s">
        <v>2501</v>
      </c>
      <c r="D883" s="9" t="s">
        <v>14969</v>
      </c>
      <c r="E883" s="7">
        <v>0</v>
      </c>
      <c r="F883" s="14" t="s">
        <v>14970</v>
      </c>
      <c r="G883" s="7" t="s">
        <v>14968</v>
      </c>
      <c r="H883" s="7" t="s">
        <v>2125</v>
      </c>
      <c r="I883" s="8" t="s">
        <v>1910</v>
      </c>
      <c r="J883" s="128">
        <v>2847</v>
      </c>
      <c r="K883" s="14" t="s">
        <v>14967</v>
      </c>
    </row>
    <row r="884" spans="1:11" x14ac:dyDescent="0.25">
      <c r="A884" s="14" t="s">
        <v>14971</v>
      </c>
      <c r="B884" s="8" t="s">
        <v>14972</v>
      </c>
      <c r="C884" s="7" t="s">
        <v>2501</v>
      </c>
      <c r="D884" s="9" t="s">
        <v>2822</v>
      </c>
      <c r="E884" s="7">
        <v>0</v>
      </c>
      <c r="F884" s="14" t="s">
        <v>14973</v>
      </c>
      <c r="G884" s="7" t="s">
        <v>14972</v>
      </c>
      <c r="H884" s="7" t="s">
        <v>2125</v>
      </c>
      <c r="I884" s="8" t="s">
        <v>2569</v>
      </c>
      <c r="J884" s="128">
        <v>3105</v>
      </c>
      <c r="K884" s="14" t="s">
        <v>14971</v>
      </c>
    </row>
    <row r="885" spans="1:11" x14ac:dyDescent="0.25">
      <c r="A885" s="14" t="s">
        <v>14974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14975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14974</v>
      </c>
    </row>
    <row r="886" spans="1:11" x14ac:dyDescent="0.25">
      <c r="A886" s="14" t="s">
        <v>14976</v>
      </c>
      <c r="B886" s="8" t="s">
        <v>14977</v>
      </c>
      <c r="C886" s="7" t="s">
        <v>2501</v>
      </c>
      <c r="D886" s="9" t="s">
        <v>14978</v>
      </c>
      <c r="E886" s="7">
        <v>1</v>
      </c>
      <c r="F886" s="14" t="s">
        <v>14979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14976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14980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14981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14982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14983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14984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14985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14986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14984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14987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14984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14988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14981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14984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14989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14990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14987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14983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14985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14984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14991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14981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14987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14984</v>
      </c>
      <c r="J905" s="128">
        <v>3621</v>
      </c>
      <c r="K905" s="14" t="s">
        <v>3663</v>
      </c>
    </row>
    <row r="906" spans="1:11" x14ac:dyDescent="0.25">
      <c r="A906" s="14" t="s">
        <v>14992</v>
      </c>
      <c r="B906" s="8" t="s">
        <v>14993</v>
      </c>
      <c r="C906" s="7" t="s">
        <v>2501</v>
      </c>
      <c r="D906" s="9" t="s">
        <v>14985</v>
      </c>
      <c r="E906" s="7">
        <v>0</v>
      </c>
      <c r="F906" s="14" t="s">
        <v>14994</v>
      </c>
      <c r="G906" s="7" t="s">
        <v>14993</v>
      </c>
      <c r="H906" s="7" t="s">
        <v>4285</v>
      </c>
      <c r="I906" s="8" t="s">
        <v>14982</v>
      </c>
      <c r="J906" s="128">
        <v>3617</v>
      </c>
      <c r="K906" s="14" t="s">
        <v>14992</v>
      </c>
    </row>
    <row r="907" spans="1:11" x14ac:dyDescent="0.25">
      <c r="A907" s="14" t="s">
        <v>14995</v>
      </c>
      <c r="B907" s="8" t="s">
        <v>14996</v>
      </c>
      <c r="C907" s="7" t="s">
        <v>2501</v>
      </c>
      <c r="D907" s="9" t="s">
        <v>14997</v>
      </c>
      <c r="E907" s="7">
        <v>0</v>
      </c>
      <c r="F907" s="14" t="s">
        <v>14998</v>
      </c>
      <c r="G907" s="7" t="s">
        <v>14996</v>
      </c>
      <c r="H907" s="7" t="s">
        <v>4285</v>
      </c>
      <c r="I907" s="8" t="s">
        <v>4285</v>
      </c>
      <c r="J907" s="128">
        <v>3601</v>
      </c>
      <c r="K907" s="14" t="s">
        <v>14995</v>
      </c>
    </row>
    <row r="908" spans="1:11" x14ac:dyDescent="0.25">
      <c r="A908" s="14" t="s">
        <v>14999</v>
      </c>
      <c r="B908" s="8" t="s">
        <v>15000</v>
      </c>
      <c r="C908" s="7" t="s">
        <v>2501</v>
      </c>
      <c r="D908" s="9" t="s">
        <v>15001</v>
      </c>
      <c r="E908" s="7">
        <v>0</v>
      </c>
      <c r="F908" s="14" t="s">
        <v>15002</v>
      </c>
      <c r="G908" s="7" t="s">
        <v>15003</v>
      </c>
      <c r="H908" s="7" t="s">
        <v>4285</v>
      </c>
      <c r="I908" s="8" t="s">
        <v>14987</v>
      </c>
      <c r="J908" s="128">
        <v>3519</v>
      </c>
      <c r="K908" s="14" t="s">
        <v>14999</v>
      </c>
    </row>
    <row r="909" spans="1:11" x14ac:dyDescent="0.25">
      <c r="A909" s="14" t="s">
        <v>15004</v>
      </c>
      <c r="B909" s="8" t="s">
        <v>15005</v>
      </c>
      <c r="C909" s="7" t="s">
        <v>2501</v>
      </c>
      <c r="D909" s="9" t="s">
        <v>14997</v>
      </c>
      <c r="E909" s="7">
        <v>0</v>
      </c>
      <c r="F909" s="14" t="s">
        <v>15006</v>
      </c>
      <c r="G909" s="7" t="s">
        <v>15005</v>
      </c>
      <c r="H909" s="7" t="s">
        <v>4285</v>
      </c>
      <c r="I909" s="8" t="s">
        <v>4285</v>
      </c>
      <c r="J909" s="128">
        <v>3604</v>
      </c>
      <c r="K909" s="14" t="s">
        <v>15004</v>
      </c>
    </row>
    <row r="910" spans="1:11" x14ac:dyDescent="0.25">
      <c r="A910" s="14" t="s">
        <v>15007</v>
      </c>
      <c r="B910" s="8" t="s">
        <v>15008</v>
      </c>
      <c r="C910" s="7" t="s">
        <v>2501</v>
      </c>
      <c r="D910" s="9" t="s">
        <v>15009</v>
      </c>
      <c r="E910" s="7">
        <v>0</v>
      </c>
      <c r="F910" s="14" t="s">
        <v>15010</v>
      </c>
      <c r="G910" s="7" t="s">
        <v>15008</v>
      </c>
      <c r="H910" s="7" t="s">
        <v>4285</v>
      </c>
      <c r="I910" s="8" t="s">
        <v>14982</v>
      </c>
      <c r="J910" s="128">
        <v>3614</v>
      </c>
      <c r="K910" s="14" t="s">
        <v>15007</v>
      </c>
    </row>
    <row r="911" spans="1:11" x14ac:dyDescent="0.25">
      <c r="A911" s="14" t="s">
        <v>15011</v>
      </c>
      <c r="B911" s="8" t="s">
        <v>15012</v>
      </c>
      <c r="C911" s="7" t="s">
        <v>2501</v>
      </c>
      <c r="D911" s="9" t="s">
        <v>1223</v>
      </c>
      <c r="E911" s="7">
        <v>0</v>
      </c>
      <c r="F911" s="14" t="s">
        <v>15013</v>
      </c>
      <c r="G911" s="7" t="s">
        <v>4265</v>
      </c>
      <c r="H911" s="7" t="s">
        <v>4285</v>
      </c>
      <c r="I911" s="8" t="s">
        <v>14981</v>
      </c>
      <c r="J911" s="128">
        <v>3610</v>
      </c>
      <c r="K911" s="14" t="s">
        <v>15011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15014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14984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15015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15016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15017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14696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15018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15017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15019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15020</v>
      </c>
      <c r="C924" s="7" t="s">
        <v>2501</v>
      </c>
      <c r="D924" s="9" t="s">
        <v>15021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14696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15017</v>
      </c>
      <c r="J929" s="128">
        <v>4518</v>
      </c>
      <c r="K929" s="14" t="s">
        <v>3558</v>
      </c>
    </row>
    <row r="930" spans="1:11" x14ac:dyDescent="0.25">
      <c r="A930" s="14" t="s">
        <v>15022</v>
      </c>
      <c r="B930" s="8" t="s">
        <v>15023</v>
      </c>
      <c r="C930" s="7" t="s">
        <v>2501</v>
      </c>
      <c r="D930" s="9" t="s">
        <v>15024</v>
      </c>
      <c r="E930" s="7">
        <v>1</v>
      </c>
      <c r="F930" s="14" t="s">
        <v>15025</v>
      </c>
      <c r="G930" s="7" t="s">
        <v>15023</v>
      </c>
      <c r="H930" s="7" t="s">
        <v>3042</v>
      </c>
      <c r="I930" s="8" t="s">
        <v>15026</v>
      </c>
      <c r="J930" s="128">
        <v>4510</v>
      </c>
      <c r="K930" s="14" t="s">
        <v>15022</v>
      </c>
    </row>
    <row r="931" spans="1:11" x14ac:dyDescent="0.25">
      <c r="A931" s="14" t="s">
        <v>15027</v>
      </c>
      <c r="B931" s="8" t="s">
        <v>15028</v>
      </c>
      <c r="C931" s="7" t="s">
        <v>2501</v>
      </c>
      <c r="D931" s="9" t="s">
        <v>15029</v>
      </c>
      <c r="E931" s="7">
        <v>0</v>
      </c>
      <c r="F931" s="14" t="s">
        <v>15030</v>
      </c>
      <c r="G931" s="7" t="s">
        <v>15028</v>
      </c>
      <c r="H931" s="7" t="s">
        <v>3042</v>
      </c>
      <c r="I931" s="8" t="s">
        <v>14174</v>
      </c>
      <c r="J931" s="128">
        <v>4600</v>
      </c>
      <c r="K931" s="14" t="s">
        <v>15027</v>
      </c>
    </row>
    <row r="932" spans="1:11" x14ac:dyDescent="0.25">
      <c r="A932" s="14" t="s">
        <v>15031</v>
      </c>
      <c r="B932" s="8" t="s">
        <v>15032</v>
      </c>
      <c r="C932" s="7" t="s">
        <v>2501</v>
      </c>
      <c r="D932" s="9" t="s">
        <v>15033</v>
      </c>
      <c r="E932" s="7">
        <v>0</v>
      </c>
      <c r="F932" s="14" t="s">
        <v>15034</v>
      </c>
      <c r="G932" s="7" t="s">
        <v>15032</v>
      </c>
      <c r="H932" s="7" t="s">
        <v>3042</v>
      </c>
      <c r="I932" s="8" t="s">
        <v>15035</v>
      </c>
      <c r="J932" s="128">
        <v>4413</v>
      </c>
      <c r="K932" s="14" t="s">
        <v>15031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14590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14590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15036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15037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15038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15039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15037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15040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15041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15042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15043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15044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15045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15046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15047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15048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15039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14777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15037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15039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15049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15041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15041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15041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15050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15051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15052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15053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15054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15050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15042</v>
      </c>
      <c r="J970" s="128">
        <v>6313</v>
      </c>
      <c r="K970" s="14" t="s">
        <v>161</v>
      </c>
    </row>
    <row r="971" spans="1:11" x14ac:dyDescent="0.25">
      <c r="A971" s="14" t="s">
        <v>15055</v>
      </c>
      <c r="B971" s="8" t="s">
        <v>15056</v>
      </c>
      <c r="C971" s="7" t="s">
        <v>2501</v>
      </c>
      <c r="D971" s="9" t="s">
        <v>1223</v>
      </c>
      <c r="E971" s="7">
        <v>0</v>
      </c>
      <c r="F971" s="14" t="s">
        <v>15057</v>
      </c>
      <c r="G971" s="7" t="s">
        <v>1690</v>
      </c>
      <c r="H971" s="7" t="s">
        <v>3987</v>
      </c>
      <c r="I971" s="8" t="s">
        <v>14590</v>
      </c>
      <c r="J971" s="128">
        <v>6302</v>
      </c>
      <c r="K971" s="14" t="s">
        <v>15055</v>
      </c>
    </row>
    <row r="972" spans="1:11" x14ac:dyDescent="0.25">
      <c r="A972" s="14" t="s">
        <v>15058</v>
      </c>
      <c r="B972" s="8" t="s">
        <v>15059</v>
      </c>
      <c r="C972" s="7" t="s">
        <v>2501</v>
      </c>
      <c r="D972" s="9" t="s">
        <v>14640</v>
      </c>
      <c r="E972" s="7">
        <v>100</v>
      </c>
      <c r="F972" s="14" t="s">
        <v>15060</v>
      </c>
      <c r="G972" s="7" t="s">
        <v>15059</v>
      </c>
      <c r="H972" s="7" t="s">
        <v>3987</v>
      </c>
      <c r="I972" s="8" t="s">
        <v>4057</v>
      </c>
      <c r="J972" s="128">
        <v>6386</v>
      </c>
      <c r="K972" s="14" t="s">
        <v>15058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14590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15061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14856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14856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15062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14856</v>
      </c>
      <c r="J976" s="128">
        <v>5330</v>
      </c>
      <c r="K976" s="14" t="s">
        <v>3502</v>
      </c>
    </row>
    <row r="977" spans="1:11" x14ac:dyDescent="0.25">
      <c r="A977" s="14" t="s">
        <v>15063</v>
      </c>
      <c r="B977" s="8" t="s">
        <v>15064</v>
      </c>
      <c r="C977" s="7" t="s">
        <v>2501</v>
      </c>
      <c r="D977" s="9" t="s">
        <v>14856</v>
      </c>
      <c r="E977" s="7">
        <v>33</v>
      </c>
      <c r="F977" s="14" t="s">
        <v>15065</v>
      </c>
      <c r="G977" s="7" t="s">
        <v>15064</v>
      </c>
      <c r="H977" s="7" t="s">
        <v>895</v>
      </c>
      <c r="I977" s="8" t="s">
        <v>14856</v>
      </c>
      <c r="J977" s="128">
        <v>5303</v>
      </c>
      <c r="K977" s="14" t="s">
        <v>15063</v>
      </c>
    </row>
    <row r="978" spans="1:11" x14ac:dyDescent="0.25">
      <c r="A978" s="14" t="s">
        <v>15066</v>
      </c>
      <c r="B978" s="8" t="s">
        <v>15067</v>
      </c>
      <c r="C978" s="7" t="s">
        <v>2501</v>
      </c>
      <c r="D978" s="9" t="s">
        <v>1223</v>
      </c>
      <c r="E978" s="7">
        <v>0</v>
      </c>
      <c r="F978" s="14" t="s">
        <v>15068</v>
      </c>
      <c r="G978" s="7" t="s">
        <v>15067</v>
      </c>
      <c r="H978" s="7" t="s">
        <v>895</v>
      </c>
      <c r="I978" s="8" t="s">
        <v>3519</v>
      </c>
      <c r="J978" s="128">
        <v>5366</v>
      </c>
      <c r="K978" s="14" t="s">
        <v>15066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15069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15070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15070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15071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15072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15073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15074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15075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15076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15077</v>
      </c>
      <c r="B990" s="8" t="s">
        <v>15078</v>
      </c>
      <c r="C990" s="7" t="s">
        <v>2501</v>
      </c>
      <c r="D990" s="9" t="s">
        <v>3115</v>
      </c>
      <c r="E990" s="7">
        <v>0</v>
      </c>
      <c r="F990" s="14" t="s">
        <v>15079</v>
      </c>
      <c r="G990" s="7" t="s">
        <v>15078</v>
      </c>
      <c r="H990" s="7" t="s">
        <v>895</v>
      </c>
      <c r="I990" s="8" t="s">
        <v>3519</v>
      </c>
      <c r="J990" s="128">
        <v>5370</v>
      </c>
      <c r="K990" s="14" t="s">
        <v>15077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15080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15081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15061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15082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15083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15074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15084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15071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15085</v>
      </c>
      <c r="B1000" s="8" t="s">
        <v>15086</v>
      </c>
      <c r="C1000" s="7" t="s">
        <v>2501</v>
      </c>
      <c r="D1000" s="9" t="s">
        <v>14627</v>
      </c>
      <c r="E1000" s="7">
        <v>0</v>
      </c>
      <c r="F1000" s="14" t="s">
        <v>15087</v>
      </c>
      <c r="G1000" s="7" t="s">
        <v>15086</v>
      </c>
      <c r="H1000" s="7" t="s">
        <v>895</v>
      </c>
      <c r="I1000" s="8" t="s">
        <v>15071</v>
      </c>
      <c r="J1000" s="128">
        <v>5352</v>
      </c>
      <c r="K1000" s="14" t="s">
        <v>15085</v>
      </c>
    </row>
    <row r="1001" spans="1:11" x14ac:dyDescent="0.25">
      <c r="A1001" s="14" t="s">
        <v>1238</v>
      </c>
      <c r="B1001" s="8" t="s">
        <v>15088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14590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15089</v>
      </c>
      <c r="C1002" s="7" t="s">
        <v>2501</v>
      </c>
      <c r="D1002" s="9" t="s">
        <v>15090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14590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14590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15091</v>
      </c>
      <c r="C1004" s="7" t="s">
        <v>2501</v>
      </c>
      <c r="D1004" s="9" t="s">
        <v>15092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14590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15093</v>
      </c>
      <c r="C1005" s="7" t="s">
        <v>2501</v>
      </c>
      <c r="D1005" s="9" t="s">
        <v>15094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15095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15095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15096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15097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15098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15099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15100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15101</v>
      </c>
      <c r="C1027" s="7" t="s">
        <v>2501</v>
      </c>
      <c r="D1027" s="9" t="s">
        <v>15102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15103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15104</v>
      </c>
      <c r="E1034" s="7">
        <v>10523</v>
      </c>
      <c r="F1034" s="14" t="s">
        <v>2442</v>
      </c>
      <c r="G1034" s="7" t="s">
        <v>15105</v>
      </c>
      <c r="H1034" s="7" t="s">
        <v>2476</v>
      </c>
      <c r="I1034" s="8" t="s">
        <v>15095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15106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15107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15095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15108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15109</v>
      </c>
      <c r="C1043" s="7" t="s">
        <v>2501</v>
      </c>
      <c r="D1043" s="9" t="s">
        <v>15110</v>
      </c>
      <c r="E1043" s="7">
        <v>0</v>
      </c>
      <c r="F1043" s="14" t="s">
        <v>2466</v>
      </c>
      <c r="G1043" s="7" t="s">
        <v>15111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15095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15112</v>
      </c>
      <c r="B1048" s="8" t="s">
        <v>15113</v>
      </c>
      <c r="C1048" s="7" t="s">
        <v>2501</v>
      </c>
      <c r="D1048" s="9" t="s">
        <v>15114</v>
      </c>
      <c r="E1048" s="7">
        <v>0</v>
      </c>
      <c r="F1048" s="14" t="s">
        <v>15115</v>
      </c>
      <c r="G1048" s="7" t="s">
        <v>15116</v>
      </c>
      <c r="H1048" s="7" t="s">
        <v>2476</v>
      </c>
      <c r="I1048" s="8" t="s">
        <v>1645</v>
      </c>
      <c r="J1048" s="128">
        <v>5537</v>
      </c>
      <c r="K1048" s="14" t="s">
        <v>15112</v>
      </c>
    </row>
    <row r="1049" spans="1:29" x14ac:dyDescent="0.25">
      <c r="A1049" s="14" t="s">
        <v>15117</v>
      </c>
      <c r="B1049" s="8" t="s">
        <v>15118</v>
      </c>
      <c r="C1049" s="7" t="s">
        <v>2501</v>
      </c>
      <c r="D1049" s="9" t="s">
        <v>15119</v>
      </c>
      <c r="E1049" s="7">
        <v>0</v>
      </c>
      <c r="F1049" s="14" t="s">
        <v>15120</v>
      </c>
      <c r="G1049" s="7" t="s">
        <v>15118</v>
      </c>
      <c r="H1049" s="7" t="s">
        <v>2476</v>
      </c>
      <c r="I1049" s="8" t="s">
        <v>2421</v>
      </c>
      <c r="J1049" s="128">
        <v>5611</v>
      </c>
      <c r="K1049" s="14" t="s">
        <v>15117</v>
      </c>
    </row>
    <row r="1050" spans="1:29" x14ac:dyDescent="0.25">
      <c r="A1050" s="14" t="s">
        <v>15121</v>
      </c>
      <c r="B1050" s="8" t="s">
        <v>15122</v>
      </c>
      <c r="C1050" s="7" t="s">
        <v>2501</v>
      </c>
      <c r="D1050" s="9" t="s">
        <v>15123</v>
      </c>
      <c r="E1050" s="7">
        <v>0</v>
      </c>
      <c r="F1050" s="14" t="s">
        <v>15124</v>
      </c>
      <c r="G1050" s="7" t="s">
        <v>15122</v>
      </c>
      <c r="H1050" s="7" t="s">
        <v>2476</v>
      </c>
      <c r="I1050" s="8" t="s">
        <v>1491</v>
      </c>
      <c r="J1050" s="128">
        <v>5558</v>
      </c>
      <c r="K1050" s="14" t="s">
        <v>15121</v>
      </c>
    </row>
    <row r="1051" spans="1:29" x14ac:dyDescent="0.25">
      <c r="A1051" s="14" t="s">
        <v>15125</v>
      </c>
      <c r="B1051" s="8" t="s">
        <v>15126</v>
      </c>
      <c r="C1051" s="7" t="s">
        <v>2501</v>
      </c>
      <c r="D1051" s="9" t="s">
        <v>15126</v>
      </c>
      <c r="E1051" s="7">
        <v>0</v>
      </c>
      <c r="F1051" s="14" t="s">
        <v>15127</v>
      </c>
      <c r="G1051" s="7" t="s">
        <v>15128</v>
      </c>
      <c r="H1051" s="7" t="s">
        <v>2476</v>
      </c>
      <c r="I1051" s="8" t="s">
        <v>3929</v>
      </c>
      <c r="J1051" s="128">
        <v>5666</v>
      </c>
      <c r="K1051" s="14" t="s">
        <v>15125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15129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14590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14696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15130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15131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14696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15132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14862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15131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15133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15134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14704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15135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15131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15136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15137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14811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15138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15139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14590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15140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14590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14704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15141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15137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15142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15132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15143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15144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15145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14825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15144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15144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15146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15147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15148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15149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15150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15151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15152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15144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15153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15153</v>
      </c>
      <c r="H1105" s="7" t="s">
        <v>3676</v>
      </c>
      <c r="I1105" s="8" t="s">
        <v>15153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15154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15144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15144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15144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15155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15156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15157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15158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15158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15159</v>
      </c>
      <c r="J1114" s="128">
        <v>8315</v>
      </c>
      <c r="K1114" s="14" t="s">
        <v>1412</v>
      </c>
    </row>
    <row r="1115" spans="1:11" x14ac:dyDescent="0.25">
      <c r="A1115" s="14" t="s">
        <v>15160</v>
      </c>
      <c r="B1115" s="8" t="s">
        <v>15161</v>
      </c>
      <c r="C1115" s="7" t="s">
        <v>2501</v>
      </c>
      <c r="D1115" s="9" t="s">
        <v>1223</v>
      </c>
      <c r="E1115" s="7">
        <v>0</v>
      </c>
      <c r="F1115" s="14" t="s">
        <v>15162</v>
      </c>
      <c r="G1115" s="7" t="s">
        <v>15161</v>
      </c>
      <c r="H1115" s="7" t="s">
        <v>3676</v>
      </c>
      <c r="I1115" s="8" t="s">
        <v>14825</v>
      </c>
      <c r="J1115" s="128">
        <v>8355</v>
      </c>
      <c r="K1115" s="14" t="s">
        <v>15160</v>
      </c>
    </row>
    <row r="1116" spans="1:11" x14ac:dyDescent="0.25">
      <c r="A1116" s="14" t="s">
        <v>1415</v>
      </c>
      <c r="B1116" s="8" t="s">
        <v>15163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15163</v>
      </c>
      <c r="H1116" s="7" t="s">
        <v>3676</v>
      </c>
      <c r="I1116" s="8" t="s">
        <v>15153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14760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15164</v>
      </c>
      <c r="J1117" s="128">
        <v>8400</v>
      </c>
      <c r="K1117" s="14" t="s">
        <v>1418</v>
      </c>
    </row>
    <row r="1118" spans="1:11" x14ac:dyDescent="0.25">
      <c r="A1118" s="14" t="s">
        <v>15165</v>
      </c>
      <c r="B1118" s="8" t="s">
        <v>15166</v>
      </c>
      <c r="C1118" s="7" t="s">
        <v>2501</v>
      </c>
      <c r="D1118" s="9" t="s">
        <v>15167</v>
      </c>
      <c r="E1118" s="7">
        <v>1450</v>
      </c>
      <c r="F1118" s="14" t="s">
        <v>15168</v>
      </c>
      <c r="G1118" s="7" t="s">
        <v>3728</v>
      </c>
      <c r="H1118" s="7" t="s">
        <v>3729</v>
      </c>
      <c r="I1118" s="8" t="s">
        <v>15164</v>
      </c>
      <c r="J1118" s="128">
        <v>8400</v>
      </c>
      <c r="K1118" s="14" t="s">
        <v>15165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15169</v>
      </c>
      <c r="C1122" s="7" t="s">
        <v>2501</v>
      </c>
      <c r="D1122" s="9" t="s">
        <v>15170</v>
      </c>
      <c r="E1122" s="7">
        <v>0</v>
      </c>
      <c r="F1122" s="14" t="s">
        <v>3741</v>
      </c>
      <c r="G1122" s="7" t="s">
        <v>15169</v>
      </c>
      <c r="H1122" s="7" t="s">
        <v>3729</v>
      </c>
      <c r="I1122" s="8" t="s">
        <v>15169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15171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15164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15172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15173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15174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15175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14985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15176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14547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15177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15178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15179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15178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15180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15181</v>
      </c>
      <c r="B1150" s="8" t="s">
        <v>15182</v>
      </c>
      <c r="C1150" s="7" t="s">
        <v>2501</v>
      </c>
      <c r="D1150" s="9" t="s">
        <v>15183</v>
      </c>
      <c r="E1150" s="7">
        <v>0</v>
      </c>
      <c r="F1150" s="14" t="s">
        <v>15184</v>
      </c>
      <c r="G1150" s="7" t="s">
        <v>15182</v>
      </c>
      <c r="H1150" s="7" t="s">
        <v>3729</v>
      </c>
      <c r="I1150" s="8" t="s">
        <v>15185</v>
      </c>
      <c r="J1150" s="128">
        <v>8336</v>
      </c>
      <c r="K1150" s="14" t="s">
        <v>15181</v>
      </c>
    </row>
    <row r="1151" spans="1:11" x14ac:dyDescent="0.25">
      <c r="A1151" s="14" t="s">
        <v>15186</v>
      </c>
      <c r="B1151" s="8" t="s">
        <v>15187</v>
      </c>
      <c r="C1151" s="7" t="s">
        <v>2501</v>
      </c>
      <c r="D1151" s="9" t="s">
        <v>14296</v>
      </c>
      <c r="E1151" s="7">
        <v>0</v>
      </c>
      <c r="F1151" s="14" t="s">
        <v>15188</v>
      </c>
      <c r="G1151" s="7" t="s">
        <v>15189</v>
      </c>
      <c r="H1151" s="7" t="s">
        <v>3729</v>
      </c>
      <c r="I1151" s="8" t="s">
        <v>208</v>
      </c>
      <c r="J1151" s="128">
        <v>8534</v>
      </c>
      <c r="K1151" s="14" t="s">
        <v>15186</v>
      </c>
    </row>
    <row r="1152" spans="1:11" x14ac:dyDescent="0.25">
      <c r="A1152" s="14" t="s">
        <v>15190</v>
      </c>
      <c r="B1152" s="8" t="s">
        <v>15191</v>
      </c>
      <c r="C1152" s="7" t="s">
        <v>2501</v>
      </c>
      <c r="D1152" s="9" t="s">
        <v>14296</v>
      </c>
      <c r="E1152" s="7">
        <v>0</v>
      </c>
      <c r="F1152" s="14" t="s">
        <v>15192</v>
      </c>
      <c r="G1152" s="7" t="s">
        <v>15191</v>
      </c>
      <c r="H1152" s="7" t="s">
        <v>3729</v>
      </c>
      <c r="I1152" s="8" t="s">
        <v>208</v>
      </c>
      <c r="J1152" s="128">
        <v>8535</v>
      </c>
      <c r="K1152" s="14" t="s">
        <v>15190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15178</v>
      </c>
      <c r="J1153" s="128">
        <v>8521</v>
      </c>
      <c r="K1153" s="14" t="s">
        <v>3779</v>
      </c>
    </row>
    <row r="1154" spans="1:11" x14ac:dyDescent="0.25">
      <c r="A1154" s="14" t="s">
        <v>15193</v>
      </c>
      <c r="B1154" s="8" t="s">
        <v>15194</v>
      </c>
      <c r="C1154" s="7" t="s">
        <v>2501</v>
      </c>
      <c r="D1154" s="9" t="s">
        <v>15195</v>
      </c>
      <c r="E1154" s="7">
        <v>605</v>
      </c>
      <c r="F1154" s="14" t="s">
        <v>15196</v>
      </c>
      <c r="G1154" s="7" t="s">
        <v>15197</v>
      </c>
      <c r="H1154" s="7" t="s">
        <v>3729</v>
      </c>
      <c r="I1154" s="8" t="s">
        <v>1994</v>
      </c>
      <c r="J1154" s="128">
        <v>8368</v>
      </c>
      <c r="K1154" s="14" t="s">
        <v>15193</v>
      </c>
    </row>
    <row r="1155" spans="1:11" x14ac:dyDescent="0.25">
      <c r="A1155" s="14" t="s">
        <v>15198</v>
      </c>
      <c r="B1155" s="8" t="s">
        <v>15199</v>
      </c>
      <c r="C1155" s="7" t="s">
        <v>2501</v>
      </c>
      <c r="D1155" s="9" t="s">
        <v>15200</v>
      </c>
      <c r="E1155" s="7">
        <v>764</v>
      </c>
      <c r="F1155" s="14" t="s">
        <v>15201</v>
      </c>
      <c r="G1155" s="7" t="s">
        <v>15199</v>
      </c>
      <c r="H1155" s="7" t="s">
        <v>3729</v>
      </c>
      <c r="I1155" s="8" t="s">
        <v>14372</v>
      </c>
      <c r="J1155" s="128">
        <v>8505</v>
      </c>
      <c r="K1155" s="14" t="s">
        <v>15198</v>
      </c>
    </row>
    <row r="1156" spans="1:11" x14ac:dyDescent="0.25">
      <c r="A1156" s="14" t="s">
        <v>15202</v>
      </c>
      <c r="B1156" s="8" t="s">
        <v>15203</v>
      </c>
      <c r="C1156" s="7" t="s">
        <v>2501</v>
      </c>
      <c r="D1156" s="9" t="s">
        <v>14155</v>
      </c>
      <c r="E1156" s="7">
        <v>134</v>
      </c>
      <c r="F1156" s="14" t="s">
        <v>15204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15202</v>
      </c>
    </row>
    <row r="1157" spans="1:11" x14ac:dyDescent="0.25">
      <c r="A1157" s="14" t="s">
        <v>15205</v>
      </c>
      <c r="B1157" s="8" t="s">
        <v>15206</v>
      </c>
      <c r="C1157" s="7" t="s">
        <v>2501</v>
      </c>
      <c r="D1157" s="9" t="s">
        <v>14289</v>
      </c>
      <c r="E1157" s="7">
        <v>830</v>
      </c>
      <c r="F1157" s="14" t="s">
        <v>15207</v>
      </c>
      <c r="G1157" s="7" t="s">
        <v>3728</v>
      </c>
      <c r="H1157" s="7" t="s">
        <v>3729</v>
      </c>
      <c r="I1157" s="8" t="s">
        <v>15164</v>
      </c>
      <c r="J1157" s="128">
        <v>8400</v>
      </c>
      <c r="K1157" s="14" t="s">
        <v>15205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14590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15208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15209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15210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14985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15211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15212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15213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15214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15215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15212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15209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15216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14696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15212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15217</v>
      </c>
      <c r="B1177" s="8" t="s">
        <v>1491</v>
      </c>
      <c r="C1177" s="7" t="s">
        <v>2501</v>
      </c>
      <c r="D1177" s="9" t="s">
        <v>15218</v>
      </c>
      <c r="E1177" s="7">
        <v>100</v>
      </c>
      <c r="F1177" s="14" t="s">
        <v>15219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15217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15220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15221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15222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15223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15212</v>
      </c>
      <c r="J1182" s="128">
        <v>4530</v>
      </c>
      <c r="K1182" s="14" t="s">
        <v>1906</v>
      </c>
    </row>
    <row r="1183" spans="1:11" x14ac:dyDescent="0.25">
      <c r="A1183" s="14" t="s">
        <v>15224</v>
      </c>
      <c r="B1183" s="8" t="s">
        <v>15225</v>
      </c>
      <c r="C1183" s="7" t="s">
        <v>2501</v>
      </c>
      <c r="D1183" s="9" t="s">
        <v>15226</v>
      </c>
      <c r="E1183" s="7">
        <v>150</v>
      </c>
      <c r="F1183" s="14" t="s">
        <v>15227</v>
      </c>
      <c r="G1183" s="7" t="s">
        <v>15225</v>
      </c>
      <c r="H1183" s="7" t="s">
        <v>2497</v>
      </c>
      <c r="I1183" s="8" t="s">
        <v>15228</v>
      </c>
      <c r="J1183" s="128">
        <v>4419</v>
      </c>
      <c r="K1183" s="14" t="s">
        <v>15224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15229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15230</v>
      </c>
      <c r="B1186" s="8" t="s">
        <v>15231</v>
      </c>
      <c r="C1186" s="7" t="s">
        <v>2501</v>
      </c>
      <c r="D1186" s="9" t="s">
        <v>14228</v>
      </c>
      <c r="E1186" s="7">
        <v>0</v>
      </c>
      <c r="F1186" s="14" t="s">
        <v>15232</v>
      </c>
      <c r="G1186" s="7" t="s">
        <v>15231</v>
      </c>
      <c r="H1186" s="7" t="s">
        <v>2497</v>
      </c>
      <c r="I1186" s="8" t="s">
        <v>15231</v>
      </c>
      <c r="J1186" s="128">
        <v>4633</v>
      </c>
      <c r="K1186" s="14" t="s">
        <v>15230</v>
      </c>
    </row>
    <row r="1187" spans="1:11" x14ac:dyDescent="0.25">
      <c r="A1187" s="14" t="s">
        <v>15233</v>
      </c>
      <c r="B1187" s="8" t="s">
        <v>15234</v>
      </c>
      <c r="C1187" s="7" t="s">
        <v>2501</v>
      </c>
      <c r="D1187" s="9" t="s">
        <v>14722</v>
      </c>
      <c r="E1187" s="7">
        <v>0</v>
      </c>
      <c r="F1187" s="14" t="s">
        <v>15235</v>
      </c>
      <c r="G1187" s="7" t="s">
        <v>15234</v>
      </c>
      <c r="H1187" s="7" t="s">
        <v>2497</v>
      </c>
      <c r="I1187" s="8" t="s">
        <v>14590</v>
      </c>
      <c r="J1187" s="128">
        <v>4535</v>
      </c>
      <c r="K1187" s="14" t="s">
        <v>15233</v>
      </c>
    </row>
    <row r="1188" spans="1:11" x14ac:dyDescent="0.25">
      <c r="A1188" s="14" t="s">
        <v>15236</v>
      </c>
      <c r="B1188" s="8" t="s">
        <v>15237</v>
      </c>
      <c r="C1188" s="7" t="s">
        <v>2501</v>
      </c>
      <c r="D1188" s="9" t="s">
        <v>15033</v>
      </c>
      <c r="E1188" s="7">
        <v>0</v>
      </c>
      <c r="F1188" s="14" t="s">
        <v>15238</v>
      </c>
      <c r="G1188" s="7" t="s">
        <v>15237</v>
      </c>
      <c r="H1188" s="7" t="s">
        <v>2497</v>
      </c>
      <c r="I1188" s="8" t="s">
        <v>1898</v>
      </c>
      <c r="J1188" s="128">
        <v>4409</v>
      </c>
      <c r="K1188" s="14" t="s">
        <v>15236</v>
      </c>
    </row>
    <row r="1189" spans="1:11" x14ac:dyDescent="0.25">
      <c r="A1189" s="14" t="s">
        <v>1916</v>
      </c>
      <c r="B1189" s="8" t="s">
        <v>15239</v>
      </c>
      <c r="C1189" s="7" t="s">
        <v>2501</v>
      </c>
      <c r="D1189" s="9" t="s">
        <v>14954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14590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15240</v>
      </c>
      <c r="B1192" s="8" t="s">
        <v>15241</v>
      </c>
      <c r="C1192" s="7" t="s">
        <v>2501</v>
      </c>
      <c r="D1192" s="9" t="s">
        <v>15242</v>
      </c>
      <c r="E1192" s="7">
        <v>0</v>
      </c>
      <c r="F1192" s="14" t="s">
        <v>15243</v>
      </c>
      <c r="G1192" s="7" t="s">
        <v>15244</v>
      </c>
      <c r="H1192" s="7" t="s">
        <v>2497</v>
      </c>
      <c r="I1192" s="8" t="s">
        <v>1491</v>
      </c>
      <c r="J1192" s="128">
        <v>4561</v>
      </c>
      <c r="K1192" s="14" t="s">
        <v>15240</v>
      </c>
    </row>
    <row r="1193" spans="1:11" x14ac:dyDescent="0.25">
      <c r="A1193" s="14" t="s">
        <v>1925</v>
      </c>
      <c r="B1193" s="8" t="s">
        <v>15245</v>
      </c>
      <c r="C1193" s="7" t="s">
        <v>2501</v>
      </c>
      <c r="D1193" s="9" t="s">
        <v>14539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14590</v>
      </c>
      <c r="J1193" s="128">
        <v>4406</v>
      </c>
      <c r="K1193" s="14" t="s">
        <v>1925</v>
      </c>
    </row>
    <row r="1194" spans="1:11" x14ac:dyDescent="0.25">
      <c r="A1194" s="14" t="s">
        <v>15246</v>
      </c>
      <c r="B1194" s="8" t="s">
        <v>15247</v>
      </c>
      <c r="C1194" s="7" t="s">
        <v>2501</v>
      </c>
      <c r="D1194" s="9" t="s">
        <v>15248</v>
      </c>
      <c r="E1194" s="7">
        <v>0</v>
      </c>
      <c r="F1194" s="14" t="s">
        <v>15249</v>
      </c>
      <c r="G1194" s="7" t="s">
        <v>2497</v>
      </c>
      <c r="H1194" s="7" t="s">
        <v>2497</v>
      </c>
      <c r="I1194" s="8" t="s">
        <v>14590</v>
      </c>
      <c r="J1194" s="128">
        <v>4408</v>
      </c>
      <c r="K1194" s="14" t="s">
        <v>15246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15209</v>
      </c>
      <c r="J1195" s="128">
        <v>4450</v>
      </c>
      <c r="K1195" s="14" t="s">
        <v>1927</v>
      </c>
    </row>
    <row r="1196" spans="1:11" x14ac:dyDescent="0.25">
      <c r="A1196" s="14" t="s">
        <v>15250</v>
      </c>
      <c r="B1196" s="8" t="s">
        <v>15251</v>
      </c>
      <c r="C1196" s="7" t="s">
        <v>2501</v>
      </c>
      <c r="D1196" s="9" t="s">
        <v>15252</v>
      </c>
      <c r="E1196" s="7">
        <v>0</v>
      </c>
      <c r="F1196" s="14" t="s">
        <v>15253</v>
      </c>
      <c r="G1196" s="7" t="s">
        <v>2497</v>
      </c>
      <c r="H1196" s="7" t="s">
        <v>2497</v>
      </c>
      <c r="I1196" s="8" t="s">
        <v>14590</v>
      </c>
      <c r="J1196" s="128">
        <v>4406</v>
      </c>
      <c r="K1196" s="14" t="s">
        <v>15250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15254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14590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15255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15256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15257</v>
      </c>
      <c r="B1201" s="8" t="s">
        <v>15258</v>
      </c>
      <c r="C1201" s="7" t="s">
        <v>2501</v>
      </c>
      <c r="D1201" s="9" t="s">
        <v>14627</v>
      </c>
      <c r="E1201" s="7">
        <v>10</v>
      </c>
      <c r="F1201" s="14" t="s">
        <v>15259</v>
      </c>
      <c r="G1201" s="7" t="s">
        <v>15258</v>
      </c>
      <c r="H1201" s="7" t="s">
        <v>3126</v>
      </c>
      <c r="I1201" s="8" t="s">
        <v>15260</v>
      </c>
      <c r="J1201" s="128">
        <v>5467</v>
      </c>
      <c r="K1201" s="14" t="s">
        <v>15257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14811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15261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15262</v>
      </c>
      <c r="B1207" s="8" t="s">
        <v>15260</v>
      </c>
      <c r="C1207" s="7" t="s">
        <v>2501</v>
      </c>
      <c r="D1207" s="9" t="s">
        <v>15263</v>
      </c>
      <c r="E1207" s="7">
        <v>10</v>
      </c>
      <c r="F1207" s="14" t="s">
        <v>15264</v>
      </c>
      <c r="G1207" s="7" t="s">
        <v>15260</v>
      </c>
      <c r="H1207" s="7" t="s">
        <v>3126</v>
      </c>
      <c r="I1207" s="8" t="s">
        <v>15260</v>
      </c>
      <c r="J1207" s="128">
        <v>5684</v>
      </c>
      <c r="K1207" s="14" t="s">
        <v>15262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15265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15260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15256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15266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15260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15267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15268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15261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15269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15270</v>
      </c>
      <c r="B1220" s="8" t="s">
        <v>1757</v>
      </c>
      <c r="C1220" s="7" t="s">
        <v>2501</v>
      </c>
      <c r="D1220" s="9" t="s">
        <v>15271</v>
      </c>
      <c r="E1220" s="7">
        <v>0</v>
      </c>
      <c r="F1220" s="14" t="s">
        <v>15272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15270</v>
      </c>
    </row>
    <row r="1221" spans="1:11" x14ac:dyDescent="0.25">
      <c r="A1221" s="14" t="s">
        <v>15273</v>
      </c>
      <c r="B1221" s="8" t="s">
        <v>15274</v>
      </c>
      <c r="C1221" s="7" t="s">
        <v>2501</v>
      </c>
      <c r="D1221" s="9" t="s">
        <v>15275</v>
      </c>
      <c r="E1221" s="7">
        <v>0</v>
      </c>
      <c r="F1221" s="14" t="s">
        <v>15276</v>
      </c>
      <c r="G1221" s="7" t="s">
        <v>15274</v>
      </c>
      <c r="H1221" s="7" t="s">
        <v>3126</v>
      </c>
      <c r="I1221" s="8" t="s">
        <v>3121</v>
      </c>
      <c r="J1221" s="128">
        <v>5681</v>
      </c>
      <c r="K1221" s="14" t="s">
        <v>15273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15277</v>
      </c>
      <c r="G1222" s="7" t="s">
        <v>882</v>
      </c>
      <c r="H1222" s="7" t="s">
        <v>882</v>
      </c>
      <c r="I1222" s="8" t="s">
        <v>15278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15279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15278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15280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14719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15280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15281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14719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15282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15281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15283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15281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15284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15280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15269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14719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15285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15280</v>
      </c>
      <c r="J1241" s="128">
        <v>6219</v>
      </c>
      <c r="K1241" s="14" t="s">
        <v>3341</v>
      </c>
    </row>
    <row r="1242" spans="1:11" x14ac:dyDescent="0.25">
      <c r="A1242" s="14" t="s">
        <v>15286</v>
      </c>
      <c r="B1242" s="8" t="s">
        <v>15287</v>
      </c>
      <c r="C1242" s="7" t="s">
        <v>2501</v>
      </c>
      <c r="D1242" s="9" t="s">
        <v>15288</v>
      </c>
      <c r="E1242" s="7">
        <v>0</v>
      </c>
      <c r="F1242" s="14" t="s">
        <v>15289</v>
      </c>
      <c r="G1242" s="7" t="s">
        <v>15287</v>
      </c>
      <c r="H1242" s="7" t="s">
        <v>882</v>
      </c>
      <c r="I1242" s="8" t="s">
        <v>15281</v>
      </c>
      <c r="J1242" s="128">
        <v>5733</v>
      </c>
      <c r="K1242" s="14" t="s">
        <v>15286</v>
      </c>
    </row>
    <row r="1243" spans="1:11" x14ac:dyDescent="0.25">
      <c r="A1243" s="14" t="s">
        <v>15290</v>
      </c>
      <c r="B1243" s="8" t="s">
        <v>15291</v>
      </c>
      <c r="C1243" s="7" t="s">
        <v>2501</v>
      </c>
      <c r="D1243" s="9">
        <v>0</v>
      </c>
      <c r="E1243" s="7">
        <v>0</v>
      </c>
      <c r="F1243" s="14" t="s">
        <v>15292</v>
      </c>
      <c r="G1243" s="7" t="s">
        <v>15293</v>
      </c>
      <c r="H1243" s="7" t="s">
        <v>882</v>
      </c>
      <c r="I1243" s="8" t="s">
        <v>15278</v>
      </c>
      <c r="J1243" s="128">
        <v>5721</v>
      </c>
      <c r="K1243" s="14" t="s">
        <v>15290</v>
      </c>
    </row>
    <row r="1244" spans="1:11" x14ac:dyDescent="0.25">
      <c r="A1244" s="14" t="s">
        <v>15294</v>
      </c>
      <c r="B1244" s="8" t="s">
        <v>15295</v>
      </c>
      <c r="C1244" s="7" t="s">
        <v>2501</v>
      </c>
      <c r="D1244" s="9">
        <v>0</v>
      </c>
      <c r="E1244" s="7">
        <v>0</v>
      </c>
      <c r="F1244" s="14" t="s">
        <v>15296</v>
      </c>
      <c r="G1244" s="7" t="s">
        <v>15295</v>
      </c>
      <c r="H1244" s="7" t="s">
        <v>882</v>
      </c>
      <c r="I1244" s="8" t="s">
        <v>15278</v>
      </c>
      <c r="J1244" s="128">
        <v>5871</v>
      </c>
      <c r="K1244" s="14" t="s">
        <v>15294</v>
      </c>
    </row>
    <row r="1245" spans="1:11" x14ac:dyDescent="0.25">
      <c r="A1245" s="14" t="s">
        <v>15297</v>
      </c>
      <c r="B1245" s="8" t="s">
        <v>15298</v>
      </c>
      <c r="C1245" s="7" t="s">
        <v>2501</v>
      </c>
      <c r="D1245" s="9">
        <v>0</v>
      </c>
      <c r="E1245" s="7">
        <v>0</v>
      </c>
      <c r="F1245" s="14" t="s">
        <v>15299</v>
      </c>
      <c r="G1245" s="7" t="s">
        <v>15298</v>
      </c>
      <c r="H1245" s="7" t="s">
        <v>882</v>
      </c>
      <c r="I1245" s="8" t="s">
        <v>3749</v>
      </c>
      <c r="J1245" s="128">
        <v>5771</v>
      </c>
      <c r="K1245" s="14" t="s">
        <v>15297</v>
      </c>
    </row>
    <row r="1246" spans="1:11" x14ac:dyDescent="0.25">
      <c r="A1246" s="14" t="s">
        <v>15300</v>
      </c>
      <c r="B1246" s="8" t="s">
        <v>15301</v>
      </c>
      <c r="C1246" s="7" t="s">
        <v>2501</v>
      </c>
      <c r="D1246" s="9" t="s">
        <v>14356</v>
      </c>
      <c r="E1246" s="7">
        <v>0</v>
      </c>
      <c r="F1246" s="14" t="s">
        <v>15302</v>
      </c>
      <c r="G1246" s="7" t="s">
        <v>15303</v>
      </c>
      <c r="H1246" s="7" t="s">
        <v>882</v>
      </c>
      <c r="I1246" s="8" t="s">
        <v>3138</v>
      </c>
      <c r="J1246" s="128">
        <v>5722</v>
      </c>
      <c r="K1246" s="14" t="s">
        <v>15300</v>
      </c>
    </row>
    <row r="1247" spans="1:11" x14ac:dyDescent="0.25">
      <c r="A1247" s="14" t="s">
        <v>15304</v>
      </c>
      <c r="B1247" s="8" t="s">
        <v>15305</v>
      </c>
      <c r="C1247" s="7" t="s">
        <v>2501</v>
      </c>
      <c r="D1247" s="9" t="s">
        <v>1580</v>
      </c>
      <c r="E1247" s="7">
        <v>945</v>
      </c>
      <c r="F1247" s="14" t="s">
        <v>15306</v>
      </c>
      <c r="G1247" s="7" t="s">
        <v>882</v>
      </c>
      <c r="H1247" s="7" t="s">
        <v>882</v>
      </c>
      <c r="I1247" s="8" t="s">
        <v>15278</v>
      </c>
      <c r="J1247" s="128">
        <v>5700</v>
      </c>
      <c r="K1247" s="14" t="s">
        <v>15304</v>
      </c>
    </row>
    <row r="1248" spans="1:11" x14ac:dyDescent="0.25">
      <c r="A1248" s="14" t="s">
        <v>15307</v>
      </c>
      <c r="B1248" s="8" t="s">
        <v>15308</v>
      </c>
      <c r="C1248" s="7" t="s">
        <v>2501</v>
      </c>
      <c r="D1248" s="9" t="s">
        <v>14243</v>
      </c>
      <c r="E1248" s="7">
        <v>0</v>
      </c>
      <c r="F1248" s="14" t="s">
        <v>15309</v>
      </c>
      <c r="G1248" s="7" t="s">
        <v>15310</v>
      </c>
      <c r="H1248" s="7" t="s">
        <v>882</v>
      </c>
      <c r="I1248" s="8" t="s">
        <v>15278</v>
      </c>
      <c r="J1248" s="128">
        <v>5710</v>
      </c>
      <c r="K1248" s="14" t="s">
        <v>15307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15311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15312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15313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15312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15314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15315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15316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15317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15318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15319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15319</v>
      </c>
      <c r="H1255" s="7" t="s">
        <v>1297</v>
      </c>
      <c r="I1255" s="8" t="s">
        <v>15320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15316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15320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15314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15321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15312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15312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15312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15320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15322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15323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15324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15323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15320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15320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15325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15314</v>
      </c>
      <c r="J1267" s="128">
        <v>9301</v>
      </c>
      <c r="K1267" s="14" t="s">
        <v>3619</v>
      </c>
    </row>
    <row r="1268" spans="1:11" x14ac:dyDescent="0.25">
      <c r="A1268" s="14" t="s">
        <v>15326</v>
      </c>
      <c r="B1268" s="8" t="s">
        <v>15327</v>
      </c>
      <c r="C1268" s="7" t="s">
        <v>2501</v>
      </c>
      <c r="D1268" s="9" t="s">
        <v>15328</v>
      </c>
      <c r="E1268" s="7">
        <v>0</v>
      </c>
      <c r="F1268" s="14" t="s">
        <v>15329</v>
      </c>
      <c r="G1268" s="7" t="s">
        <v>15330</v>
      </c>
      <c r="H1268" s="7" t="s">
        <v>1297</v>
      </c>
      <c r="I1268" s="8" t="s">
        <v>15317</v>
      </c>
      <c r="J1268" s="128">
        <v>9315</v>
      </c>
      <c r="K1268" s="14" t="s">
        <v>15326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15331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15331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15332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15331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15331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14796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15331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15331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15331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15333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15331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15334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15331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15335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15336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15337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15338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15336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15339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15340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15338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15338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15338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15341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15342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14855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15336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15341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15338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15343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15343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15344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15338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15345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15345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15346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15347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15345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15339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15345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15348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15336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15338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15338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15349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15342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15336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15345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15338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15331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15350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15339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15336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14954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15331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15338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15351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15338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15352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15339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15336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14940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15338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15331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15345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14963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15345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15336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15353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15331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15336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15339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15354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15345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15221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15345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15341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15345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14719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15345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14538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15355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15331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15356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15357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14640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15336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15358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15345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15336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15341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15342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15331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15345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15359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15019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15336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15360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15338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15338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15336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15336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15339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15361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15339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15339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15362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15336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15331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14855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15363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15363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15364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15365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15366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15367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15368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15369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15370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15363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15371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15372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15373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15362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15374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15375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15375</v>
      </c>
      <c r="H1403" s="7" t="s">
        <v>1929</v>
      </c>
      <c r="I1403" s="8" t="s">
        <v>15376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15377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15377</v>
      </c>
      <c r="H1404" s="7" t="s">
        <v>1929</v>
      </c>
      <c r="I1404" s="8" t="s">
        <v>15372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15372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15378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15379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15379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15372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15372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15335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15380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15380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15372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15376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15381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15372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15372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15372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15372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15382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15372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15383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15384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15385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15372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15372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15372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15372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15344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15376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15386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15335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15100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15387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15372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15376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15372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14958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15388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15372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15389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15335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15372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15372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15376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15372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15376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15372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15390</v>
      </c>
      <c r="C1466" s="7" t="s">
        <v>2501</v>
      </c>
      <c r="D1466" s="9" t="s">
        <v>15391</v>
      </c>
      <c r="E1466" s="7">
        <v>446</v>
      </c>
      <c r="F1466" s="14" t="s">
        <v>2699</v>
      </c>
      <c r="G1466" s="7" t="s">
        <v>15390</v>
      </c>
      <c r="H1466" s="7" t="s">
        <v>1929</v>
      </c>
      <c r="I1466" s="8" t="s">
        <v>15372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14854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15376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15392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15372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15393</v>
      </c>
      <c r="B1473" s="8" t="s">
        <v>15394</v>
      </c>
      <c r="C1473" s="7" t="s">
        <v>2501</v>
      </c>
      <c r="D1473" s="9" t="s">
        <v>15395</v>
      </c>
      <c r="E1473" s="7">
        <v>0</v>
      </c>
      <c r="F1473" s="14" t="s">
        <v>15396</v>
      </c>
      <c r="G1473" s="7" t="s">
        <v>15394</v>
      </c>
      <c r="H1473" s="7" t="s">
        <v>1929</v>
      </c>
      <c r="I1473" s="8" t="s">
        <v>2031</v>
      </c>
      <c r="J1473" s="128">
        <v>3045</v>
      </c>
      <c r="K1473" s="14" t="s">
        <v>15393</v>
      </c>
    </row>
    <row r="1474" spans="1:11" s="10" customFormat="1" x14ac:dyDescent="0.25">
      <c r="A1474" s="14" t="s">
        <v>15397</v>
      </c>
      <c r="B1474" s="8" t="s">
        <v>15398</v>
      </c>
      <c r="C1474" s="7" t="s">
        <v>2501</v>
      </c>
      <c r="D1474" s="9" t="s">
        <v>15395</v>
      </c>
      <c r="E1474" s="7">
        <v>0</v>
      </c>
      <c r="F1474" s="14" t="s">
        <v>15399</v>
      </c>
      <c r="G1474" s="7" t="s">
        <v>15398</v>
      </c>
      <c r="H1474" s="7" t="s">
        <v>1929</v>
      </c>
      <c r="I1474" s="8" t="s">
        <v>2031</v>
      </c>
      <c r="J1474" s="128">
        <v>3045</v>
      </c>
      <c r="K1474" s="14" t="s">
        <v>15397</v>
      </c>
    </row>
    <row r="1475" spans="1:11" s="10" customFormat="1" x14ac:dyDescent="0.25">
      <c r="A1475" s="14" t="s">
        <v>15400</v>
      </c>
      <c r="B1475" s="8" t="s">
        <v>15401</v>
      </c>
      <c r="C1475" s="7" t="s">
        <v>2501</v>
      </c>
      <c r="D1475" s="9" t="s">
        <v>15395</v>
      </c>
      <c r="E1475" s="7">
        <v>0</v>
      </c>
      <c r="F1475" s="14" t="s">
        <v>15402</v>
      </c>
      <c r="G1475" s="7" t="s">
        <v>15401</v>
      </c>
      <c r="H1475" s="7" t="s">
        <v>1929</v>
      </c>
      <c r="I1475" s="8" t="s">
        <v>15345</v>
      </c>
      <c r="J1475" s="128">
        <v>3007</v>
      </c>
      <c r="K1475" s="14" t="s">
        <v>15400</v>
      </c>
    </row>
    <row r="1476" spans="1:11" s="10" customFormat="1" x14ac:dyDescent="0.25">
      <c r="A1476" s="14" t="s">
        <v>15403</v>
      </c>
      <c r="B1476" s="8" t="s">
        <v>15404</v>
      </c>
      <c r="C1476" s="7" t="s">
        <v>2501</v>
      </c>
      <c r="D1476" s="9" t="s">
        <v>15405</v>
      </c>
      <c r="E1476" s="7">
        <v>0</v>
      </c>
      <c r="F1476" s="14" t="s">
        <v>15406</v>
      </c>
      <c r="G1476" s="7" t="s">
        <v>15404</v>
      </c>
      <c r="H1476" s="7" t="s">
        <v>1929</v>
      </c>
      <c r="I1476" s="8" t="s">
        <v>15339</v>
      </c>
      <c r="J1476" s="128">
        <v>3576</v>
      </c>
      <c r="K1476" s="14" t="s">
        <v>15403</v>
      </c>
    </row>
    <row r="1477" spans="1:11" s="10" customFormat="1" x14ac:dyDescent="0.25">
      <c r="A1477" s="14" t="s">
        <v>15407</v>
      </c>
      <c r="B1477" s="8" t="s">
        <v>15408</v>
      </c>
      <c r="C1477" s="7" t="s">
        <v>2501</v>
      </c>
      <c r="D1477" s="9" t="s">
        <v>208</v>
      </c>
      <c r="E1477" s="7">
        <v>0</v>
      </c>
      <c r="F1477" s="14" t="s">
        <v>15409</v>
      </c>
      <c r="G1477" s="7" t="s">
        <v>15408</v>
      </c>
      <c r="H1477" s="7" t="s">
        <v>1929</v>
      </c>
      <c r="I1477" s="8" t="s">
        <v>15336</v>
      </c>
      <c r="J1477" s="128">
        <v>2321</v>
      </c>
      <c r="K1477" s="14" t="s">
        <v>15407</v>
      </c>
    </row>
    <row r="1478" spans="1:11" s="10" customFormat="1" x14ac:dyDescent="0.25">
      <c r="A1478" s="14" t="s">
        <v>15410</v>
      </c>
      <c r="B1478" s="8" t="s">
        <v>15411</v>
      </c>
      <c r="C1478" s="7" t="s">
        <v>2501</v>
      </c>
      <c r="D1478" s="9" t="s">
        <v>1491</v>
      </c>
      <c r="E1478" s="7">
        <v>1158</v>
      </c>
      <c r="F1478" s="14" t="s">
        <v>15412</v>
      </c>
      <c r="G1478" s="7" t="s">
        <v>15411</v>
      </c>
      <c r="H1478" s="7" t="s">
        <v>1929</v>
      </c>
      <c r="I1478" s="8" t="s">
        <v>15331</v>
      </c>
      <c r="J1478" s="128">
        <v>3034</v>
      </c>
      <c r="K1478" s="14" t="s">
        <v>15410</v>
      </c>
    </row>
    <row r="1479" spans="1:11" s="10" customFormat="1" x14ac:dyDescent="0.25">
      <c r="A1479" s="14" t="s">
        <v>15413</v>
      </c>
      <c r="B1479" s="8" t="s">
        <v>15414</v>
      </c>
      <c r="C1479" s="7" t="s">
        <v>2501</v>
      </c>
      <c r="D1479" s="9" t="s">
        <v>14855</v>
      </c>
      <c r="E1479" s="7">
        <v>829</v>
      </c>
      <c r="F1479" s="14" t="s">
        <v>15415</v>
      </c>
      <c r="G1479" s="7" t="s">
        <v>15414</v>
      </c>
      <c r="H1479" s="7" t="s">
        <v>1929</v>
      </c>
      <c r="I1479" s="8" t="s">
        <v>15376</v>
      </c>
      <c r="J1479" s="128">
        <v>2215</v>
      </c>
      <c r="K1479" s="14" t="s">
        <v>15413</v>
      </c>
    </row>
    <row r="1480" spans="1:11" s="10" customFormat="1" x14ac:dyDescent="0.25">
      <c r="A1480" s="14" t="s">
        <v>15416</v>
      </c>
      <c r="B1480" s="8" t="s">
        <v>14977</v>
      </c>
      <c r="C1480" s="7" t="s">
        <v>2501</v>
      </c>
      <c r="D1480" s="9" t="s">
        <v>14796</v>
      </c>
      <c r="E1480" s="7">
        <v>2622</v>
      </c>
      <c r="F1480" s="14" t="s">
        <v>15417</v>
      </c>
      <c r="G1480" s="7" t="s">
        <v>1929</v>
      </c>
      <c r="H1480" s="7" t="s">
        <v>1929</v>
      </c>
      <c r="I1480" s="8" t="s">
        <v>15331</v>
      </c>
      <c r="J1480" s="128">
        <v>3000</v>
      </c>
      <c r="K1480" s="14" t="s">
        <v>15416</v>
      </c>
    </row>
    <row r="1481" spans="1:11" s="10" customFormat="1" x14ac:dyDescent="0.25">
      <c r="A1481" s="14" t="s">
        <v>2719</v>
      </c>
      <c r="B1481" s="8" t="s">
        <v>15056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15331</v>
      </c>
      <c r="J1481" s="128">
        <v>3000</v>
      </c>
      <c r="K1481" s="14" t="s">
        <v>2719</v>
      </c>
    </row>
    <row r="1482" spans="1:11" s="10" customFormat="1" x14ac:dyDescent="0.25">
      <c r="A1482" s="14" t="s">
        <v>15418</v>
      </c>
      <c r="B1482" s="8" t="s">
        <v>14491</v>
      </c>
      <c r="C1482" s="7" t="s">
        <v>2501</v>
      </c>
      <c r="D1482" s="9" t="s">
        <v>15419</v>
      </c>
      <c r="E1482" s="7">
        <v>2761</v>
      </c>
      <c r="F1482" s="14" t="s">
        <v>15420</v>
      </c>
      <c r="G1482" s="7" t="s">
        <v>1929</v>
      </c>
      <c r="H1482" s="7" t="s">
        <v>1929</v>
      </c>
      <c r="I1482" s="8" t="s">
        <v>15331</v>
      </c>
      <c r="J1482" s="128">
        <v>3000</v>
      </c>
      <c r="K1482" s="14" t="s">
        <v>15418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14590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15421</v>
      </c>
      <c r="C1484" s="7" t="s">
        <v>2501</v>
      </c>
      <c r="D1484" s="9" t="s">
        <v>15221</v>
      </c>
      <c r="E1484" s="7">
        <v>19</v>
      </c>
      <c r="F1484" s="14" t="s">
        <v>3466</v>
      </c>
      <c r="G1484" s="7" t="s">
        <v>15421</v>
      </c>
      <c r="H1484" s="7" t="s">
        <v>3464</v>
      </c>
      <c r="I1484" s="8" t="s">
        <v>15422</v>
      </c>
      <c r="J1484" s="128">
        <v>3760</v>
      </c>
      <c r="K1484" s="14" t="s">
        <v>3465</v>
      </c>
    </row>
    <row r="1485" spans="1:11" s="10" customFormat="1" x14ac:dyDescent="0.25">
      <c r="A1485" s="14" t="s">
        <v>15423</v>
      </c>
      <c r="B1485" s="8" t="s">
        <v>15424</v>
      </c>
      <c r="C1485" s="7" t="s">
        <v>2501</v>
      </c>
      <c r="D1485" s="9" t="s">
        <v>15425</v>
      </c>
      <c r="E1485" s="7">
        <v>486</v>
      </c>
      <c r="F1485" s="14" t="s">
        <v>15426</v>
      </c>
      <c r="G1485" s="7" t="s">
        <v>3464</v>
      </c>
      <c r="H1485" s="7" t="s">
        <v>3464</v>
      </c>
      <c r="I1485" s="8" t="s">
        <v>14590</v>
      </c>
      <c r="J1485" s="128">
        <v>4204</v>
      </c>
      <c r="K1485" s="14" t="s">
        <v>15423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15427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15428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15429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15430</v>
      </c>
      <c r="B1493" s="8" t="s">
        <v>15431</v>
      </c>
      <c r="C1493" s="7" t="s">
        <v>2501</v>
      </c>
      <c r="D1493" s="9" t="s">
        <v>14952</v>
      </c>
      <c r="E1493" s="7">
        <v>1</v>
      </c>
      <c r="F1493" s="14" t="s">
        <v>15432</v>
      </c>
      <c r="G1493" s="7" t="s">
        <v>15431</v>
      </c>
      <c r="H1493" s="7" t="s">
        <v>3464</v>
      </c>
      <c r="I1493" s="8" t="s">
        <v>15433</v>
      </c>
      <c r="J1493" s="128">
        <v>4306</v>
      </c>
      <c r="K1493" s="14" t="s">
        <v>15430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15427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15434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15019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15427</v>
      </c>
      <c r="J1496" s="128">
        <v>4312</v>
      </c>
      <c r="K1496" s="14" t="s">
        <v>2837</v>
      </c>
    </row>
    <row r="1497" spans="1:11" s="10" customFormat="1" x14ac:dyDescent="0.25">
      <c r="A1497" s="14" t="s">
        <v>15435</v>
      </c>
      <c r="B1497" s="8" t="s">
        <v>15436</v>
      </c>
      <c r="C1497" s="7" t="s">
        <v>2501</v>
      </c>
      <c r="D1497" s="9" t="s">
        <v>15221</v>
      </c>
      <c r="E1497" s="7">
        <v>4</v>
      </c>
      <c r="F1497" s="14" t="s">
        <v>15437</v>
      </c>
      <c r="G1497" s="7" t="s">
        <v>15436</v>
      </c>
      <c r="H1497" s="7" t="s">
        <v>3464</v>
      </c>
      <c r="I1497" s="8" t="s">
        <v>4164</v>
      </c>
      <c r="J1497" s="128">
        <v>4324</v>
      </c>
      <c r="K1497" s="14" t="s">
        <v>15435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15438</v>
      </c>
      <c r="B1499" s="8" t="s">
        <v>15439</v>
      </c>
      <c r="C1499" s="7" t="s">
        <v>2501</v>
      </c>
      <c r="D1499" s="9" t="s">
        <v>14296</v>
      </c>
      <c r="E1499" s="7">
        <v>224</v>
      </c>
      <c r="F1499" s="14" t="s">
        <v>15440</v>
      </c>
      <c r="G1499" s="7" t="s">
        <v>15439</v>
      </c>
      <c r="H1499" s="7" t="s">
        <v>3464</v>
      </c>
      <c r="I1499" s="8" t="s">
        <v>1994</v>
      </c>
      <c r="J1499" s="128">
        <v>4328</v>
      </c>
      <c r="K1499" s="14" t="s">
        <v>15438</v>
      </c>
    </row>
    <row r="1500" spans="1:11" s="10" customFormat="1" x14ac:dyDescent="0.25">
      <c r="A1500" s="14" t="s">
        <v>2844</v>
      </c>
      <c r="B1500" s="8" t="s">
        <v>14692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14692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15019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15429</v>
      </c>
      <c r="J1501" s="128">
        <v>4300</v>
      </c>
      <c r="K1501" s="14" t="s">
        <v>513</v>
      </c>
    </row>
    <row r="1502" spans="1:11" s="10" customFormat="1" x14ac:dyDescent="0.25">
      <c r="A1502" s="14" t="s">
        <v>15441</v>
      </c>
      <c r="B1502" s="8" t="s">
        <v>2750</v>
      </c>
      <c r="C1502" s="7" t="s">
        <v>2501</v>
      </c>
      <c r="D1502" s="9" t="s">
        <v>14862</v>
      </c>
      <c r="E1502" s="7">
        <v>1</v>
      </c>
      <c r="F1502" s="14" t="s">
        <v>15442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15441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15422</v>
      </c>
      <c r="J1504" s="128">
        <v>3763</v>
      </c>
      <c r="K1504" s="14" t="s">
        <v>519</v>
      </c>
    </row>
    <row r="1505" spans="1:11" s="10" customFormat="1" x14ac:dyDescent="0.25">
      <c r="A1505" s="14" t="s">
        <v>15443</v>
      </c>
      <c r="B1505" s="8" t="s">
        <v>15444</v>
      </c>
      <c r="C1505" s="7" t="s">
        <v>2501</v>
      </c>
      <c r="D1505" s="9" t="s">
        <v>15445</v>
      </c>
      <c r="E1505" s="7">
        <v>0</v>
      </c>
      <c r="F1505" s="14" t="s">
        <v>15446</v>
      </c>
      <c r="G1505" s="7" t="s">
        <v>15444</v>
      </c>
      <c r="H1505" s="7" t="s">
        <v>3464</v>
      </c>
      <c r="I1505" s="8" t="s">
        <v>15447</v>
      </c>
      <c r="J1505" s="128">
        <v>4321</v>
      </c>
      <c r="K1505" s="14" t="s">
        <v>15443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15448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15449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15448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15450</v>
      </c>
      <c r="J1510" s="128">
        <v>2356</v>
      </c>
      <c r="K1510" s="14" t="s">
        <v>2856</v>
      </c>
    </row>
    <row r="1511" spans="1:11" s="10" customFormat="1" x14ac:dyDescent="0.25">
      <c r="A1511" s="14" t="s">
        <v>15451</v>
      </c>
      <c r="B1511" s="8" t="s">
        <v>15452</v>
      </c>
      <c r="C1511" s="7" t="s">
        <v>2501</v>
      </c>
      <c r="D1511" s="9" t="s">
        <v>15445</v>
      </c>
      <c r="E1511" s="7">
        <v>100</v>
      </c>
      <c r="F1511" s="14" t="s">
        <v>15453</v>
      </c>
      <c r="G1511" s="7" t="s">
        <v>15452</v>
      </c>
      <c r="H1511" s="7" t="s">
        <v>3464</v>
      </c>
      <c r="I1511" s="8" t="s">
        <v>15433</v>
      </c>
      <c r="J1511" s="128">
        <v>4184</v>
      </c>
      <c r="K1511" s="14" t="s">
        <v>15451</v>
      </c>
    </row>
    <row r="1512" spans="1:11" s="10" customFormat="1" x14ac:dyDescent="0.25">
      <c r="A1512" s="14" t="s">
        <v>2860</v>
      </c>
      <c r="B1512" s="8" t="s">
        <v>15454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15455</v>
      </c>
      <c r="B1513" s="8" t="s">
        <v>312</v>
      </c>
      <c r="C1513" s="7" t="s">
        <v>2501</v>
      </c>
      <c r="D1513" s="9" t="s">
        <v>15456</v>
      </c>
      <c r="E1513" s="7">
        <v>0</v>
      </c>
      <c r="F1513" s="14" t="s">
        <v>15457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15455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15458</v>
      </c>
      <c r="B1515" s="8" t="s">
        <v>15459</v>
      </c>
      <c r="C1515" s="7" t="s">
        <v>2501</v>
      </c>
      <c r="D1515" s="9" t="s">
        <v>15460</v>
      </c>
      <c r="E1515" s="7">
        <v>0</v>
      </c>
      <c r="F1515" s="14" t="s">
        <v>15461</v>
      </c>
      <c r="G1515" s="7" t="s">
        <v>15459</v>
      </c>
      <c r="H1515" s="7" t="s">
        <v>3464</v>
      </c>
      <c r="I1515" s="8" t="s">
        <v>1281</v>
      </c>
      <c r="J1515" s="128">
        <v>5255</v>
      </c>
      <c r="K1515" s="14" t="s">
        <v>15458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15462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15463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14538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15464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14954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15465</v>
      </c>
      <c r="J1520" s="128">
        <v>4317</v>
      </c>
      <c r="K1520" s="14" t="s">
        <v>2879</v>
      </c>
    </row>
    <row r="1521" spans="1:11" s="10" customFormat="1" x14ac:dyDescent="0.25">
      <c r="A1521" s="14" t="s">
        <v>15466</v>
      </c>
      <c r="B1521" s="8" t="s">
        <v>15467</v>
      </c>
      <c r="C1521" s="7" t="s">
        <v>2501</v>
      </c>
      <c r="D1521" s="9" t="s">
        <v>2822</v>
      </c>
      <c r="E1521" s="7">
        <v>0</v>
      </c>
      <c r="F1521" s="14" t="s">
        <v>15468</v>
      </c>
      <c r="G1521" s="7" t="s">
        <v>15469</v>
      </c>
      <c r="H1521" s="7" t="s">
        <v>3464</v>
      </c>
      <c r="I1521" s="8" t="s">
        <v>15464</v>
      </c>
      <c r="J1521" s="128">
        <v>4223</v>
      </c>
      <c r="K1521" s="14" t="s">
        <v>15466</v>
      </c>
    </row>
    <row r="1522" spans="1:11" s="10" customFormat="1" x14ac:dyDescent="0.25">
      <c r="A1522" s="14" t="s">
        <v>15470</v>
      </c>
      <c r="B1522" s="8" t="s">
        <v>15471</v>
      </c>
      <c r="C1522" s="7" t="s">
        <v>2501</v>
      </c>
      <c r="D1522" s="9" t="s">
        <v>2822</v>
      </c>
      <c r="E1522" s="7">
        <v>0</v>
      </c>
      <c r="F1522" s="14" t="s">
        <v>15472</v>
      </c>
      <c r="G1522" s="7" t="s">
        <v>15471</v>
      </c>
      <c r="H1522" s="7" t="s">
        <v>3464</v>
      </c>
      <c r="I1522" s="8" t="s">
        <v>15473</v>
      </c>
      <c r="J1522" s="128">
        <v>4301</v>
      </c>
      <c r="K1522" s="14" t="s">
        <v>15470</v>
      </c>
    </row>
    <row r="1523" spans="1:11" s="10" customFormat="1" x14ac:dyDescent="0.25">
      <c r="A1523" s="14" t="s">
        <v>15474</v>
      </c>
      <c r="B1523" s="8" t="s">
        <v>15475</v>
      </c>
      <c r="C1523" s="7" t="s">
        <v>2501</v>
      </c>
      <c r="D1523" s="9" t="s">
        <v>2822</v>
      </c>
      <c r="E1523" s="7">
        <v>0</v>
      </c>
      <c r="F1523" s="14" t="s">
        <v>15476</v>
      </c>
      <c r="G1523" s="7" t="s">
        <v>15475</v>
      </c>
      <c r="H1523" s="7" t="s">
        <v>3464</v>
      </c>
      <c r="I1523" s="8" t="s">
        <v>219</v>
      </c>
      <c r="J1523" s="128">
        <v>4313</v>
      </c>
      <c r="K1523" s="14" t="s">
        <v>15474</v>
      </c>
    </row>
    <row r="1524" spans="1:11" s="10" customFormat="1" x14ac:dyDescent="0.25">
      <c r="A1524" s="14" t="s">
        <v>15477</v>
      </c>
      <c r="B1524" s="8" t="s">
        <v>15478</v>
      </c>
      <c r="C1524" s="7" t="s">
        <v>2501</v>
      </c>
      <c r="D1524" s="9" t="s">
        <v>2822</v>
      </c>
      <c r="E1524" s="7">
        <v>0</v>
      </c>
      <c r="F1524" s="14" t="s">
        <v>15479</v>
      </c>
      <c r="G1524" s="7" t="s">
        <v>15478</v>
      </c>
      <c r="H1524" s="7" t="s">
        <v>3464</v>
      </c>
      <c r="I1524" s="8" t="s">
        <v>15433</v>
      </c>
      <c r="J1524" s="128">
        <v>4187</v>
      </c>
      <c r="K1524" s="14" t="s">
        <v>15477</v>
      </c>
    </row>
    <row r="1525" spans="1:11" s="10" customFormat="1" x14ac:dyDescent="0.25">
      <c r="A1525" s="14" t="s">
        <v>15480</v>
      </c>
      <c r="B1525" s="8" t="s">
        <v>15481</v>
      </c>
      <c r="C1525" s="7" t="s">
        <v>2501</v>
      </c>
      <c r="D1525" s="9" t="s">
        <v>2822</v>
      </c>
      <c r="E1525" s="7">
        <v>0</v>
      </c>
      <c r="F1525" s="14" t="s">
        <v>15482</v>
      </c>
      <c r="G1525" s="7" t="s">
        <v>15481</v>
      </c>
      <c r="H1525" s="7" t="s">
        <v>3464</v>
      </c>
      <c r="I1525" s="8" t="s">
        <v>872</v>
      </c>
      <c r="J1525" s="128">
        <v>4189</v>
      </c>
      <c r="K1525" s="14" t="s">
        <v>15480</v>
      </c>
    </row>
    <row r="1526" spans="1:11" s="10" customFormat="1" x14ac:dyDescent="0.25">
      <c r="A1526" s="14" t="s">
        <v>15483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15484</v>
      </c>
      <c r="G1526" s="7" t="s">
        <v>3855</v>
      </c>
      <c r="H1526" s="7" t="s">
        <v>3464</v>
      </c>
      <c r="I1526" s="8" t="s">
        <v>15429</v>
      </c>
      <c r="J1526" s="128">
        <v>4300</v>
      </c>
      <c r="K1526" s="14" t="s">
        <v>15483</v>
      </c>
    </row>
    <row r="1527" spans="1:11" s="10" customFormat="1" x14ac:dyDescent="0.25">
      <c r="A1527" s="14" t="s">
        <v>15485</v>
      </c>
      <c r="B1527" s="8" t="s">
        <v>15447</v>
      </c>
      <c r="C1527" s="7" t="s">
        <v>2501</v>
      </c>
      <c r="D1527" s="9" t="s">
        <v>2822</v>
      </c>
      <c r="E1527" s="7">
        <v>0</v>
      </c>
      <c r="F1527" s="14" t="s">
        <v>15486</v>
      </c>
      <c r="G1527" s="7" t="s">
        <v>15487</v>
      </c>
      <c r="H1527" s="7" t="s">
        <v>3464</v>
      </c>
      <c r="I1527" s="8" t="s">
        <v>15447</v>
      </c>
      <c r="J1527" s="128">
        <v>4319</v>
      </c>
      <c r="K1527" s="14" t="s">
        <v>15485</v>
      </c>
    </row>
    <row r="1528" spans="1:11" s="10" customFormat="1" x14ac:dyDescent="0.25">
      <c r="A1528" s="14" t="s">
        <v>15488</v>
      </c>
      <c r="B1528" s="8" t="s">
        <v>15489</v>
      </c>
      <c r="C1528" s="7" t="s">
        <v>2501</v>
      </c>
      <c r="D1528" s="9" t="s">
        <v>15490</v>
      </c>
      <c r="E1528" s="7">
        <v>545</v>
      </c>
      <c r="F1528" s="14" t="s">
        <v>15491</v>
      </c>
      <c r="G1528" s="7" t="s">
        <v>3464</v>
      </c>
      <c r="H1528" s="7" t="s">
        <v>3464</v>
      </c>
      <c r="I1528" s="8" t="s">
        <v>14590</v>
      </c>
      <c r="J1528" s="128">
        <v>4200</v>
      </c>
      <c r="K1528" s="14" t="s">
        <v>15488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15492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15493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14590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15494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14590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15495</v>
      </c>
      <c r="C1534" s="7" t="s">
        <v>2501</v>
      </c>
      <c r="D1534" s="9" t="s">
        <v>14552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14590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15496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14590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15317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15497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15498</v>
      </c>
      <c r="B1542" s="8" t="s">
        <v>15499</v>
      </c>
      <c r="C1542" s="7" t="s">
        <v>2501</v>
      </c>
      <c r="D1542" s="9" t="s">
        <v>14985</v>
      </c>
      <c r="E1542" s="7">
        <v>1</v>
      </c>
      <c r="F1542" s="14" t="s">
        <v>15500</v>
      </c>
      <c r="G1542" s="7" t="s">
        <v>15501</v>
      </c>
      <c r="H1542" s="7" t="s">
        <v>4029</v>
      </c>
      <c r="I1542" s="8" t="s">
        <v>2797</v>
      </c>
      <c r="J1542" s="128">
        <v>4141</v>
      </c>
      <c r="K1542" s="14" t="s">
        <v>15498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15502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15317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14795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15503</v>
      </c>
      <c r="B1552" s="8" t="s">
        <v>15504</v>
      </c>
      <c r="C1552" s="7" t="s">
        <v>2501</v>
      </c>
      <c r="D1552" s="9" t="s">
        <v>208</v>
      </c>
      <c r="E1552" s="7">
        <v>1</v>
      </c>
      <c r="F1552" s="14" t="s">
        <v>15505</v>
      </c>
      <c r="G1552" s="7" t="s">
        <v>15504</v>
      </c>
      <c r="H1552" s="7" t="s">
        <v>4029</v>
      </c>
      <c r="I1552" s="8" t="s">
        <v>2467</v>
      </c>
      <c r="J1552" s="128">
        <v>4186</v>
      </c>
      <c r="K1552" s="14" t="s">
        <v>15503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15506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15507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15508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15509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15508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15510</v>
      </c>
      <c r="B1564" s="8" t="s">
        <v>15511</v>
      </c>
      <c r="C1564" s="7" t="s">
        <v>2501</v>
      </c>
      <c r="D1564" s="9" t="s">
        <v>2481</v>
      </c>
      <c r="E1564" s="7">
        <v>99</v>
      </c>
      <c r="F1564" s="14" t="s">
        <v>15512</v>
      </c>
      <c r="G1564" s="7" t="s">
        <v>15511</v>
      </c>
      <c r="H1564" s="7" t="s">
        <v>4029</v>
      </c>
      <c r="I1564" s="8" t="s">
        <v>1199</v>
      </c>
      <c r="J1564" s="128">
        <v>4242</v>
      </c>
      <c r="K1564" s="14" t="s">
        <v>15510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15513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15502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15514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15515</v>
      </c>
      <c r="B1572" s="8" t="s">
        <v>15516</v>
      </c>
      <c r="C1572" s="7" t="s">
        <v>2501</v>
      </c>
      <c r="D1572" s="9" t="s">
        <v>2822</v>
      </c>
      <c r="E1572" s="7">
        <v>0</v>
      </c>
      <c r="F1572" s="14" t="s">
        <v>15517</v>
      </c>
      <c r="G1572" s="7" t="s">
        <v>15516</v>
      </c>
      <c r="H1572" s="7" t="s">
        <v>4029</v>
      </c>
      <c r="I1572" s="8" t="s">
        <v>2467</v>
      </c>
      <c r="J1572" s="128">
        <v>4115</v>
      </c>
      <c r="K1572" s="14" t="s">
        <v>15515</v>
      </c>
    </row>
    <row r="1573" spans="1:11" s="10" customFormat="1" x14ac:dyDescent="0.25">
      <c r="A1573" s="14" t="s">
        <v>15518</v>
      </c>
      <c r="B1573" s="8" t="s">
        <v>15519</v>
      </c>
      <c r="C1573" s="7" t="s">
        <v>2501</v>
      </c>
      <c r="D1573" s="9" t="s">
        <v>15520</v>
      </c>
      <c r="E1573" s="7">
        <v>0</v>
      </c>
      <c r="F1573" s="14" t="s">
        <v>15521</v>
      </c>
      <c r="G1573" s="7" t="s">
        <v>15519</v>
      </c>
      <c r="H1573" s="7" t="s">
        <v>4029</v>
      </c>
      <c r="I1573" s="8" t="s">
        <v>2800</v>
      </c>
      <c r="J1573" s="128">
        <v>4105</v>
      </c>
      <c r="K1573" s="14" t="s">
        <v>15518</v>
      </c>
    </row>
    <row r="1574" spans="1:11" s="10" customFormat="1" x14ac:dyDescent="0.25">
      <c r="A1574" s="14" t="s">
        <v>15522</v>
      </c>
      <c r="B1574" s="8" t="s">
        <v>15523</v>
      </c>
      <c r="C1574" s="7" t="s">
        <v>2501</v>
      </c>
      <c r="D1574" s="9" t="s">
        <v>2822</v>
      </c>
      <c r="E1574" s="7">
        <v>0</v>
      </c>
      <c r="F1574" s="14" t="s">
        <v>15524</v>
      </c>
      <c r="G1574" s="7" t="s">
        <v>15523</v>
      </c>
      <c r="H1574" s="7" t="s">
        <v>4029</v>
      </c>
      <c r="I1574" s="8" t="s">
        <v>2794</v>
      </c>
      <c r="J1574" s="128">
        <v>4157</v>
      </c>
      <c r="K1574" s="14" t="s">
        <v>15522</v>
      </c>
    </row>
    <row r="1575" spans="1:11" s="10" customFormat="1" x14ac:dyDescent="0.25">
      <c r="A1575" s="120" t="s">
        <v>15525</v>
      </c>
      <c r="B1575" s="121" t="s">
        <v>15526</v>
      </c>
      <c r="C1575" s="122" t="s">
        <v>2501</v>
      </c>
      <c r="D1575" s="123" t="s">
        <v>3665</v>
      </c>
      <c r="E1575" s="122">
        <v>450</v>
      </c>
      <c r="F1575" s="120" t="s">
        <v>15527</v>
      </c>
      <c r="G1575" s="122" t="s">
        <v>1165</v>
      </c>
      <c r="H1575" s="122" t="s">
        <v>4029</v>
      </c>
      <c r="I1575" s="121" t="s">
        <v>14590</v>
      </c>
      <c r="J1575" s="128">
        <v>4002</v>
      </c>
      <c r="K1575" s="120" t="s">
        <v>15525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2022-07-08T13:35:37Z</cp:lastPrinted>
  <dcterms:created xsi:type="dcterms:W3CDTF">2015-11-18T15:54:23Z</dcterms:created>
  <dcterms:modified xsi:type="dcterms:W3CDTF">2022-07-08T13:36:57Z</dcterms:modified>
</cp:coreProperties>
</file>