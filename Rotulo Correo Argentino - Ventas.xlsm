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bookViews>
    <workbookView xWindow="0" yWindow="0" windowWidth="24000" windowHeight="9630" tabRatio="703" activeTab="1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G19" i="7"/>
  <c r="Z1" i="8" l="1"/>
  <c r="Z1" i="7" l="1"/>
  <c r="AA33" i="9" l="1"/>
  <c r="B21" i="9"/>
  <c r="G20" i="9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B20" i="8" l="1"/>
  <c r="B21" i="8"/>
  <c r="E18" i="8"/>
</calcChain>
</file>

<file path=xl/sharedStrings.xml><?xml version="1.0" encoding="utf-8"?>
<sst xmlns="http://schemas.openxmlformats.org/spreadsheetml/2006/main" count="25807" uniqueCount="15533">
  <si>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</si>
  <si>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</si>
  <si>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</si>
  <si>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</si>
  <si>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</si>
  <si>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</si>
  <si>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</si>
  <si>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</si>
  <si>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</si>
  <si>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</si>
  <si>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</si>
  <si>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</si>
  <si>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</si>
  <si>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</si>
  <si>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</si>
  <si>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</si>
  <si>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</si>
  <si>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</si>
  <si>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</si>
  <si>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</si>
  <si>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</si>
  <si>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</si>
  <si>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</si>
  <si>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</si>
  <si>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</si>
  <si>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</si>
  <si>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</si>
  <si>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</si>
  <si>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</si>
  <si>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</si>
  <si>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</si>
  <si>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</si>
  <si>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</si>
  <si>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</si>
  <si>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</si>
  <si>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</si>
  <si>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</si>
  <si>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</si>
  <si>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</si>
  <si>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</si>
  <si>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</si>
  <si>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</si>
  <si>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</si>
  <si>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</si>
  <si>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</si>
  <si>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</si>
  <si>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</si>
  <si>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</si>
  <si>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</si>
  <si>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</si>
  <si>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</si>
  <si>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</si>
  <si>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</si>
  <si>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</si>
  <si>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</si>
  <si>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</si>
  <si>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</si>
  <si>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</si>
  <si>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</si>
  <si>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</si>
  <si>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</si>
  <si>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</si>
  <si>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</si>
  <si>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</si>
  <si>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</si>
  <si>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</si>
  <si>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</si>
  <si>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</si>
  <si>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</si>
  <si>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</si>
  <si>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</si>
  <si>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</si>
  <si>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</si>
  <si>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</si>
  <si>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</si>
  <si>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</si>
  <si>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</si>
  <si>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</si>
  <si>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</si>
  <si>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</si>
  <si>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</si>
  <si>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</si>
  <si>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</si>
  <si>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</si>
  <si>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</si>
  <si>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</si>
  <si>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</si>
  <si>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</si>
  <si>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</si>
  <si>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</si>
  <si>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</si>
  <si>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</si>
  <si>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</si>
  <si>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</si>
  <si>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</si>
  <si>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</si>
  <si>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</si>
  <si>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</si>
  <si>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</si>
  <si>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</si>
  <si>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</si>
  <si>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</si>
  <si>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</si>
  <si>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</si>
  <si>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</si>
  <si>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</si>
  <si>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</si>
  <si>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</si>
  <si>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</si>
  <si>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</si>
  <si>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</si>
  <si>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</si>
  <si>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</si>
  <si>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</si>
  <si>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</si>
  <si>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</si>
  <si>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</si>
  <si>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</si>
  <si>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</si>
  <si>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</si>
  <si>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</si>
  <si>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</si>
  <si>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</si>
  <si>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</si>
  <si>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</si>
  <si>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</si>
  <si>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</si>
  <si>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</si>
  <si>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</si>
  <si>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</si>
  <si>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</si>
  <si>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</si>
  <si>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</si>
  <si>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</si>
  <si>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</si>
  <si>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</si>
  <si>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</si>
  <si>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</si>
  <si>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</si>
  <si>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</si>
  <si>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</si>
  <si>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</si>
  <si>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</si>
  <si>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</si>
  <si>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</si>
  <si>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</si>
  <si>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</si>
  <si>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</si>
  <si>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</si>
  <si>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</si>
  <si>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</si>
  <si>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</si>
  <si>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</si>
  <si>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</si>
  <si>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</si>
  <si>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</si>
  <si>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</si>
  <si>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</si>
  <si>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</si>
  <si>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</si>
  <si>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</si>
  <si>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</si>
  <si>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</si>
  <si>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</si>
  <si>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</si>
  <si>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</si>
  <si>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</si>
  <si>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</si>
  <si>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</si>
  <si>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</si>
  <si>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</si>
  <si>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</si>
  <si>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</si>
  <si>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</si>
  <si>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</si>
  <si>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</si>
  <si>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</si>
  <si>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</si>
  <si>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</si>
  <si>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</si>
  <si>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</si>
  <si>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</si>
  <si>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</si>
  <si>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</si>
  <si>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</si>
  <si>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</si>
  <si>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</si>
  <si>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</si>
  <si>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</si>
  <si>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</si>
  <si>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</si>
  <si>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</si>
  <si>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</si>
  <si>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</si>
  <si>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</si>
  <si>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</si>
  <si>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</si>
  <si>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</si>
  <si>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</si>
  <si>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</si>
  <si>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</si>
  <si>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</si>
  <si>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</si>
  <si>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</si>
  <si>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</si>
  <si>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</si>
  <si>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</si>
  <si>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</si>
  <si>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</si>
  <si>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</si>
  <si>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</si>
  <si>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</si>
  <si>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</si>
  <si>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</si>
  <si>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</si>
  <si>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</si>
  <si>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</si>
  <si>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</si>
  <si>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</si>
  <si>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</si>
  <si>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</si>
  <si>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</si>
  <si>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</si>
  <si>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</si>
  <si>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</si>
  <si>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</si>
  <si>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</si>
  <si>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</si>
  <si>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</si>
  <si>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</si>
  <si>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</si>
  <si>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</si>
  <si>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</si>
  <si>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</si>
  <si>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</si>
  <si>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</si>
  <si>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</si>
  <si>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</si>
  <si>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</si>
  <si>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</si>
  <si>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</si>
  <si>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</si>
  <si>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</si>
  <si>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</si>
  <si>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</si>
  <si>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</si>
  <si>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</si>
  <si>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</si>
  <si>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</si>
  <si>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</si>
  <si>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</si>
  <si>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</si>
  <si>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</si>
  <si>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</si>
  <si>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</si>
  <si>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</si>
  <si>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</si>
  <si>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</si>
  <si>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</si>
  <si>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</si>
  <si>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</si>
  <si>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</si>
  <si>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</si>
  <si>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</si>
  <si>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</si>
  <si>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</si>
  <si>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</si>
  <si>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</si>
  <si>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</si>
  <si>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</si>
  <si>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</si>
  <si>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</si>
  <si>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</si>
  <si>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</si>
  <si>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</si>
  <si>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</si>
  <si>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</si>
  <si>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</si>
  <si>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</si>
  <si>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</si>
  <si>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</si>
  <si>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</si>
  <si>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</si>
  <si>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</si>
  <si>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</si>
  <si>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</si>
  <si>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</si>
  <si>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</si>
  <si>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</si>
  <si>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</si>
  <si>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</si>
  <si>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</si>
  <si>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</si>
  <si>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</si>
  <si>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</si>
  <si>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</si>
  <si>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</si>
  <si>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</si>
  <si>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</si>
  <si>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</si>
  <si>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</si>
  <si>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</si>
  <si>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</si>
  <si>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</si>
  <si>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</si>
  <si>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</si>
  <si>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</si>
  <si>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</si>
  <si>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</si>
  <si>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</si>
  <si>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</si>
  <si>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</si>
  <si>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</si>
  <si>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</si>
  <si>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</si>
  <si>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</si>
  <si>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</si>
  <si>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</si>
  <si>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</si>
  <si>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</si>
  <si>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</si>
  <si>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</si>
  <si>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</si>
  <si>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</si>
  <si>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</si>
  <si>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</si>
  <si>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</si>
  <si>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</si>
  <si>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</si>
  <si>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</si>
  <si>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</si>
  <si>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</si>
  <si>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</si>
  <si>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</si>
  <si>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</si>
  <si>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</si>
  <si>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</si>
  <si>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</si>
  <si>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</si>
  <si>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</si>
  <si>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</si>
  <si>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</si>
  <si>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</si>
  <si>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</si>
  <si>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</si>
  <si>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</si>
  <si>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</si>
  <si>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</si>
  <si>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</si>
  <si>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</si>
  <si>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</si>
  <si>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</si>
  <si>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</si>
  <si>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</si>
  <si>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</si>
  <si>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</si>
  <si>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</si>
  <si>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</si>
  <si>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</si>
  <si>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</si>
  <si>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</si>
  <si>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</si>
  <si>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</si>
  <si>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</si>
  <si>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</si>
  <si>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</si>
  <si>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</si>
  <si>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</si>
  <si>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</si>
  <si>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</si>
  <si>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</si>
  <si>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</si>
  <si>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</si>
  <si>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</si>
  <si>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</si>
  <si>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</si>
  <si>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</si>
  <si>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</si>
  <si>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</si>
  <si>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</si>
  <si>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</si>
  <si>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</si>
  <si>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</si>
  <si>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</si>
  <si>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</si>
  <si>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</si>
  <si>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</si>
  <si>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</si>
  <si>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</si>
  <si>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</si>
  <si>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</si>
  <si>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</si>
  <si>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</si>
  <si>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</si>
  <si>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</si>
  <si>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</si>
  <si>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</si>
  <si>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</si>
  <si>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</si>
  <si>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</si>
  <si>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</si>
  <si>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</si>
  <si>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</si>
  <si>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</si>
  <si>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</si>
  <si>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</si>
  <si>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</si>
  <si>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</si>
  <si>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</si>
  <si>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</si>
  <si>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</si>
  <si>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</si>
  <si>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</si>
  <si>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</si>
  <si>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</si>
  <si>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</si>
  <si>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</si>
  <si>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</si>
  <si>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</si>
  <si>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</si>
  <si>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</si>
  <si>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</si>
  <si>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</si>
  <si>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</si>
  <si>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</si>
  <si>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</si>
  <si>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</si>
  <si>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</si>
  <si>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</si>
  <si>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</si>
  <si>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</si>
  <si>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</si>
  <si>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</si>
  <si>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</si>
  <si>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</si>
  <si>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</si>
  <si>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</si>
  <si>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</si>
  <si>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</si>
  <si>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</si>
  <si>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</si>
  <si>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</si>
  <si>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</si>
  <si>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</si>
  <si>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</si>
  <si>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</si>
  <si>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</si>
  <si>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</si>
  <si>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</si>
  <si>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</si>
  <si>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</si>
  <si>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</si>
  <si>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</si>
  <si>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</si>
  <si>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</si>
  <si>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</si>
  <si>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</si>
  <si>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</si>
  <si>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</si>
  <si>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</si>
  <si>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</si>
  <si>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</si>
  <si>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</si>
  <si>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</si>
  <si>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</si>
  <si>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</si>
  <si>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</si>
  <si>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</si>
  <si>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</si>
  <si>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</si>
  <si>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</si>
  <si>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</si>
  <si>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</si>
  <si>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</si>
  <si>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</si>
  <si>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</si>
  <si>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</si>
  <si>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</si>
  <si>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</si>
  <si>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</si>
  <si>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</si>
  <si>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</si>
  <si>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</si>
  <si>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</si>
  <si>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</si>
  <si>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</si>
  <si>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</si>
  <si>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</si>
  <si>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</si>
  <si>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</si>
  <si>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</si>
  <si>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</si>
  <si>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</si>
  <si>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</si>
  <si>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</si>
  <si>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</si>
  <si>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</si>
  <si>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</si>
  <si>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</si>
  <si>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</si>
  <si>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</si>
  <si>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</si>
  <si>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</si>
  <si>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</si>
  <si>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</si>
  <si>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</si>
  <si>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</si>
  <si>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</si>
  <si>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</si>
  <si>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</si>
  <si>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</si>
  <si>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</si>
  <si>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</si>
  <si>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</si>
  <si>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</si>
  <si>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</si>
  <si>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</si>
  <si>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</si>
  <si>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</si>
  <si>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</si>
  <si>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</si>
  <si>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</si>
  <si>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</si>
  <si>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</si>
  <si>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</si>
  <si>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</si>
  <si>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</si>
  <si>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</si>
  <si>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</si>
  <si>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</si>
  <si>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</si>
  <si>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</si>
  <si>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</si>
  <si>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</si>
  <si>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</si>
  <si>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</si>
  <si>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</si>
  <si>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</si>
  <si>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</si>
  <si>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</si>
  <si>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</si>
  <si>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</si>
  <si>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</si>
  <si>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</si>
  <si>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</si>
  <si>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</si>
  <si>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</si>
  <si>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</si>
  <si>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</si>
  <si>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</si>
  <si>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</si>
  <si>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</si>
  <si>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</si>
  <si>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</si>
  <si>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</si>
  <si>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</si>
  <si>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</si>
  <si>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</si>
  <si>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</si>
  <si>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</si>
  <si>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</si>
  <si>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</si>
  <si>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</si>
  <si>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</si>
  <si>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</si>
  <si>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</si>
  <si>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</si>
  <si>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</si>
  <si>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</si>
  <si>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</si>
  <si>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</si>
  <si>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</si>
  <si>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</si>
  <si>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</si>
  <si>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</si>
  <si>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</si>
  <si>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</si>
  <si>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</si>
  <si>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</si>
  <si>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</si>
  <si>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</si>
  <si>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</si>
  <si>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</si>
  <si>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</si>
  <si>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</si>
  <si>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</si>
  <si>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</si>
  <si>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</si>
  <si>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</si>
  <si>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</si>
  <si>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</si>
  <si>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</si>
  <si>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</si>
  <si>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</si>
  <si>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</si>
  <si>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</si>
  <si>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</si>
  <si>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</si>
  <si>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</si>
  <si>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</si>
  <si>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</si>
  <si>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</si>
  <si>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</si>
  <si>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</si>
  <si>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</si>
  <si>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</si>
  <si>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</si>
  <si>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</si>
  <si>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</si>
  <si>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</si>
  <si>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</si>
  <si>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</si>
  <si>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</si>
  <si>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</si>
  <si>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</si>
  <si>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</si>
  <si>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</si>
  <si>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</si>
  <si>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</si>
  <si>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</si>
  <si>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</si>
  <si>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</si>
  <si>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</si>
  <si>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</si>
  <si>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</si>
  <si>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</si>
  <si>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</si>
  <si>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</si>
  <si>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</si>
  <si>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</si>
  <si>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</si>
  <si>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</si>
  <si>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</si>
  <si>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</si>
  <si>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</si>
  <si>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</si>
  <si>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</si>
  <si>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</si>
  <si>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</si>
  <si>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</si>
  <si>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</si>
  <si>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</si>
  <si>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</si>
  <si>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</si>
  <si>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</si>
  <si>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</si>
  <si>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</si>
  <si>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</si>
  <si>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</si>
  <si>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</si>
  <si>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</si>
  <si>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</si>
  <si>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</si>
  <si>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</si>
  <si>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</si>
  <si>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</si>
  <si>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</si>
  <si>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</si>
  <si>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</si>
  <si>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</si>
  <si>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</si>
  <si>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</si>
  <si>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</si>
  <si>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</si>
  <si>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</si>
  <si>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</si>
  <si>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</si>
  <si>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</si>
  <si>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</si>
  <si>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</si>
  <si>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</si>
  <si>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</si>
  <si>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</si>
  <si>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</si>
  <si>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</si>
  <si>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</si>
  <si>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</si>
  <si>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</si>
  <si>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</si>
  <si>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</si>
  <si>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</si>
  <si>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</si>
  <si>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</si>
  <si>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</si>
  <si>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</si>
  <si>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</si>
  <si>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</si>
  <si>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</si>
  <si>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</si>
  <si>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</si>
  <si>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</si>
  <si>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</si>
  <si>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</si>
  <si>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</si>
  <si>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</si>
  <si>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</si>
  <si>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</si>
  <si>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</si>
  <si>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</si>
  <si>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</si>
  <si>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</si>
  <si>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</si>
  <si>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</si>
  <si>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</si>
  <si>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</si>
  <si>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</si>
  <si>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</si>
  <si>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</si>
  <si>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</si>
  <si>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</si>
  <si>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</si>
  <si>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</si>
  <si>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</si>
  <si>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</si>
  <si>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</si>
  <si>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</si>
  <si>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</si>
  <si>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</si>
  <si>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</si>
  <si>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</si>
  <si>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</si>
  <si>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</si>
  <si>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</si>
  <si>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</si>
  <si>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</si>
  <si>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</si>
  <si>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</si>
  <si>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</si>
  <si>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</si>
  <si>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</si>
  <si>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</si>
  <si>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</si>
  <si>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</si>
  <si>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</si>
  <si>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</si>
  <si>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</si>
  <si>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</si>
  <si>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</si>
  <si>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</si>
  <si>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</si>
  <si>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</si>
  <si>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</si>
  <si>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</si>
  <si>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</si>
  <si>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</si>
  <si>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</si>
  <si>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</si>
  <si>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</si>
  <si>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</si>
  <si>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</si>
  <si>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</si>
  <si>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</si>
  <si>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</si>
  <si>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</si>
  <si>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</si>
  <si>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</si>
  <si>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</si>
  <si>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</si>
  <si>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</si>
  <si>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</si>
  <si>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</si>
  <si>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</si>
  <si>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</si>
  <si>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</si>
  <si>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</si>
  <si>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</si>
  <si>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</si>
  <si>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</si>
  <si>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</si>
  <si>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</si>
  <si>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</si>
  <si>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</si>
  <si>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</si>
  <si>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</si>
  <si>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</si>
  <si>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</si>
  <si>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</si>
  <si>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</si>
  <si>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</si>
  <si>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</si>
  <si>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</si>
  <si>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</si>
  <si>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</si>
  <si>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</si>
  <si>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</si>
  <si>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</si>
  <si>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</si>
  <si>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</si>
  <si>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</si>
  <si>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</si>
  <si>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</si>
  <si>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</si>
  <si>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</si>
  <si>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</si>
  <si>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</si>
  <si>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</si>
  <si>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</si>
  <si>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</si>
  <si>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</si>
  <si>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</si>
  <si>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</si>
  <si>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</si>
  <si>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</si>
  <si>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</si>
  <si>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</si>
  <si>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</si>
  <si>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</si>
  <si>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</si>
  <si>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</si>
  <si>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</si>
  <si>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</si>
  <si>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</si>
  <si>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</si>
  <si>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</si>
  <si>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</si>
  <si>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</si>
  <si>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</si>
  <si>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</si>
  <si>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</si>
  <si>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</si>
  <si>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</si>
  <si>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</si>
  <si>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</si>
  <si>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</si>
  <si>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</si>
  <si>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</si>
  <si>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</si>
  <si>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</si>
  <si>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</si>
  <si>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</si>
  <si>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</si>
  <si>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</si>
  <si>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</si>
  <si>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</si>
  <si>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</si>
  <si>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</si>
  <si>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</si>
  <si>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</si>
  <si>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</si>
  <si>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</si>
  <si>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</si>
  <si>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</si>
  <si>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</si>
  <si>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</si>
  <si>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</si>
  <si>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</si>
  <si>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</si>
  <si>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</si>
  <si>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</si>
  <si>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</si>
  <si>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</si>
  <si>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</si>
  <si>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</si>
  <si>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</si>
  <si>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</si>
  <si>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</si>
  <si>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</si>
  <si>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</si>
  <si>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</si>
  <si>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</si>
  <si>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</si>
  <si>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</si>
  <si>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</si>
  <si>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</si>
  <si>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</si>
  <si>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</si>
  <si>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</si>
  <si>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</si>
  <si>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</si>
  <si>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</si>
  <si>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</si>
  <si>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</si>
  <si>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</si>
  <si>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</si>
  <si>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</si>
  <si>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</si>
  <si>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</si>
  <si>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</si>
  <si>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</si>
  <si>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</si>
  <si>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</si>
  <si>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</si>
  <si>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</si>
  <si>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</si>
  <si>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</si>
  <si>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</si>
  <si>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</si>
  <si>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</si>
  <si>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</si>
  <si>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</si>
  <si>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</si>
  <si>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</si>
  <si>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</si>
  <si>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</si>
  <si>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</si>
  <si>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</si>
  <si>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</si>
  <si>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</si>
  <si>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</si>
  <si>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</si>
  <si>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</si>
  <si>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</si>
  <si>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</si>
  <si>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</si>
  <si>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</si>
  <si>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</si>
  <si>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</si>
  <si>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</si>
  <si>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</si>
  <si>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</si>
  <si>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</si>
  <si>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</si>
  <si>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</si>
  <si>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</si>
  <si>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</si>
  <si>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</si>
  <si>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</si>
  <si>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</si>
  <si>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</si>
  <si>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</si>
  <si>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</si>
  <si>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</si>
  <si>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</si>
  <si>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</si>
  <si>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</si>
  <si>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</si>
  <si>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</si>
  <si>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</si>
  <si>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</si>
  <si>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</si>
  <si>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</si>
  <si>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</si>
  <si>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</si>
  <si>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</si>
  <si>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</si>
  <si>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</si>
  <si>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</si>
  <si>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</si>
  <si>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</si>
  <si>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</si>
  <si>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</si>
  <si>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</si>
  <si>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</si>
  <si>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</si>
  <si>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</si>
  <si>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</si>
  <si>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</si>
  <si>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</si>
  <si>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</si>
  <si>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</si>
  <si>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</si>
  <si>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</si>
  <si>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</si>
  <si>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</si>
  <si>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</si>
  <si>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</si>
  <si>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</si>
  <si>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</si>
  <si>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</si>
  <si>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</si>
  <si>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</si>
  <si>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</si>
  <si>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</si>
  <si>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</si>
  <si>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</si>
  <si>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</si>
  <si>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</si>
  <si>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</si>
  <si>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</si>
  <si>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</si>
  <si>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</si>
  <si>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</si>
  <si>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</si>
  <si>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</si>
  <si>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</si>
  <si>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</si>
  <si>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</si>
  <si>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</si>
  <si>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</si>
  <si>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</si>
  <si>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</si>
  <si>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</si>
  <si>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</si>
  <si>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</si>
  <si>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</si>
  <si>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</si>
  <si>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</si>
  <si>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</si>
  <si>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</si>
  <si>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</si>
  <si>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</si>
  <si>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</si>
  <si>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</si>
  <si>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</si>
  <si>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</si>
  <si>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</si>
  <si>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</si>
  <si>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</si>
  <si>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</si>
  <si>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</si>
  <si>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</si>
  <si>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</si>
  <si>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</si>
  <si>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</si>
  <si>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</si>
  <si>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</si>
  <si>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</si>
  <si>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</si>
  <si>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</si>
  <si>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</si>
  <si>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</si>
  <si>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</si>
  <si>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</si>
  <si>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</si>
  <si>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</si>
  <si>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</si>
  <si>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</si>
  <si>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</si>
  <si>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</si>
  <si>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</si>
  <si>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</si>
  <si>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</si>
  <si>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</si>
  <si>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</si>
  <si>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</si>
  <si>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</si>
  <si>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</si>
  <si>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</si>
  <si>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</si>
  <si>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</si>
  <si>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</si>
  <si>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</si>
  <si>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</si>
  <si>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</si>
  <si>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</si>
  <si>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</si>
  <si>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</si>
  <si>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</si>
  <si>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</si>
  <si>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</si>
  <si>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</si>
  <si>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</si>
  <si>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</si>
  <si>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</si>
  <si>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</si>
  <si>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</si>
  <si>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</si>
  <si>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</si>
  <si>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</si>
  <si>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</si>
  <si>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</si>
  <si>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</si>
  <si>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</si>
  <si>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</si>
  <si>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</si>
  <si>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</si>
  <si>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</si>
  <si>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</si>
  <si>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</si>
  <si>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</si>
  <si>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</si>
  <si>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</si>
  <si>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</si>
  <si>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</si>
  <si>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</si>
  <si>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</si>
  <si>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</si>
  <si>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</si>
  <si>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</si>
  <si>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</si>
  <si>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</si>
  <si>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</si>
  <si>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</si>
  <si>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</si>
  <si>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</si>
  <si>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</si>
  <si>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</si>
  <si>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</si>
  <si>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</si>
  <si>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</si>
  <si>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</si>
  <si>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</si>
  <si>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</si>
  <si>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</si>
  <si>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</si>
  <si>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</si>
  <si>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</si>
  <si>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</si>
  <si>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</si>
  <si>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</si>
  <si>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</si>
  <si>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</si>
  <si>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</si>
  <si>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</si>
  <si>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</si>
  <si>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</si>
  <si>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</si>
  <si>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</si>
  <si>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</si>
  <si>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</si>
  <si>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</si>
  <si>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</si>
  <si>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</si>
  <si>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</si>
  <si>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</si>
  <si>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</si>
  <si>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</si>
  <si>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</si>
  <si>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</si>
  <si>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</si>
  <si>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</si>
  <si>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</si>
  <si>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</si>
  <si>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</si>
  <si>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</si>
  <si>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</si>
  <si>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</si>
  <si>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</si>
  <si>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</si>
  <si>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</si>
  <si>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</si>
  <si>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</si>
  <si>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</si>
  <si>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</si>
  <si>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</si>
  <si>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</si>
  <si>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</si>
  <si>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</si>
  <si>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</si>
  <si>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</si>
  <si>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</si>
  <si>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</si>
  <si>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</si>
  <si>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</si>
  <si>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</si>
  <si>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</si>
  <si>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</si>
  <si>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</si>
  <si>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</si>
  <si>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</si>
  <si>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</si>
  <si>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</si>
  <si>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</si>
  <si>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</si>
  <si>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</si>
  <si>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</si>
  <si>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</si>
  <si>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</si>
  <si>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</si>
  <si>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</si>
  <si>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</si>
  <si>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</si>
  <si>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</si>
  <si>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</si>
  <si>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</si>
  <si>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</si>
  <si>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</si>
  <si>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</si>
  <si>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</si>
  <si>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</si>
  <si>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</si>
  <si>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</si>
  <si>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</si>
  <si>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</si>
  <si>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</si>
  <si>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</si>
  <si>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</si>
  <si>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</si>
  <si>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</si>
  <si>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</si>
  <si>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</si>
  <si>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</si>
  <si>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</si>
  <si>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</si>
  <si>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</si>
  <si>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</si>
  <si>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</si>
  <si>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</si>
  <si>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</si>
  <si>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</si>
  <si>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</si>
  <si>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</si>
  <si>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</si>
  <si>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</si>
  <si>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</si>
  <si>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</si>
  <si>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</si>
  <si>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</si>
  <si>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</si>
  <si>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</si>
  <si>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</si>
  <si>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</si>
  <si>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</si>
  <si>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</si>
  <si>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</si>
  <si>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</si>
  <si>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</si>
  <si>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</si>
  <si>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</si>
  <si>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</si>
  <si>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</si>
  <si>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</si>
  <si>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</si>
  <si>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</si>
  <si>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</si>
  <si>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</si>
  <si>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</si>
  <si>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</si>
  <si>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</si>
  <si>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</si>
  <si>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</si>
  <si>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</si>
  <si>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</si>
  <si>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</si>
  <si>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</si>
  <si>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</si>
  <si>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</si>
  <si>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</si>
  <si>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</si>
  <si>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</si>
  <si>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</si>
  <si>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</si>
  <si>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</si>
  <si>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</si>
  <si>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</si>
  <si>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</si>
  <si>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</si>
  <si>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</si>
  <si>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</si>
  <si>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</si>
  <si>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</si>
  <si>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</si>
  <si>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</si>
  <si>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</si>
  <si>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</si>
  <si>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</si>
  <si>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</si>
  <si>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</si>
  <si>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</si>
  <si>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</si>
  <si>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</si>
  <si>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</si>
  <si>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</si>
  <si>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</si>
  <si>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</si>
  <si>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</si>
  <si>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</si>
  <si>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</si>
  <si>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</si>
  <si>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</si>
  <si>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</si>
  <si>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</si>
  <si>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</si>
  <si>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</si>
  <si>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</si>
  <si>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</si>
  <si>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</si>
  <si>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</si>
  <si>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</si>
  <si>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</si>
  <si>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</si>
  <si>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</si>
  <si>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</si>
  <si>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</si>
  <si>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</si>
  <si>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</si>
  <si>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</si>
  <si>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</si>
  <si>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</si>
  <si>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</si>
  <si>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</si>
  <si>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</si>
  <si>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</si>
  <si>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</si>
  <si>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</si>
  <si>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</si>
  <si>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</si>
  <si>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</si>
  <si>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</si>
  <si>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</si>
  <si>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</si>
  <si>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</si>
  <si>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</si>
  <si>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</si>
  <si>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</si>
  <si>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</si>
  <si>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</si>
  <si>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</si>
  <si>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</si>
  <si>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</si>
  <si>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</si>
  <si>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</si>
  <si>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</si>
  <si>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</si>
  <si>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</si>
  <si>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</si>
  <si>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</si>
  <si>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</si>
  <si>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</si>
  <si>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</si>
  <si>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</si>
  <si>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</si>
  <si>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</si>
  <si>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</si>
  <si>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</si>
  <si>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</si>
  <si>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</si>
  <si>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</si>
  <si>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</si>
  <si>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</si>
  <si>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</si>
  <si>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</si>
  <si>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</si>
  <si>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</si>
  <si>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</si>
  <si>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</si>
  <si>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</si>
  <si>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</si>
  <si>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</si>
  <si>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</si>
  <si>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</si>
  <si>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</si>
  <si>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</si>
  <si>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</si>
  <si>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</si>
  <si>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</si>
  <si>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</si>
  <si>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</si>
  <si>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</si>
  <si>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</si>
  <si>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</si>
  <si>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</si>
  <si>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</si>
  <si>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</si>
  <si>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</si>
  <si>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</si>
  <si>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</si>
  <si>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</si>
  <si>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</si>
  <si>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</si>
  <si>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</si>
  <si>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</si>
  <si>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</si>
  <si>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</si>
  <si>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</si>
  <si>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</si>
  <si>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</si>
  <si>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</si>
  <si>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</si>
  <si>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</si>
  <si>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</si>
  <si>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</si>
  <si>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</si>
  <si>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</si>
  <si>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</si>
  <si>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</si>
  <si>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</si>
  <si>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</si>
  <si>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</si>
  <si>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</si>
  <si>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</si>
  <si>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</si>
  <si>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</si>
  <si>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</si>
  <si>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</si>
  <si>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</si>
  <si>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</si>
  <si>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</si>
  <si>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</si>
  <si>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</si>
  <si>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</si>
  <si>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</si>
  <si>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</si>
  <si>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</si>
  <si>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</si>
  <si>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</si>
  <si>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</si>
  <si>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</si>
  <si>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</si>
  <si>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</si>
  <si>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</si>
  <si>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</si>
  <si>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</si>
  <si>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</si>
  <si>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</si>
  <si>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</si>
  <si>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</si>
  <si>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</si>
  <si>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</si>
  <si>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</si>
  <si>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</si>
  <si>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</si>
  <si>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</si>
  <si>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</si>
  <si>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</si>
  <si>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</si>
  <si>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</si>
  <si>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</si>
  <si>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</si>
  <si>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</si>
  <si>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</si>
  <si>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</si>
  <si>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</si>
  <si>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</si>
  <si>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</si>
  <si>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</si>
  <si>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</si>
  <si>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</si>
  <si>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</si>
  <si>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</si>
  <si>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</si>
  <si>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</si>
  <si>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</si>
  <si>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</si>
  <si>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</si>
  <si>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</si>
  <si>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</si>
  <si>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</si>
  <si>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</si>
  <si>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</si>
  <si>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</si>
  <si>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</si>
  <si>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</si>
  <si>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</si>
  <si>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</si>
  <si>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</si>
  <si>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</si>
  <si>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</si>
  <si>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</si>
  <si>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</si>
  <si>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</si>
  <si>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</si>
  <si>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</si>
  <si>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</si>
  <si>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</si>
  <si>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</si>
  <si>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</si>
  <si>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</si>
  <si>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</si>
  <si>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</si>
  <si>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</si>
  <si>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</si>
  <si>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</si>
  <si>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</si>
  <si>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</si>
  <si>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</si>
  <si>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</si>
  <si>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</si>
  <si>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</si>
  <si>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</si>
  <si>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</si>
  <si>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</si>
  <si>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</si>
  <si>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</si>
  <si>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</si>
  <si>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</si>
  <si>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</si>
  <si>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</si>
  <si>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</si>
  <si>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</si>
  <si>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</si>
  <si>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</si>
  <si>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</si>
  <si>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</si>
  <si>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</si>
  <si>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</si>
  <si>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</si>
  <si>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</si>
  <si>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</si>
  <si>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</si>
  <si>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</si>
  <si>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</si>
  <si>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</si>
  <si>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</si>
  <si>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</si>
  <si>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</si>
  <si>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</si>
  <si>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</si>
  <si>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</si>
  <si>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</si>
  <si>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</si>
  <si>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</si>
  <si>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</si>
  <si>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</si>
  <si>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</si>
  <si>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</si>
  <si>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</si>
  <si>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</si>
  <si>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</si>
  <si>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</si>
  <si>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</si>
  <si>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</si>
  <si>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</si>
  <si>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</si>
  <si>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</si>
  <si>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</si>
  <si>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</si>
  <si>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</si>
  <si>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</si>
  <si>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</si>
  <si>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</si>
  <si>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</si>
  <si>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</si>
  <si>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</si>
  <si>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</si>
  <si>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</si>
  <si>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</si>
  <si>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</si>
  <si>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</si>
  <si>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</si>
  <si>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</si>
  <si>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</si>
  <si>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</si>
  <si>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</si>
  <si>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</si>
  <si>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</si>
  <si>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</si>
  <si>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</si>
  <si>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</si>
  <si>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</si>
  <si>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</si>
  <si>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</si>
  <si>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</si>
  <si>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</si>
  <si>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</si>
  <si>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</si>
  <si>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</si>
  <si>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</si>
  <si>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</si>
  <si>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</si>
  <si>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</si>
  <si>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</si>
  <si>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</si>
  <si>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</si>
  <si>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</si>
  <si>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</si>
  <si>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</si>
  <si>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</si>
  <si>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</si>
  <si>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</si>
  <si>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</si>
  <si>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</si>
  <si>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</si>
  <si>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</si>
  <si>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</si>
  <si>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</si>
  <si>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</si>
  <si>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</si>
  <si>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</si>
  <si>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</si>
  <si>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</si>
  <si>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</si>
  <si>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</si>
  <si>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</si>
  <si>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</si>
  <si>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</si>
  <si>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</si>
  <si>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</si>
  <si>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</si>
  <si>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</si>
  <si>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</si>
  <si>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</si>
  <si>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</si>
  <si>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</si>
  <si>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</si>
  <si>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</si>
  <si>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</si>
  <si>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</si>
  <si>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</si>
  <si>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</si>
  <si>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</si>
  <si>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</si>
  <si>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</si>
  <si>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</si>
  <si>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</si>
  <si>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</si>
  <si>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</si>
  <si>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</si>
  <si>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</si>
  <si>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</si>
  <si>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</si>
  <si>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</si>
  <si>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</si>
  <si>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</si>
  <si>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</si>
  <si>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</si>
  <si>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</si>
  <si>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</si>
  <si>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</si>
  <si>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</si>
  <si>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</si>
  <si>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</si>
  <si>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</si>
  <si>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</si>
  <si>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</si>
  <si>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</si>
  <si>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</si>
  <si>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</si>
  <si>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</si>
  <si>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</si>
  <si>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</si>
  <si>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</si>
  <si>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</si>
  <si>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</si>
  <si>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</si>
  <si>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</si>
  <si>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</si>
  <si>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</si>
  <si>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</si>
  <si>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</si>
  <si>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</si>
  <si>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</si>
  <si>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</si>
  <si>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</si>
  <si>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</si>
  <si>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</si>
  <si>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</si>
  <si>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</si>
  <si>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</si>
  <si>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</si>
  <si>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</si>
  <si>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</si>
  <si>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</si>
  <si>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</si>
  <si>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</si>
  <si>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</si>
  <si>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</si>
  <si>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</si>
  <si>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</si>
  <si>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</si>
  <si>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</si>
  <si>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</si>
  <si>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</si>
  <si>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</si>
  <si>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</si>
  <si>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</si>
  <si>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</si>
  <si>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</si>
  <si>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</si>
  <si>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</si>
  <si>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</si>
  <si>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</si>
  <si>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</si>
  <si>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</si>
  <si>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</si>
  <si>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</si>
  <si>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</si>
  <si>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</si>
  <si>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</si>
  <si>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</si>
  <si>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</si>
  <si>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</si>
  <si>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</si>
  <si>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</si>
  <si>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</si>
  <si>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</si>
  <si>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</si>
  <si>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</si>
  <si>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</si>
  <si>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</si>
  <si>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</si>
  <si>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</si>
  <si>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</si>
  <si>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</si>
  <si>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</si>
  <si>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</si>
  <si>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</si>
  <si>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</si>
  <si>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</si>
  <si>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</si>
  <si>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</si>
  <si>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</si>
  <si>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</si>
  <si>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</si>
  <si>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</si>
  <si>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</si>
  <si>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</si>
  <si>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</si>
  <si>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</si>
  <si>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</si>
  <si>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</si>
  <si>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</si>
  <si>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</si>
  <si>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</si>
  <si>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</si>
  <si>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</si>
  <si>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</si>
  <si>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</si>
  <si>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</si>
  <si>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</si>
  <si>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</si>
  <si>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</si>
  <si>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</si>
  <si>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</si>
  <si>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</si>
  <si>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</si>
  <si>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</si>
  <si>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</si>
  <si>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</si>
  <si>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</si>
  <si>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</si>
  <si>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</si>
  <si>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</si>
  <si>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</si>
  <si>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</si>
  <si>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</si>
  <si>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</si>
  <si>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</si>
  <si>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</si>
  <si>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</si>
  <si>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</si>
  <si>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</si>
  <si>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</si>
  <si>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</si>
  <si>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</si>
  <si>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</si>
  <si>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</si>
  <si>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</si>
  <si>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</si>
  <si>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</si>
  <si>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</si>
  <si>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</si>
  <si>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</si>
  <si>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</si>
  <si>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</si>
  <si>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</si>
  <si>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</si>
  <si>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</si>
  <si>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</si>
  <si>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</si>
  <si>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</si>
  <si>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</si>
  <si>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</si>
  <si>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</si>
  <si>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</si>
  <si>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</si>
  <si>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</si>
  <si>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</si>
  <si>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</si>
  <si>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</si>
  <si>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</si>
  <si>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</si>
  <si>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</si>
  <si>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</si>
  <si>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</si>
  <si>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</si>
  <si>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</si>
  <si>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</si>
  <si>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</si>
  <si>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</si>
  <si>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</si>
  <si>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</si>
  <si>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</si>
  <si>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</si>
  <si>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</si>
  <si>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</si>
  <si>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</si>
  <si>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</si>
  <si>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</si>
  <si>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</si>
  <si>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</si>
  <si>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</si>
  <si>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</si>
  <si>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</si>
  <si>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</si>
  <si>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</si>
  <si>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</si>
  <si>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</si>
  <si>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</si>
  <si>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</si>
  <si>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</si>
  <si>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</si>
  <si>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</si>
  <si>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</si>
  <si>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</si>
  <si>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</si>
  <si>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</si>
  <si>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</si>
  <si>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</si>
  <si>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</si>
  <si>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</si>
  <si>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</si>
  <si>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</si>
  <si>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</si>
  <si>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</si>
  <si>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</si>
  <si>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</si>
  <si>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</si>
  <si>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</si>
  <si>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</si>
  <si>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</si>
  <si>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</si>
  <si>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</si>
  <si>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</si>
  <si>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</si>
  <si>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</si>
  <si>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</si>
  <si>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</si>
  <si>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</si>
  <si>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</si>
  <si>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</si>
  <si>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</si>
  <si>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</si>
  <si>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</si>
  <si>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</si>
  <si>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</si>
  <si>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</si>
  <si>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</si>
  <si>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</si>
  <si>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</si>
  <si>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</si>
  <si>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</si>
  <si>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</si>
  <si>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</si>
  <si>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</si>
  <si>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</si>
  <si>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</si>
  <si>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</si>
  <si>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</si>
  <si>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</si>
  <si>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</si>
  <si>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</si>
  <si>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</si>
  <si>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</si>
  <si>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</si>
  <si>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</si>
  <si>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</si>
  <si>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</si>
  <si>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</si>
  <si>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</si>
  <si>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</si>
  <si>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</si>
  <si>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</si>
  <si>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</si>
  <si>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</si>
  <si>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</si>
  <si>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</si>
  <si>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</si>
  <si>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</si>
  <si>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</si>
  <si>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</si>
  <si>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</si>
  <si>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</si>
  <si>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</si>
  <si>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</si>
  <si>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</si>
  <si>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</si>
  <si>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</si>
  <si>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</si>
  <si>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</si>
  <si>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</si>
  <si>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</si>
  <si>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</si>
  <si>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</si>
  <si>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</si>
  <si>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</si>
  <si>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</si>
  <si>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</si>
  <si>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</si>
  <si>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</si>
  <si>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</si>
  <si>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</si>
  <si>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</si>
  <si>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</si>
  <si>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</si>
  <si>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</si>
  <si>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</si>
  <si>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</si>
  <si>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</si>
  <si>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</si>
  <si>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</si>
  <si>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</si>
  <si>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</si>
  <si>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</si>
  <si>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</si>
  <si>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</si>
  <si>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</si>
  <si>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</si>
  <si>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</si>
  <si>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</si>
  <si>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</si>
  <si>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</si>
  <si>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</si>
  <si>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</si>
  <si>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</si>
  <si>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</si>
  <si>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</si>
  <si>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</si>
  <si>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</si>
  <si>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</si>
  <si>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</si>
  <si>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</si>
  <si>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</si>
  <si>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</si>
  <si>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</si>
  <si>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</si>
  <si>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</si>
  <si>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</si>
  <si>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</si>
  <si>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</si>
  <si>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</si>
  <si>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</si>
  <si>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</si>
  <si>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</si>
  <si>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</si>
  <si>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</si>
  <si>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</si>
  <si>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</si>
  <si>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</si>
  <si>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</si>
  <si>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</si>
  <si>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</si>
  <si>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</si>
  <si>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</si>
  <si>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</si>
  <si>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</si>
  <si>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</si>
  <si>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</si>
  <si>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</si>
  <si>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</si>
  <si>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</si>
  <si>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</si>
  <si>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</si>
  <si>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</si>
  <si>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</si>
  <si>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</si>
  <si>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</si>
  <si>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</si>
  <si>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</si>
  <si>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</si>
  <si>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</si>
  <si>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</si>
  <si>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</si>
  <si>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</si>
  <si>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</si>
  <si>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</si>
  <si>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</si>
  <si>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</si>
  <si>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</si>
  <si>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</si>
  <si>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</si>
  <si>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</si>
  <si>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</si>
  <si>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</si>
  <si>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</si>
  <si>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</si>
  <si>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</si>
  <si>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</si>
  <si>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</si>
  <si>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</si>
  <si>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</si>
  <si>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</si>
  <si>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</si>
  <si>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</si>
  <si>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</si>
  <si>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</si>
  <si>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</si>
  <si>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</si>
  <si>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</si>
  <si>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</si>
  <si>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</si>
  <si>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</si>
  <si>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</si>
  <si>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</si>
  <si>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</si>
  <si>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</si>
  <si>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</si>
  <si>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</si>
  <si>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</si>
  <si>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</si>
  <si>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</si>
  <si>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</si>
  <si>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</si>
  <si>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</si>
  <si>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</si>
  <si>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</si>
  <si>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</si>
  <si>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</si>
  <si>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</si>
  <si>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</si>
  <si>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</si>
  <si>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</si>
  <si>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</si>
  <si>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</si>
  <si>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</si>
  <si>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</si>
  <si>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</si>
  <si>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</si>
  <si>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</si>
  <si>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</si>
  <si>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</si>
  <si>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</si>
  <si>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</si>
  <si>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</si>
  <si>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</si>
  <si>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</si>
  <si>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</si>
  <si>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</si>
  <si>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</si>
  <si>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</si>
  <si>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</si>
  <si>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</si>
  <si>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</si>
  <si>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</si>
  <si>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</si>
  <si>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</si>
  <si>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</si>
  <si>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</si>
  <si>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</si>
  <si>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</si>
  <si>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</si>
  <si>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</si>
  <si>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</si>
  <si>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</si>
  <si>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</si>
  <si>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</si>
  <si>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</si>
  <si>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</si>
  <si>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</si>
  <si>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</si>
  <si>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</si>
  <si>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</si>
  <si>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</si>
  <si>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</si>
  <si>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</si>
  <si>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</si>
  <si>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</si>
  <si>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</si>
  <si>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</si>
  <si>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</si>
  <si>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</si>
  <si>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</si>
  <si>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</si>
  <si>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</si>
  <si>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</si>
  <si>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</si>
  <si>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</si>
  <si>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</si>
  <si>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</si>
  <si>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</si>
  <si>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</si>
  <si>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</si>
  <si>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</si>
  <si>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</si>
  <si>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</si>
  <si>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</si>
  <si>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</si>
  <si>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</si>
  <si>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</si>
  <si>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</si>
  <si>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</si>
  <si>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</si>
  <si>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</si>
  <si>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</si>
  <si>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</si>
  <si>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</si>
  <si>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</si>
  <si>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</si>
  <si>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</si>
  <si>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</si>
  <si>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</si>
  <si>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</si>
  <si>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</si>
  <si>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</si>
  <si>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</si>
  <si>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</si>
  <si>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</si>
  <si>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</si>
  <si>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</si>
  <si>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</si>
  <si>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</si>
  <si>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</si>
  <si>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</si>
  <si>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</si>
  <si>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</si>
  <si>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</si>
  <si>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</si>
  <si>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</si>
  <si>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</si>
  <si>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</si>
  <si>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</si>
  <si>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</si>
  <si>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</si>
  <si>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</si>
  <si>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</si>
  <si>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</si>
  <si>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</si>
  <si>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</si>
  <si>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</si>
  <si>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</si>
  <si>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</si>
  <si>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</si>
  <si>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</si>
  <si>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</si>
  <si>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</si>
  <si>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</si>
  <si>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</si>
  <si>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</si>
  <si>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</si>
  <si>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</si>
  <si>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</si>
  <si>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</si>
  <si>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</si>
  <si>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</si>
  <si>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</si>
  <si>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</si>
  <si>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</si>
  <si>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</si>
  <si>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</si>
  <si>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</si>
  <si>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</si>
  <si>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</si>
  <si>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</si>
  <si>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</si>
  <si>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</si>
  <si>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</si>
  <si>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</si>
  <si>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</si>
  <si>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</si>
  <si>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</si>
  <si>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</si>
  <si>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</si>
  <si>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</si>
  <si>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</si>
  <si>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</si>
  <si>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</si>
  <si>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</si>
  <si>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</si>
  <si>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</si>
  <si>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</si>
  <si>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</si>
  <si>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</si>
  <si>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</si>
  <si>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</si>
  <si>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</si>
  <si>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</si>
  <si>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</si>
  <si>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</si>
  <si>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</si>
  <si>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</si>
  <si>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</si>
  <si>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</si>
  <si>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</si>
  <si>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</si>
  <si>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</si>
  <si>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</si>
  <si>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</si>
  <si>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</si>
  <si>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</si>
  <si>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</si>
  <si>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</si>
  <si>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</si>
  <si>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</si>
  <si>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</si>
  <si>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</si>
  <si>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</si>
  <si>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</si>
  <si>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</si>
  <si>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</si>
  <si>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</si>
  <si>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</si>
  <si>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</si>
  <si>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</si>
  <si>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</si>
  <si>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</si>
  <si>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</si>
  <si>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</si>
  <si>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</si>
  <si>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</si>
  <si>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</si>
  <si>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</si>
  <si>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</si>
  <si>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</si>
  <si>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</si>
  <si>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</si>
  <si>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</si>
  <si>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</si>
  <si>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</si>
  <si>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</si>
  <si>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</si>
  <si>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</si>
  <si>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</si>
  <si>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</si>
  <si>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</si>
  <si>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</si>
  <si>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</si>
  <si>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</si>
  <si>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</si>
  <si>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</si>
  <si>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</si>
  <si>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</si>
  <si>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</si>
  <si>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</si>
  <si>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</si>
  <si>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</si>
  <si>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</si>
  <si>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</si>
  <si>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</si>
  <si>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</si>
  <si>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</si>
  <si>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</si>
  <si>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</si>
  <si>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</si>
  <si>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</si>
  <si>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</si>
  <si>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</si>
  <si>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</si>
  <si>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</si>
  <si>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</si>
  <si>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</si>
  <si>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</si>
  <si>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</si>
  <si>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</si>
  <si>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</si>
  <si>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</si>
  <si>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</si>
  <si>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</si>
  <si>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</si>
  <si>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</si>
  <si>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</si>
  <si>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</si>
  <si>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</si>
  <si>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</si>
  <si>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</si>
  <si>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</si>
  <si>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</si>
  <si>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</si>
  <si>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</si>
  <si>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</si>
  <si>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</si>
  <si>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</si>
  <si>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</si>
  <si>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</si>
  <si>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</si>
  <si>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</si>
  <si>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</si>
  <si>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</si>
  <si>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</si>
  <si>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</si>
  <si>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</si>
  <si>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</si>
  <si>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</si>
  <si>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</si>
  <si>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</si>
  <si>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</si>
  <si>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</si>
  <si>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</si>
  <si>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</si>
  <si>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</si>
  <si>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</si>
  <si>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</si>
  <si>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</si>
  <si>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</si>
  <si>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</si>
  <si>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</si>
  <si>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</si>
  <si>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</si>
  <si>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</si>
  <si>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</si>
  <si>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</si>
  <si>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</si>
  <si>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</si>
  <si>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</si>
  <si>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</si>
  <si>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</si>
  <si>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</si>
  <si>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</si>
  <si>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</si>
  <si>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</si>
  <si>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</si>
  <si>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</si>
  <si>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</si>
  <si>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</si>
  <si>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</si>
  <si>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</si>
  <si>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</si>
  <si>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</si>
  <si>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</si>
  <si>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</si>
  <si>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</si>
  <si>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</si>
  <si>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</si>
  <si>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</si>
  <si>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</si>
  <si>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</si>
  <si>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</si>
  <si>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</si>
  <si>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</si>
  <si>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</si>
  <si>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</si>
  <si>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</si>
  <si>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</si>
  <si>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</si>
  <si>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</si>
  <si>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</si>
  <si>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</si>
  <si>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</si>
  <si>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</si>
  <si>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</si>
  <si>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</si>
  <si>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</si>
  <si>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</si>
  <si>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</si>
  <si>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</si>
  <si>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</si>
  <si>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</si>
  <si>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</si>
  <si>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</si>
  <si>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</si>
  <si>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</si>
  <si>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</si>
  <si>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</si>
  <si>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</si>
  <si>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</si>
  <si>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</si>
  <si>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</si>
  <si>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</si>
  <si>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</si>
  <si>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</si>
  <si>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</si>
  <si>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</si>
  <si>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</si>
  <si>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</si>
  <si>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</si>
  <si>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</si>
  <si>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</si>
  <si>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</si>
  <si>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</si>
  <si>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</si>
  <si>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</si>
  <si>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</si>
  <si>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</si>
  <si>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</si>
  <si>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</si>
  <si>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</si>
  <si>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</si>
  <si>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</si>
  <si>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</si>
  <si>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</si>
  <si>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</si>
  <si>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</si>
  <si>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</si>
  <si>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</si>
  <si>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</si>
  <si>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</si>
  <si>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</si>
  <si>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</si>
  <si>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</si>
  <si>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</si>
  <si>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</si>
  <si>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</si>
  <si>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</si>
  <si>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</si>
  <si>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</si>
  <si>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</si>
  <si>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</si>
  <si>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</si>
  <si>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</si>
  <si>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</si>
  <si>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</si>
  <si>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</si>
  <si>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</si>
  <si>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</si>
  <si>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</si>
  <si>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</si>
  <si>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</si>
  <si>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</si>
  <si>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</si>
  <si>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</si>
  <si>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</si>
  <si>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</si>
  <si>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</si>
  <si>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</si>
  <si>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</si>
  <si>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</si>
  <si>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</si>
  <si>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</si>
  <si>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</si>
  <si>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</si>
  <si>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</si>
  <si>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</si>
  <si>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</si>
  <si>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</si>
  <si>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</si>
  <si>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</si>
  <si>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</si>
  <si>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</si>
  <si>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</si>
  <si>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</si>
  <si>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</si>
  <si>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</si>
  <si>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</si>
  <si>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</si>
  <si>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</si>
  <si>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</si>
  <si>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</si>
  <si>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</si>
  <si>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</si>
  <si>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</si>
  <si>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</si>
  <si>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</si>
  <si>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</si>
  <si>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</si>
  <si>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</si>
  <si>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</si>
  <si>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</si>
  <si>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</si>
  <si>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</si>
  <si>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</si>
  <si>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</si>
  <si>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</si>
  <si>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</si>
  <si>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</si>
  <si>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</si>
  <si>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</si>
  <si>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</si>
  <si>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</si>
  <si>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</si>
  <si>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</si>
  <si>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</si>
  <si>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</si>
  <si>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</si>
  <si>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</si>
  <si>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</si>
  <si>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</si>
  <si>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</si>
  <si>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</si>
  <si>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</si>
  <si>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</si>
  <si>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</si>
  <si>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</si>
  <si>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</si>
  <si>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</si>
  <si>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</si>
  <si>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</si>
  <si>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</si>
  <si>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</si>
  <si>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</si>
  <si>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</si>
  <si>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</si>
  <si>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</si>
  <si>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</si>
  <si>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</si>
  <si>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</si>
  <si>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</si>
  <si>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</si>
  <si>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</si>
  <si>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</si>
  <si>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</si>
  <si>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</si>
  <si>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</si>
  <si>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</si>
  <si>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</si>
  <si>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</si>
  <si>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</si>
  <si>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</si>
  <si>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</si>
  <si>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</si>
  <si>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</si>
  <si>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</si>
  <si>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</si>
  <si>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</si>
  <si>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</si>
  <si>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</si>
  <si>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</si>
  <si>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</si>
  <si>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</si>
  <si>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</si>
  <si>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</si>
  <si>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</si>
  <si>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</si>
  <si>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</si>
  <si>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</si>
  <si>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</si>
  <si>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</si>
  <si>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</si>
  <si>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</si>
  <si>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</si>
  <si>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</si>
  <si>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</si>
  <si>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</si>
  <si>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</si>
  <si>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</si>
  <si>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</si>
  <si>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</si>
  <si>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</si>
  <si>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</si>
  <si>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</si>
  <si>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</si>
  <si>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</si>
  <si>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</si>
  <si>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</si>
  <si>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</si>
  <si>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</si>
  <si>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</si>
  <si>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</si>
  <si>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</si>
  <si>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</si>
  <si>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</si>
  <si>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</si>
  <si>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</si>
  <si>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</si>
  <si>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</si>
  <si>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</si>
  <si>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</si>
  <si>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</si>
  <si>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</si>
  <si>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</si>
  <si>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</si>
  <si>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</si>
  <si>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</si>
  <si>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</si>
  <si>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</si>
  <si>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</si>
  <si>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</si>
  <si>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</si>
  <si>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</si>
  <si>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</si>
  <si>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</si>
  <si>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</si>
  <si>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</si>
  <si>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</si>
  <si>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</si>
  <si>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</si>
  <si>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</si>
  <si>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</si>
  <si>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</si>
  <si>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</si>
  <si>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</si>
  <si>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</si>
  <si>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</si>
  <si>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</si>
  <si>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</si>
  <si>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</si>
  <si>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</si>
  <si>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</si>
  <si>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</si>
  <si>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</si>
  <si>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</si>
  <si>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</si>
  <si>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</si>
  <si>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</si>
  <si>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</si>
  <si>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</si>
  <si>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</si>
  <si>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</si>
  <si>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</si>
  <si>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</si>
  <si>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</si>
  <si>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</si>
  <si>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</si>
  <si>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</si>
  <si>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</si>
  <si>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</si>
  <si>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</si>
  <si>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</si>
  <si>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</si>
  <si>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</si>
  <si>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</si>
  <si>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</si>
  <si>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</si>
  <si>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</si>
  <si>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</si>
  <si>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</si>
  <si>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</si>
  <si>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</si>
  <si>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</si>
  <si>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</si>
  <si>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</si>
  <si>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</si>
  <si>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</si>
  <si>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</si>
  <si>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</si>
  <si>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</si>
  <si>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</si>
  <si>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</si>
  <si>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</si>
  <si>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</si>
  <si>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</si>
  <si>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</si>
  <si>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</si>
  <si>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</si>
  <si>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</si>
  <si>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</si>
  <si>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</si>
  <si>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</si>
  <si>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</si>
  <si>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</si>
  <si>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</si>
  <si>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</si>
  <si>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</si>
  <si>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</si>
  <si>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</si>
  <si>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</si>
  <si>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</si>
  <si>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</si>
  <si>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</si>
  <si>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</si>
  <si>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</si>
  <si>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</si>
  <si>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</si>
  <si>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</si>
  <si>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</si>
  <si>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</si>
  <si>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</si>
  <si>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</si>
  <si>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</si>
  <si>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</si>
  <si>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</si>
  <si>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</si>
  <si>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</si>
  <si>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</si>
  <si>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</si>
  <si>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</si>
  <si>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</si>
  <si>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</si>
  <si>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</si>
  <si>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</si>
  <si>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</si>
  <si>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</si>
  <si>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</si>
  <si>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</si>
  <si>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</si>
  <si>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</si>
  <si>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</si>
  <si>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</si>
  <si>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</si>
  <si>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</si>
  <si>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</si>
  <si>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</si>
  <si>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</si>
  <si>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</si>
  <si>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</si>
  <si>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</si>
  <si>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</si>
  <si>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</si>
  <si>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</si>
  <si>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</si>
  <si>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</si>
  <si>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</si>
  <si>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</si>
  <si>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</si>
  <si>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</si>
  <si>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</si>
  <si>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</si>
  <si>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</si>
  <si>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</si>
  <si>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</si>
  <si>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</si>
  <si>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</si>
  <si>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</si>
  <si>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</si>
  <si>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</si>
  <si>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</si>
  <si>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</si>
  <si>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</si>
  <si>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</si>
  <si>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</si>
  <si>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</si>
  <si>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</si>
  <si>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</si>
  <si>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</si>
  <si>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</si>
  <si>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</si>
  <si>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</si>
  <si>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</si>
  <si>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</si>
  <si>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</si>
  <si>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</si>
  <si>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</si>
  <si>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</si>
  <si>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</si>
  <si>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</si>
  <si>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</si>
  <si>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</si>
  <si>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</si>
  <si>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</si>
  <si>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</si>
  <si>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</si>
  <si>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</si>
  <si>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</si>
  <si>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</si>
  <si>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</si>
  <si>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</si>
  <si>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</si>
  <si>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</si>
  <si>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</si>
  <si>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</si>
  <si>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</si>
  <si>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</si>
  <si>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</si>
  <si>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</si>
  <si>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</si>
  <si>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</si>
  <si>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</si>
  <si>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</si>
  <si>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</si>
  <si>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</si>
  <si>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</si>
  <si>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</si>
  <si>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</si>
  <si>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</si>
  <si>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</si>
  <si>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</si>
  <si>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</si>
  <si>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</si>
  <si>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</si>
  <si>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</si>
  <si>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</si>
  <si>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</si>
  <si>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</si>
  <si>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</si>
  <si>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</si>
  <si>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</si>
  <si>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</si>
  <si>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</si>
  <si>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</si>
  <si>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</si>
  <si>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</si>
  <si>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</si>
  <si>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</si>
  <si>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</si>
  <si>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</si>
  <si>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</si>
  <si>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</si>
  <si>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</si>
  <si>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</si>
  <si>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</si>
  <si>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</si>
  <si>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</si>
  <si>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</si>
  <si>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</si>
  <si>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</si>
  <si>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</si>
  <si>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</si>
  <si>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</si>
  <si>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</si>
  <si>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</si>
  <si>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</si>
  <si>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</si>
  <si>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</si>
  <si>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</si>
  <si>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</si>
  <si>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</si>
  <si>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</si>
  <si>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</si>
  <si>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</si>
  <si>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</si>
  <si>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</si>
  <si>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</si>
  <si>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</si>
  <si>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</si>
  <si>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</si>
  <si>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</si>
  <si>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</si>
  <si>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</si>
  <si>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</si>
  <si>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</si>
  <si>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</si>
  <si>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</si>
  <si>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</si>
  <si>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</si>
  <si>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</si>
  <si>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</si>
  <si>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</si>
  <si>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</si>
  <si>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</si>
  <si>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</si>
  <si>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</si>
  <si>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</si>
  <si>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</si>
  <si>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</si>
  <si>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</si>
  <si>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</si>
  <si>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</si>
  <si>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</si>
  <si>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</si>
  <si>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</si>
  <si>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</si>
  <si>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</si>
  <si>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</si>
  <si>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</si>
  <si>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</si>
  <si>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</si>
  <si>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</si>
  <si>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</si>
  <si>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</si>
  <si>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</si>
  <si>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</si>
  <si>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</si>
  <si>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</si>
  <si>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</si>
  <si>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</si>
  <si>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</si>
  <si>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</si>
  <si>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</si>
  <si>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</si>
  <si>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</si>
  <si>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</si>
  <si>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</si>
  <si>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</si>
  <si>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</si>
  <si>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</si>
  <si>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</si>
  <si>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</si>
  <si>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</si>
  <si>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</si>
  <si>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</si>
  <si>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</si>
  <si>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</si>
  <si>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</si>
  <si>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</si>
  <si>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</si>
  <si>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</si>
  <si>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</si>
  <si>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</si>
  <si>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</si>
  <si>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</si>
  <si>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</si>
  <si>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</si>
  <si>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</si>
  <si>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</si>
  <si>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</si>
  <si>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</si>
  <si>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</si>
  <si>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</si>
  <si>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</si>
  <si>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</si>
  <si>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</si>
  <si>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</si>
  <si>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</si>
  <si>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</si>
  <si>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</si>
  <si>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</si>
  <si>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</si>
  <si>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</si>
  <si>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</si>
  <si>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</si>
  <si>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</si>
  <si>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</si>
  <si>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</si>
  <si>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</si>
  <si>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</si>
  <si>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</si>
  <si>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</si>
  <si>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</si>
  <si>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</si>
  <si>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</si>
  <si>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</si>
  <si>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</si>
  <si>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</si>
  <si>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</si>
  <si>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</si>
  <si>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</si>
  <si>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</si>
  <si>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</si>
  <si>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</si>
  <si>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</si>
  <si>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</si>
  <si>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</si>
  <si>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</si>
  <si>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</si>
  <si>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</si>
  <si>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</si>
  <si>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</si>
  <si>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</si>
  <si>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</si>
  <si>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</si>
  <si>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</si>
  <si>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</si>
  <si>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</si>
  <si>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</si>
  <si>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</si>
  <si>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</si>
  <si>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</si>
  <si>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</si>
  <si>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</si>
  <si>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</si>
  <si>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</si>
  <si>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</si>
  <si>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</si>
  <si>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</si>
  <si>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</si>
  <si>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</si>
  <si>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</si>
  <si>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</si>
  <si>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</si>
  <si>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</si>
  <si>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</si>
  <si>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</si>
  <si>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</si>
  <si>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</si>
  <si>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</si>
  <si>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</si>
  <si>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</si>
  <si>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</si>
  <si>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</si>
  <si>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</si>
  <si>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</si>
  <si>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</si>
  <si>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</si>
  <si>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</si>
  <si>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</si>
  <si>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</si>
  <si>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</si>
  <si>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</si>
  <si>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</si>
  <si>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</si>
  <si>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</si>
  <si>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</si>
  <si>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</si>
  <si>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</si>
  <si>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</si>
  <si>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</si>
  <si>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</si>
  <si>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</si>
  <si>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</si>
  <si>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</si>
  <si>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</si>
  <si>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</si>
  <si>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</si>
  <si>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</si>
  <si>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</si>
  <si>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</si>
  <si>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</si>
  <si>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</si>
  <si>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</si>
  <si>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</si>
  <si>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</si>
  <si>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</si>
  <si>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</si>
  <si>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</si>
  <si>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</si>
  <si>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</si>
  <si>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</si>
  <si>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</si>
  <si>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</si>
  <si>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</si>
  <si>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</si>
  <si>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</si>
  <si>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</si>
  <si>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</si>
  <si>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</si>
  <si>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</si>
  <si>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</si>
  <si>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</si>
  <si>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</si>
  <si>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</si>
  <si>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</si>
  <si>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</si>
  <si>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</si>
  <si>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</si>
  <si>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</si>
  <si>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</si>
  <si>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</si>
  <si>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</si>
  <si>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</si>
  <si>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</si>
  <si>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</si>
  <si>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</si>
  <si>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</si>
  <si>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</si>
  <si>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</si>
  <si>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</si>
  <si>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</si>
  <si>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</si>
  <si>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</si>
  <si>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</si>
  <si>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</si>
  <si>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</si>
  <si>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</si>
  <si>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</si>
  <si>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</si>
  <si>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</si>
  <si>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</si>
  <si>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</si>
  <si>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</si>
  <si>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</si>
  <si>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</si>
  <si>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</si>
  <si>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</si>
  <si>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</si>
  <si>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</si>
  <si>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</si>
  <si>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</si>
  <si>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</si>
  <si>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</si>
  <si>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</si>
  <si>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</si>
  <si>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</si>
  <si>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</si>
  <si>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</si>
  <si>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</si>
  <si>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</si>
  <si>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</si>
  <si>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</si>
  <si>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</si>
  <si>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</si>
  <si>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</si>
  <si>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</si>
  <si>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</si>
  <si>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</si>
  <si>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</si>
  <si>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</si>
  <si>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</si>
  <si>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</si>
  <si>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</si>
  <si>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</si>
  <si>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</si>
  <si>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</si>
  <si>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</si>
  <si>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</si>
  <si>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</si>
  <si>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</si>
  <si>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</si>
  <si>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</si>
  <si>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</si>
  <si>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</si>
  <si>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</si>
  <si>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</si>
  <si>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</si>
  <si>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</si>
  <si>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</si>
  <si>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</si>
  <si>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</si>
  <si>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</si>
  <si>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</si>
  <si>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</si>
  <si>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</si>
  <si>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</si>
  <si>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</si>
  <si>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</si>
  <si>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</si>
  <si>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</si>
  <si>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</si>
  <si>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</si>
  <si>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</si>
  <si>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</si>
  <si>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</si>
  <si>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</si>
  <si>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</si>
  <si>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</si>
  <si>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</si>
  <si>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</si>
  <si>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</si>
  <si>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</si>
  <si>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</si>
  <si>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</si>
  <si>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</si>
  <si>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</si>
  <si>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</si>
  <si>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</si>
  <si>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</si>
  <si>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</si>
  <si>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</si>
  <si>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</si>
  <si>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</si>
  <si>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</si>
  <si>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</si>
  <si>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</si>
  <si>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</si>
  <si>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</si>
  <si>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</si>
  <si>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</si>
  <si>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</si>
  <si>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</si>
  <si>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</si>
  <si>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</si>
  <si>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</si>
  <si>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</si>
  <si>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</si>
  <si>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</si>
  <si>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</si>
  <si>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</si>
  <si>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</si>
  <si>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</si>
  <si>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</si>
  <si>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</si>
  <si>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</si>
  <si>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</si>
  <si>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</si>
  <si>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</si>
  <si>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</si>
  <si>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</si>
  <si>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</si>
  <si>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</si>
  <si>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</si>
  <si>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</si>
  <si>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</si>
  <si>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</si>
  <si>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</si>
  <si>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</si>
  <si>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</si>
  <si>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</si>
  <si>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</si>
  <si>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</si>
  <si>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</si>
  <si>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</si>
  <si>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</si>
  <si>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</si>
  <si>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</si>
  <si>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</si>
  <si>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</si>
  <si>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</si>
  <si>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</si>
  <si>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</si>
  <si>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</si>
  <si>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</si>
  <si>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</si>
  <si>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</si>
  <si>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</si>
  <si>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</si>
  <si>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</si>
  <si>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</si>
  <si>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</si>
  <si>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</si>
  <si>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</si>
  <si>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</si>
  <si>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</si>
  <si>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</si>
  <si>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</si>
  <si>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</si>
  <si>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</si>
  <si>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</si>
  <si>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</si>
  <si>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</si>
  <si>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</si>
  <si>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</si>
  <si>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</si>
  <si>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</si>
  <si>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</si>
  <si>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</si>
  <si>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</si>
  <si>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</si>
  <si>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</si>
  <si>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</si>
  <si>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</si>
  <si>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</si>
  <si>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</si>
  <si>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</si>
  <si>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</si>
  <si>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</si>
  <si>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</si>
  <si>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</si>
  <si>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</si>
  <si>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</si>
  <si>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</si>
  <si>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</si>
  <si>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</si>
  <si>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</si>
  <si>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</si>
  <si>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</si>
  <si>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</si>
  <si>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</si>
  <si>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</si>
  <si>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</si>
  <si>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</si>
  <si>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</si>
  <si>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</si>
  <si>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</si>
  <si>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</si>
  <si>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</si>
  <si>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</si>
  <si>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</si>
  <si>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</si>
  <si>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</si>
  <si>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</si>
  <si>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</si>
  <si>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</si>
  <si>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</si>
  <si>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</si>
  <si>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</si>
  <si>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</si>
  <si>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</si>
  <si>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</si>
  <si>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</si>
  <si>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</si>
  <si>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</si>
  <si>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</si>
  <si>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</si>
  <si>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</si>
  <si>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</si>
  <si>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</si>
  <si>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</si>
  <si>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</si>
  <si>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</si>
  <si>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</si>
  <si>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</si>
  <si>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</si>
  <si>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</si>
  <si>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</si>
  <si>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</si>
  <si>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</si>
  <si>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</si>
  <si>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</si>
  <si>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</si>
  <si>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</si>
  <si>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</si>
  <si>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</si>
  <si>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</si>
  <si>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</si>
  <si>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</si>
  <si>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</si>
  <si>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</si>
  <si>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</si>
  <si>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</si>
  <si>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</si>
  <si>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</si>
  <si>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</si>
  <si>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</si>
  <si>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</si>
  <si>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</si>
  <si>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</si>
  <si>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</si>
  <si>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</si>
  <si>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</si>
  <si>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</si>
  <si>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</si>
  <si>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</si>
  <si>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</si>
  <si>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</si>
  <si>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</si>
  <si>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</si>
  <si>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</si>
  <si>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</si>
  <si>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</si>
  <si>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</si>
  <si>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</si>
  <si>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</si>
  <si>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</si>
  <si>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</si>
  <si>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</si>
  <si>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</si>
  <si>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</si>
  <si>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</si>
  <si>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</si>
  <si>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</si>
  <si>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</si>
  <si>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</si>
  <si>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</si>
  <si>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</si>
  <si>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</si>
  <si>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</si>
  <si>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</si>
  <si>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</si>
  <si>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</si>
  <si>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</si>
  <si>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</si>
  <si>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</si>
  <si>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</si>
  <si>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</si>
  <si>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</si>
  <si>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</si>
  <si>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</si>
  <si>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</si>
  <si>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</si>
  <si>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</si>
  <si>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</si>
  <si>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</si>
  <si>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</si>
  <si>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</si>
  <si>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</si>
  <si>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</si>
  <si>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</si>
  <si>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</si>
  <si>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</si>
  <si>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</si>
  <si>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</si>
  <si>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</si>
  <si>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</si>
  <si>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</si>
  <si>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</si>
  <si>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</si>
  <si>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</si>
  <si>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</si>
  <si>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</si>
  <si>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</si>
  <si>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</si>
  <si>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</si>
  <si>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</si>
  <si>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</si>
  <si>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</si>
  <si>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</si>
  <si>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</si>
  <si>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</si>
  <si>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</si>
  <si>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</si>
  <si>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</si>
  <si>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</si>
  <si>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</si>
  <si>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</si>
  <si>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</si>
  <si>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</si>
  <si>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</si>
  <si>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</si>
  <si>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</si>
  <si>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</si>
  <si>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</si>
  <si>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</si>
  <si>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</si>
  <si>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</si>
  <si>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</si>
  <si>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</si>
  <si>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</si>
  <si>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</si>
  <si>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</si>
  <si>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</si>
  <si>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</si>
  <si>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</si>
  <si>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</si>
  <si>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</si>
  <si>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</si>
  <si>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</si>
  <si>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</si>
  <si>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</si>
  <si>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</si>
  <si>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</si>
  <si>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</si>
  <si>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</si>
  <si>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</si>
  <si>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</si>
  <si>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</si>
  <si>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</si>
  <si>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</si>
  <si>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</si>
  <si>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</si>
  <si>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</si>
  <si>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</si>
  <si>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</si>
  <si>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</si>
  <si>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</si>
  <si>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</si>
  <si>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</si>
  <si>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</si>
  <si>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</si>
  <si>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</si>
  <si>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</si>
  <si>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</si>
  <si>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</si>
  <si>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</si>
  <si>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</si>
  <si>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</si>
  <si>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</si>
  <si>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</si>
  <si>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</si>
  <si>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</si>
  <si>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</si>
  <si>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</si>
  <si>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</si>
  <si>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</si>
  <si>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</si>
  <si>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</si>
  <si>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</si>
  <si>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</si>
  <si>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</si>
  <si>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</si>
  <si>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</si>
  <si>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</si>
  <si>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</si>
  <si>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</si>
  <si>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</si>
  <si>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</si>
  <si>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</si>
  <si>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</si>
  <si>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</si>
  <si>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</si>
  <si>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</si>
  <si>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</si>
  <si>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</si>
  <si>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</si>
  <si>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</si>
  <si>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</si>
  <si>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</si>
  <si>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</si>
  <si>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</si>
  <si>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</si>
  <si>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</si>
  <si>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</si>
  <si>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</si>
  <si>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</si>
  <si>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</si>
  <si>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</si>
  <si>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</si>
  <si>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</si>
  <si>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</si>
  <si>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</si>
  <si>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</si>
  <si>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</si>
  <si>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</si>
  <si>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</si>
  <si>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</si>
  <si>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</si>
  <si>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</si>
  <si>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</si>
  <si>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</si>
  <si>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</si>
  <si>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</si>
  <si>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</si>
  <si>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</si>
  <si>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</si>
  <si>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</si>
  <si>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</si>
  <si>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</si>
  <si>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</si>
  <si>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</si>
  <si>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</si>
  <si>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</si>
  <si>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</si>
  <si>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</si>
  <si>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</si>
  <si>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</si>
  <si>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</si>
  <si>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</si>
  <si>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</si>
  <si>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</si>
  <si>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</si>
  <si>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</si>
  <si>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</si>
  <si>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</si>
  <si>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</si>
  <si>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</si>
  <si>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</si>
  <si>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</si>
  <si>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</si>
  <si>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</si>
  <si>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</si>
  <si>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</si>
  <si>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</si>
  <si>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</si>
  <si>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</si>
  <si>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</si>
  <si>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</si>
  <si>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</si>
  <si>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</si>
  <si>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</si>
  <si>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</si>
  <si>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</si>
  <si>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</si>
  <si>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</si>
  <si>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</si>
  <si>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</si>
  <si>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</si>
  <si>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</si>
  <si>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</si>
  <si>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</si>
  <si>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</si>
  <si>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</si>
  <si>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</si>
  <si>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</si>
  <si>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</si>
  <si>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</si>
  <si>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</si>
  <si>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</si>
  <si>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</si>
  <si>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</si>
  <si>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</si>
  <si>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</si>
  <si>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</si>
  <si>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</si>
  <si>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</si>
  <si>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</si>
  <si>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</si>
  <si>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</si>
  <si>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</si>
  <si>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</si>
  <si>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</si>
  <si>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</si>
  <si>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</si>
  <si>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</si>
  <si>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</si>
  <si>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</si>
  <si>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</si>
  <si>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</si>
  <si>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</si>
  <si>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</si>
  <si>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</si>
  <si>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</si>
  <si>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</si>
  <si>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</si>
  <si>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</si>
  <si>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</si>
  <si>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</si>
  <si>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</si>
  <si>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</si>
  <si>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</si>
  <si>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</si>
  <si>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</si>
  <si>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</si>
  <si>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</si>
  <si>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</si>
  <si>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</si>
  <si>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</si>
  <si>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</si>
  <si>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</si>
  <si>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</si>
  <si>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</si>
  <si>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</si>
  <si>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</si>
  <si>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</si>
  <si>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</si>
  <si>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</si>
  <si>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</si>
  <si>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</si>
  <si>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</si>
  <si>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</si>
  <si>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</si>
  <si>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</si>
  <si>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</si>
  <si>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</si>
  <si>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</si>
  <si>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</si>
  <si>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</si>
  <si>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</si>
  <si>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</si>
  <si>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</si>
  <si>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</si>
  <si>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</si>
  <si>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</si>
  <si>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</si>
  <si>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</si>
  <si>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</si>
  <si>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</si>
  <si>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</si>
  <si>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</si>
  <si>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</si>
  <si>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</si>
  <si>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</si>
  <si>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</si>
  <si>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</si>
  <si>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</si>
  <si>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</si>
  <si>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</si>
  <si>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</si>
  <si>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</si>
  <si>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</si>
  <si>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</si>
  <si>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</si>
  <si>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</si>
  <si>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</si>
  <si>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</si>
  <si>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</si>
  <si>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</si>
  <si>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</si>
  <si>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</si>
  <si>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</si>
  <si>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</si>
  <si>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</si>
  <si>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</si>
  <si>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</si>
  <si>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</si>
  <si>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</si>
  <si>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</si>
  <si>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</si>
  <si>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</si>
  <si>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</si>
  <si>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</si>
  <si>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</si>
  <si>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</si>
  <si>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</si>
  <si>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</si>
  <si>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</si>
  <si>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</si>
  <si>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</si>
  <si>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</si>
  <si>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</si>
  <si>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</si>
  <si>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</si>
  <si>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</si>
  <si>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</si>
  <si>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</si>
  <si>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</si>
  <si>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</si>
  <si>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</si>
  <si>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</si>
  <si>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</si>
  <si>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</si>
  <si>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</si>
  <si>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</si>
  <si>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</si>
  <si>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</si>
  <si>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</si>
  <si>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</si>
  <si>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</si>
  <si>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</si>
  <si>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</si>
  <si>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</si>
  <si>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</si>
  <si>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</si>
  <si>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</si>
  <si>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</si>
  <si>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</si>
  <si>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</si>
  <si>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</si>
  <si>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</si>
  <si>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</si>
  <si>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</si>
  <si>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</si>
  <si>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</si>
  <si>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</si>
  <si>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</si>
  <si>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</si>
  <si>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</si>
  <si>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</si>
  <si>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</si>
  <si>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</si>
  <si>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</si>
  <si>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</si>
  <si>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</si>
  <si>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</si>
  <si>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</si>
  <si>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</si>
  <si>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</si>
  <si>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</si>
  <si>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</si>
  <si>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</si>
  <si>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</si>
  <si>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</si>
  <si>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</si>
  <si>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</si>
  <si>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</si>
  <si>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</si>
  <si>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</si>
  <si>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</si>
  <si>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</si>
  <si>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</si>
  <si>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</si>
  <si>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</si>
  <si>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</si>
  <si>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</si>
  <si>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</si>
  <si>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</si>
  <si>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</si>
  <si>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</si>
  <si>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</si>
  <si>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</si>
  <si>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</si>
  <si>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</si>
  <si>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</si>
  <si>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</si>
  <si>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</si>
  <si>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</si>
  <si>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</si>
  <si>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</si>
  <si>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</si>
  <si>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</si>
  <si>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</si>
  <si>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</si>
  <si>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</si>
  <si>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</si>
  <si>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</si>
  <si>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</si>
  <si>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</si>
  <si>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</si>
  <si>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</si>
  <si>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</si>
  <si>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</si>
  <si>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</si>
  <si>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</si>
  <si>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</si>
  <si>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</si>
  <si>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</si>
  <si>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</si>
  <si>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</si>
  <si>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</si>
  <si>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</si>
  <si>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</si>
  <si>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</si>
  <si>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</si>
  <si>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</si>
  <si>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</si>
  <si>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</si>
  <si>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</si>
  <si>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</si>
  <si>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</si>
  <si>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</si>
  <si>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</si>
  <si>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</si>
  <si>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</si>
  <si>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</si>
  <si>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</si>
  <si>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</si>
  <si>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</si>
  <si>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</si>
  <si>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</si>
  <si>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</si>
  <si>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</si>
  <si>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</si>
  <si>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</si>
  <si>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</si>
  <si>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</si>
  <si>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</si>
  <si>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</si>
  <si>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</si>
  <si>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</si>
  <si>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</si>
  <si>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</si>
  <si>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</si>
  <si>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</si>
  <si>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</si>
  <si>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</si>
  <si>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</si>
  <si>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</si>
  <si>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</si>
  <si>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</si>
  <si>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</si>
  <si>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</si>
  <si>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</si>
  <si>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</si>
  <si>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</si>
  <si>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</si>
  <si>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</si>
  <si>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</si>
  <si>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</si>
  <si>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</si>
  <si>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</si>
  <si>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</si>
  <si>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</si>
  <si>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</si>
  <si>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</si>
  <si>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</si>
  <si>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</si>
  <si>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</si>
  <si>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</si>
  <si>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</si>
  <si>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</si>
  <si>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</si>
  <si>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</si>
  <si>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</si>
  <si>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</si>
  <si>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</si>
  <si>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</si>
  <si>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</si>
  <si>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</si>
  <si>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</si>
  <si>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</si>
  <si>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</si>
  <si>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</si>
  <si>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</si>
  <si>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</si>
  <si>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</si>
  <si>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</si>
  <si>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</si>
  <si>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</si>
  <si>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</si>
  <si>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</si>
  <si>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</si>
  <si>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</si>
  <si>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</si>
  <si>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</si>
  <si>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</si>
  <si>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</si>
  <si>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</si>
  <si>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</si>
  <si>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</si>
  <si>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</si>
  <si>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</si>
  <si>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</si>
  <si>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</si>
  <si>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</si>
  <si>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</si>
  <si>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</si>
  <si>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</si>
  <si>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</si>
  <si>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</si>
  <si>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</si>
  <si>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</si>
  <si>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</si>
  <si>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</si>
  <si>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</si>
  <si>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</si>
  <si>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</si>
  <si>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</si>
  <si>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</si>
  <si>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</si>
  <si>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</si>
  <si>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</si>
  <si>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</si>
  <si>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</si>
  <si>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</si>
  <si>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</si>
  <si>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</si>
  <si>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</si>
  <si>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</si>
  <si>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</si>
  <si>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</si>
  <si>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</si>
  <si>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</si>
  <si>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</si>
  <si>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</si>
  <si>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</si>
  <si>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</si>
  <si>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</si>
  <si>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</si>
  <si>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</si>
  <si>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</si>
  <si>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</si>
  <si>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</si>
  <si>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</si>
  <si>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</si>
  <si>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</si>
  <si>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</si>
  <si>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</si>
  <si>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</si>
  <si>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</si>
  <si>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</si>
  <si>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</si>
  <si>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</si>
  <si>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</si>
  <si>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</si>
  <si>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</si>
  <si>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</si>
  <si>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</si>
  <si>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</si>
  <si>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</si>
  <si>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</si>
  <si>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</si>
  <si>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</si>
  <si>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</si>
  <si>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</si>
  <si>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</si>
  <si>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</si>
  <si>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</si>
  <si>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</si>
  <si>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</si>
  <si>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</si>
  <si>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</si>
  <si>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</si>
  <si>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</si>
  <si>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</si>
  <si>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</si>
  <si>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</si>
  <si>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</si>
  <si>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</si>
  <si>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</si>
  <si>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</si>
  <si>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</si>
  <si>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</si>
  <si>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</si>
  <si>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</si>
  <si>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</si>
  <si>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</si>
  <si>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</si>
  <si>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</si>
  <si>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</si>
  <si>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</si>
  <si>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</si>
  <si>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</si>
  <si>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</si>
  <si>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</si>
  <si>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</si>
  <si>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</si>
  <si>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</si>
  <si>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</si>
  <si>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</si>
  <si>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</si>
  <si>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</si>
  <si>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</si>
  <si>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</si>
  <si>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</si>
  <si>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</si>
  <si>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</si>
  <si>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</si>
  <si>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</si>
  <si>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</si>
  <si>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</si>
  <si>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</si>
  <si>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</si>
  <si>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</si>
  <si>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</si>
  <si>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</si>
  <si>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</si>
  <si>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</si>
  <si>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</si>
  <si>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</si>
  <si>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</si>
  <si>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</si>
  <si>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</si>
  <si>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</si>
  <si>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</si>
  <si>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</si>
  <si>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</si>
  <si>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</si>
  <si>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</si>
  <si>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</si>
  <si>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</si>
  <si>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</si>
  <si>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</si>
  <si>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</si>
  <si>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</si>
  <si>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</si>
  <si>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</si>
  <si>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</si>
  <si>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</si>
  <si>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</si>
  <si>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</si>
  <si>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</si>
  <si>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</si>
  <si>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</si>
  <si>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</si>
  <si>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</si>
  <si>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</si>
  <si>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</si>
  <si>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</si>
  <si>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</si>
  <si>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</si>
  <si>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</si>
  <si>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</si>
  <si>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</si>
  <si>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</si>
  <si>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</si>
  <si>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</si>
  <si>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</si>
  <si>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</si>
  <si>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</si>
  <si>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</si>
  <si>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</si>
  <si>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</si>
  <si>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</si>
  <si>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</si>
  <si>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</si>
  <si>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</si>
  <si>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</si>
  <si>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</si>
  <si>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</si>
  <si>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</si>
  <si>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</si>
  <si>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</si>
  <si>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</si>
  <si>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</si>
  <si>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</si>
  <si>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</si>
  <si>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</si>
  <si>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</si>
  <si>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</si>
  <si>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</si>
  <si>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</si>
  <si>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</si>
  <si>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</si>
  <si>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</si>
  <si>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</si>
  <si>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</si>
  <si>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</si>
  <si>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</si>
  <si>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</si>
  <si>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</si>
  <si>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</si>
  <si>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</si>
  <si>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</si>
  <si>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</si>
  <si>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</si>
  <si>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</si>
  <si>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</si>
  <si>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</si>
  <si>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</si>
  <si>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</si>
  <si>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</si>
  <si>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</si>
  <si>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</si>
  <si>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</si>
  <si>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</si>
  <si>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</si>
  <si>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</si>
  <si>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</si>
  <si>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</si>
  <si>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</si>
  <si>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</si>
  <si>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</si>
  <si>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</si>
  <si>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</si>
  <si>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</si>
  <si>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</si>
  <si>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</si>
  <si>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</si>
  <si>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</si>
  <si>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</si>
  <si>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</si>
  <si>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</si>
  <si>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</si>
  <si>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</si>
  <si>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</si>
  <si>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</si>
  <si>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</si>
  <si>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</si>
  <si>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</si>
  <si>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</si>
  <si>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</si>
  <si>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</si>
  <si>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</si>
  <si>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</si>
  <si>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</si>
  <si>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</si>
  <si>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</si>
  <si>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</si>
  <si>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</si>
  <si>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</si>
  <si>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</si>
  <si>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</si>
  <si>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</si>
  <si>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</si>
  <si>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</si>
  <si>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</si>
  <si>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</si>
  <si>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</si>
  <si>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</si>
  <si>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</si>
  <si>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</si>
  <si>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</si>
  <si>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</si>
  <si>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</si>
  <si>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</si>
  <si>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</si>
  <si>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</si>
  <si>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</si>
  <si>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</si>
  <si>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</si>
  <si>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</si>
  <si>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</si>
  <si>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</si>
  <si>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</si>
  <si>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</si>
  <si>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</si>
  <si>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</si>
  <si>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</si>
  <si>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</si>
  <si>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</si>
  <si>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</si>
  <si>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</si>
  <si>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</si>
  <si>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</si>
  <si>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</si>
  <si>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</si>
  <si>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</si>
  <si>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</si>
  <si>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</si>
  <si>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</si>
  <si>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</si>
  <si>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</si>
  <si>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</si>
  <si>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</si>
  <si>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</si>
  <si>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</si>
  <si>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</si>
  <si>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</si>
  <si>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</si>
  <si>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</si>
  <si>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</si>
  <si>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</si>
  <si>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</si>
  <si>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</si>
  <si>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</si>
  <si>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</si>
  <si>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</si>
  <si>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</si>
  <si>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</si>
  <si>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</si>
  <si>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</si>
  <si>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</si>
  <si>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</si>
  <si>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</si>
  <si>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</si>
  <si>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</si>
  <si>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</si>
  <si>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</si>
  <si>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</si>
  <si>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</si>
  <si>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</si>
  <si>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</si>
  <si>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</si>
  <si>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</si>
  <si>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</si>
  <si>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</si>
  <si>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</si>
  <si>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</si>
  <si>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</si>
  <si>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</si>
  <si>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</si>
  <si>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</si>
  <si>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</si>
  <si>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</si>
  <si>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</si>
  <si>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</si>
  <si>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</si>
  <si>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</si>
  <si>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</si>
  <si>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</si>
  <si>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</si>
  <si>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</si>
  <si>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</si>
  <si>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</si>
  <si>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</si>
  <si>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</si>
  <si>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</si>
  <si>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</si>
  <si>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</si>
  <si>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</si>
  <si>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</si>
  <si>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</si>
  <si>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</si>
  <si>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</si>
  <si>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</si>
  <si>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</si>
  <si>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</si>
  <si>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</si>
  <si>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</si>
  <si>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</si>
  <si>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</si>
  <si>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</si>
  <si>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</si>
  <si>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</si>
  <si>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</si>
  <si>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</si>
  <si>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</si>
  <si>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</si>
  <si>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</si>
  <si>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</si>
  <si>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</si>
  <si>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</si>
  <si>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</si>
  <si>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</si>
  <si>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</si>
  <si>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</si>
  <si>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</si>
  <si>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</si>
  <si>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</si>
  <si>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</si>
  <si>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</si>
  <si>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</si>
  <si>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</si>
  <si>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</si>
  <si>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</si>
  <si>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</si>
  <si>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</si>
  <si>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</si>
  <si>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</si>
  <si>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</si>
  <si>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</si>
  <si>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</si>
  <si>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</si>
  <si>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</si>
  <si>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</si>
  <si>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</si>
  <si>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</si>
  <si>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</si>
  <si>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</si>
  <si>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</si>
  <si>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</si>
  <si>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</si>
  <si>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</si>
  <si>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</si>
  <si>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</si>
  <si>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</si>
  <si>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</si>
  <si>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</si>
  <si>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</si>
  <si>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</si>
  <si>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</si>
  <si>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</si>
  <si>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</si>
  <si>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</si>
  <si>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</si>
  <si>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</si>
  <si>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</si>
  <si>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</si>
  <si>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</si>
  <si>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</si>
  <si>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</si>
  <si>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</si>
  <si>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</si>
  <si>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</si>
  <si>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</si>
  <si>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</si>
  <si>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</si>
  <si>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</si>
  <si>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</si>
  <si>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</si>
  <si>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</si>
  <si>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</si>
  <si>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</si>
  <si>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</si>
  <si>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</si>
  <si>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</si>
  <si>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</si>
  <si>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</si>
  <si>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</si>
  <si>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</si>
  <si>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</si>
  <si>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</si>
  <si>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</si>
  <si>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</si>
  <si>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</si>
  <si>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</si>
  <si>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</si>
  <si>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</si>
  <si>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</si>
  <si>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</si>
  <si>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</si>
  <si>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</si>
  <si>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</si>
  <si>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</si>
  <si>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</si>
  <si>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</si>
  <si>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</si>
  <si>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</si>
  <si>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</si>
  <si>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</si>
  <si>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</si>
  <si>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</si>
  <si>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</si>
  <si>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</si>
  <si>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</si>
  <si>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</si>
  <si>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</si>
  <si>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</si>
  <si>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</si>
  <si>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</si>
  <si>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</si>
  <si>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</si>
  <si>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</si>
  <si>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</si>
  <si>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</si>
  <si>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</si>
  <si>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</si>
  <si>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</si>
  <si>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</si>
  <si>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</si>
  <si>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</si>
  <si>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</si>
  <si>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</si>
  <si>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</si>
  <si>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</si>
  <si>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</si>
  <si>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</si>
  <si>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</si>
  <si>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</si>
  <si>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</si>
  <si>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</si>
  <si>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</si>
  <si>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</si>
  <si>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</si>
  <si>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</si>
  <si>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</si>
  <si>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</si>
  <si>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</si>
  <si>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</si>
  <si>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</si>
  <si>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</si>
  <si>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</si>
  <si>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</si>
  <si>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</si>
  <si>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</si>
  <si>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</si>
  <si>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</si>
  <si>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</si>
  <si>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</si>
  <si>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</si>
  <si>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</si>
  <si>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</si>
  <si>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</si>
  <si>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</si>
  <si>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</si>
  <si>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</si>
  <si>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</si>
  <si>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</si>
  <si>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</si>
  <si>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</si>
  <si>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</si>
  <si>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</si>
  <si>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</si>
  <si>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</si>
  <si>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</si>
  <si>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</si>
  <si>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</si>
  <si>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</si>
  <si>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</si>
  <si>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</si>
  <si>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</si>
  <si>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</si>
  <si>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</si>
  <si>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</si>
  <si>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</si>
  <si>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</si>
  <si>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</si>
  <si>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</si>
  <si>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</si>
  <si>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</si>
  <si>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</si>
  <si>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</si>
  <si>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</si>
  <si>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</si>
  <si>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</si>
  <si>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</si>
  <si>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</si>
  <si>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</si>
  <si>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</si>
  <si>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</si>
  <si>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</si>
  <si>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</si>
  <si>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</si>
  <si>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</si>
  <si>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</si>
  <si>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</si>
  <si>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</si>
  <si>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</si>
  <si>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</si>
  <si>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</si>
  <si>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</si>
  <si>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</si>
  <si>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</si>
  <si>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</si>
  <si>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</si>
  <si>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</si>
  <si>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</si>
  <si>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</si>
  <si>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</si>
  <si>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</si>
  <si>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</si>
  <si>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</si>
  <si>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</si>
  <si>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</si>
  <si>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</si>
  <si>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</si>
  <si>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</si>
  <si>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</si>
  <si>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</si>
  <si>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</si>
  <si>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</si>
  <si>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</si>
  <si>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</si>
  <si>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</si>
  <si>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</si>
  <si>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</si>
  <si>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</si>
  <si>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</si>
  <si>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</si>
  <si>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</si>
  <si>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</si>
  <si>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</si>
  <si>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</si>
  <si>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</si>
  <si>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</si>
  <si>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</si>
  <si>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</si>
  <si>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</si>
  <si>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</si>
  <si>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</si>
  <si>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</si>
  <si>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</si>
  <si>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</si>
  <si>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</si>
  <si>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</si>
  <si>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</si>
  <si>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</si>
  <si>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</si>
  <si>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</si>
  <si>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</si>
  <si>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</si>
  <si>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</si>
  <si>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</si>
  <si>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</si>
  <si>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</si>
  <si>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</si>
  <si>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</si>
  <si>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</si>
  <si>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</si>
  <si>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</si>
  <si>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</si>
  <si>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</si>
  <si>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</si>
  <si>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</si>
  <si>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</si>
  <si>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</si>
  <si>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</si>
  <si>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</si>
  <si>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</si>
  <si>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</si>
  <si>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</si>
  <si>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</si>
  <si>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</si>
  <si>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</si>
  <si>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</si>
  <si>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</si>
  <si>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</si>
  <si>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</si>
  <si>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</si>
  <si>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</si>
  <si>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</si>
  <si>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</si>
  <si>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</si>
  <si>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</si>
  <si>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</si>
  <si>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</si>
  <si>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</si>
  <si>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</si>
  <si>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</si>
  <si>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</si>
  <si>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</si>
  <si>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</si>
  <si>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</si>
  <si>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</si>
  <si>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</si>
  <si>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</si>
  <si>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</si>
  <si>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</si>
  <si>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</si>
  <si>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</si>
  <si>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</si>
  <si>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</si>
  <si>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</si>
  <si>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</si>
  <si>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</si>
  <si>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</si>
  <si>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</si>
  <si>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</si>
  <si>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</si>
  <si>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</si>
  <si>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</si>
  <si>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</si>
  <si>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</si>
  <si>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</si>
  <si>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</si>
  <si>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</si>
  <si>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</si>
  <si>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</si>
  <si>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</si>
  <si>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</si>
  <si>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</si>
  <si>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</si>
  <si>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</si>
  <si>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</si>
  <si>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</si>
  <si>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</si>
  <si>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</si>
  <si>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</si>
  <si>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</si>
  <si>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</si>
  <si>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</si>
  <si>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</si>
  <si>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</si>
  <si>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</si>
  <si>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</si>
  <si>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</si>
  <si>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</si>
  <si>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</si>
  <si>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</si>
  <si>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</si>
  <si>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</si>
  <si>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</si>
  <si>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</si>
  <si>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</si>
  <si>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</si>
  <si>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</si>
  <si>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</si>
  <si>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</si>
  <si>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</si>
  <si>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</si>
  <si>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</si>
  <si>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</si>
  <si>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</si>
  <si>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</si>
  <si>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</si>
  <si>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</si>
  <si>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</si>
  <si>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</si>
  <si>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</si>
  <si>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</si>
  <si>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</si>
  <si>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</si>
  <si>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</si>
  <si>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</si>
  <si>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</si>
  <si>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</si>
  <si>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</si>
  <si>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</si>
  <si>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</si>
  <si>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</si>
  <si>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</si>
  <si>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</si>
  <si>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</si>
  <si>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</si>
  <si>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</si>
  <si>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</si>
  <si>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</si>
  <si>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</si>
  <si>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</si>
  <si>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</si>
  <si>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</si>
  <si>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</si>
  <si>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</si>
  <si>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</si>
  <si>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</si>
  <si>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</si>
  <si>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</si>
  <si>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</si>
  <si>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</si>
  <si>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</si>
  <si>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</si>
  <si>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</si>
  <si>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</si>
  <si>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</si>
  <si>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</si>
  <si>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</si>
  <si>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</si>
  <si>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</si>
  <si>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</si>
  <si>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</si>
  <si>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</si>
  <si>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</si>
  <si>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</si>
  <si>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</si>
  <si>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</si>
  <si>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</si>
  <si>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</si>
  <si>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</si>
  <si>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</si>
  <si>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</si>
  <si>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</si>
  <si>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</si>
  <si>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</si>
  <si>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</si>
  <si>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</si>
  <si>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</si>
  <si>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</si>
  <si>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</si>
  <si>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</si>
  <si>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</si>
  <si>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</si>
  <si>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</si>
  <si>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</si>
  <si>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</si>
  <si>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</si>
  <si>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</si>
  <si>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</si>
  <si>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</si>
  <si>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</si>
  <si>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</si>
  <si>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</si>
  <si>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</si>
  <si>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</si>
  <si>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</si>
  <si>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</si>
  <si>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</si>
  <si>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</si>
  <si>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</si>
  <si>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</si>
  <si>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</si>
  <si>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</si>
  <si>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</si>
  <si>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</si>
  <si>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</si>
  <si>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</si>
  <si>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</si>
  <si>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</si>
  <si>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</si>
  <si>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</si>
  <si>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</si>
  <si>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</si>
  <si>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</si>
  <si>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</si>
  <si>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</si>
  <si>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</si>
  <si>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</si>
  <si>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</si>
  <si>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</si>
  <si>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</si>
  <si>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</si>
  <si>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</si>
  <si>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</si>
  <si>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</si>
  <si>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</si>
  <si>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</si>
  <si>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</si>
  <si>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</si>
  <si>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</si>
  <si>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</si>
  <si>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</si>
  <si>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</si>
  <si>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</si>
  <si>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</si>
  <si>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</si>
  <si>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</si>
  <si>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</si>
  <si>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</si>
  <si>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</si>
  <si>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</si>
  <si>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</si>
  <si>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</si>
  <si>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</si>
  <si>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</si>
  <si>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</si>
  <si>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</si>
  <si>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</si>
  <si>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</si>
  <si>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</si>
  <si>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</si>
  <si>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</si>
  <si>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</si>
  <si>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</si>
  <si>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</si>
  <si>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</si>
  <si>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</si>
  <si>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</si>
  <si>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</si>
  <si>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</si>
  <si>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</si>
  <si>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</si>
  <si>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</si>
  <si>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</si>
  <si>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</si>
  <si>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</si>
  <si>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</si>
  <si>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</si>
  <si>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</si>
  <si>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</si>
  <si>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</si>
  <si>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</si>
  <si>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</si>
  <si>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</si>
  <si>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</si>
  <si>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</si>
  <si>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</si>
  <si>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</si>
  <si>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</si>
  <si>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</si>
  <si>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</si>
  <si>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</si>
  <si>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</si>
  <si>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</si>
  <si>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</si>
  <si>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</si>
  <si>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</si>
  <si>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</si>
  <si>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</si>
  <si>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</si>
  <si>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</si>
  <si>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</si>
  <si>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</si>
  <si>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</si>
  <si>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</si>
  <si>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</si>
  <si>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</si>
  <si>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</si>
  <si>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</si>
  <si>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</si>
  <si>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</si>
  <si>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</si>
  <si>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</si>
  <si>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</si>
  <si>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</si>
  <si>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</si>
  <si>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</si>
  <si>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</si>
  <si>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</si>
  <si>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</si>
  <si>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</si>
  <si>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</si>
  <si>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</si>
  <si>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</si>
  <si>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</si>
  <si>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</si>
  <si>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</si>
  <si>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</si>
  <si>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</si>
  <si>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</si>
  <si>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</si>
  <si>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</si>
  <si>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</si>
  <si>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</si>
  <si>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</si>
  <si>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</si>
  <si>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</si>
  <si>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</si>
  <si>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</si>
  <si>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</si>
  <si>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</si>
  <si>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</si>
  <si>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</si>
  <si>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</si>
  <si>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</si>
  <si>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</si>
  <si>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</si>
  <si>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</si>
  <si>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</si>
  <si>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</si>
  <si>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</si>
  <si>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</si>
  <si>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</si>
  <si>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</si>
  <si>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</si>
  <si>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</si>
  <si>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</si>
  <si>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</si>
  <si>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</si>
  <si>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</si>
  <si>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</si>
  <si>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</si>
  <si>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</si>
  <si>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</si>
  <si>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</si>
  <si>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</si>
  <si>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</si>
  <si>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</si>
  <si>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</si>
  <si>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</si>
  <si>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</si>
  <si>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</si>
  <si>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</si>
  <si>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</si>
  <si>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</si>
  <si>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</si>
  <si>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</si>
  <si>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</si>
  <si>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</si>
  <si>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</si>
  <si>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</si>
  <si>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</si>
  <si>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</si>
  <si>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</si>
  <si>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</si>
  <si>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</si>
  <si>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</si>
  <si>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</si>
  <si>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</si>
  <si>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</si>
  <si>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</si>
  <si>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</si>
  <si>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</si>
  <si>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</si>
  <si>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</si>
  <si>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</si>
  <si>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</si>
  <si>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</si>
  <si>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</si>
  <si>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</si>
  <si>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</si>
  <si>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</si>
  <si>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</si>
  <si>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</si>
  <si>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</si>
  <si>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</si>
  <si>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</si>
  <si>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</si>
  <si>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</si>
  <si>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</si>
  <si>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</si>
  <si>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</si>
  <si>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</si>
  <si>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</si>
  <si>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</si>
  <si>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</si>
  <si>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</si>
  <si>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</si>
  <si>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</si>
  <si>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</si>
  <si>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</si>
  <si>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</si>
  <si>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</si>
  <si>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</si>
  <si>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</si>
  <si>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</si>
  <si>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</si>
  <si>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</si>
  <si>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</si>
  <si>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</si>
  <si>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</si>
  <si>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</si>
  <si>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</si>
  <si>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</si>
  <si>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</si>
  <si>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</si>
  <si>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</si>
  <si>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</si>
  <si>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</si>
  <si>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</si>
  <si>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</si>
  <si>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</si>
  <si>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</si>
  <si>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</si>
  <si>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</si>
  <si>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</si>
  <si>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</si>
  <si>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</si>
  <si>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</si>
  <si>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</si>
  <si>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</si>
  <si>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</si>
  <si>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</si>
  <si>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</si>
  <si>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</si>
  <si>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</si>
  <si>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</si>
  <si>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</si>
  <si>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</si>
  <si>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</si>
  <si>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</si>
  <si>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</si>
  <si>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</si>
  <si>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</si>
  <si>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</si>
  <si>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</si>
  <si>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</si>
  <si>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</si>
  <si>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</si>
  <si>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</si>
  <si>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</si>
  <si>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</si>
  <si>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</si>
  <si>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</si>
  <si>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</si>
  <si>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</si>
  <si>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</si>
  <si>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</si>
  <si>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</si>
  <si>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</si>
  <si>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</si>
  <si>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</si>
  <si>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</si>
  <si>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</si>
  <si>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</si>
  <si>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</si>
  <si>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</si>
  <si>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</si>
  <si>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</si>
  <si>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</si>
  <si>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</si>
  <si>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</si>
  <si>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</si>
  <si>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</si>
  <si>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</si>
  <si>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</si>
  <si>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</si>
  <si>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</si>
  <si>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</si>
  <si>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</si>
  <si>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</si>
  <si>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</si>
  <si>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</si>
  <si>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</si>
  <si>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</si>
  <si>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</si>
  <si>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</si>
  <si>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</si>
  <si>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</si>
  <si>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</si>
  <si>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</si>
  <si>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</si>
  <si>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</si>
  <si>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</si>
  <si>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</si>
  <si>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</si>
  <si>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</si>
  <si>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</si>
  <si>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</si>
  <si>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</si>
  <si>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</si>
  <si>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</si>
  <si>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</si>
  <si>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</si>
  <si>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</si>
  <si>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</si>
  <si>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</si>
  <si>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</si>
  <si>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</si>
  <si>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</si>
  <si>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</si>
  <si>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</si>
  <si>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</si>
  <si>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</si>
  <si>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</si>
  <si>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</si>
  <si>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</si>
  <si>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</si>
  <si>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</si>
  <si>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</si>
  <si>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</si>
  <si>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</si>
  <si>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</si>
  <si>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</si>
  <si>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</si>
  <si>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</si>
  <si>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</si>
  <si>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</si>
  <si>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</si>
  <si>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</si>
  <si>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</si>
  <si>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</si>
  <si>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</si>
  <si>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</si>
  <si>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</si>
  <si>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</si>
  <si>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</si>
  <si>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</si>
  <si>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</si>
  <si>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</si>
  <si>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</si>
  <si>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</si>
  <si>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</si>
  <si>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</si>
  <si>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</si>
  <si>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</si>
  <si>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</si>
  <si>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</si>
  <si>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</si>
  <si>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</si>
  <si>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</si>
  <si>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</si>
  <si>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</si>
  <si>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</si>
  <si>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</si>
  <si>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</si>
  <si>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</si>
  <si>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</si>
  <si>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</si>
  <si>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</si>
  <si>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</si>
  <si>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</si>
  <si>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</si>
  <si>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</si>
  <si>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</si>
  <si>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</si>
  <si>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</si>
  <si>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</si>
  <si>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</si>
  <si>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</si>
  <si>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</si>
  <si>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</si>
  <si>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</si>
  <si>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</si>
  <si>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</si>
  <si>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</si>
  <si>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</si>
  <si>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</si>
  <si>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</si>
  <si>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</si>
  <si>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</si>
  <si>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</si>
  <si>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</si>
  <si>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</si>
  <si>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</si>
  <si>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</si>
  <si>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</si>
  <si>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</si>
  <si>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</si>
  <si>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</si>
  <si>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</si>
  <si>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</si>
  <si>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</si>
  <si>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</si>
  <si>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</si>
  <si>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</si>
  <si>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</si>
  <si>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</si>
  <si>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</si>
  <si>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</si>
  <si>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</si>
  <si>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</si>
  <si>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</si>
  <si>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</si>
  <si>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</si>
  <si>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</si>
  <si>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</si>
  <si>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</si>
  <si>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</si>
  <si>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</si>
  <si>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</si>
  <si>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</si>
  <si>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</si>
  <si>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</si>
  <si>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</si>
  <si>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</si>
  <si>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</si>
  <si>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</si>
  <si>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</si>
  <si>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</si>
  <si>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</si>
  <si>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</si>
  <si>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</si>
  <si>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</si>
  <si>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</si>
  <si>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</si>
  <si>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</si>
  <si>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</si>
  <si>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</si>
  <si>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</si>
  <si>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</si>
  <si>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</si>
  <si>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</si>
  <si>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</si>
  <si>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</si>
  <si>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</si>
  <si>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</si>
  <si>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</si>
  <si>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</si>
  <si>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</si>
  <si>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</si>
  <si>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</si>
  <si>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</si>
  <si>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</si>
  <si>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</si>
  <si>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</si>
  <si>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</si>
  <si>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</si>
  <si>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</si>
  <si>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</si>
  <si>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</si>
  <si>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</si>
  <si>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</si>
  <si>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</si>
  <si>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</si>
  <si>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</si>
  <si>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</si>
  <si>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</si>
  <si>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</si>
  <si>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</si>
  <si>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</si>
  <si>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</si>
  <si>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</si>
  <si>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</si>
  <si>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</si>
  <si>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</si>
  <si>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</si>
  <si>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</si>
  <si>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</si>
  <si>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</si>
  <si>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</si>
  <si>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</si>
  <si>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</si>
  <si>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</si>
  <si>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</si>
  <si>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</si>
  <si>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</si>
  <si>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</si>
  <si>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</si>
  <si>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</si>
  <si>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</si>
  <si>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</si>
  <si>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</si>
  <si>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</si>
  <si>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</si>
  <si>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</si>
  <si>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</si>
  <si>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</si>
  <si>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</si>
  <si>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</si>
  <si>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</si>
  <si>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</si>
  <si>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</si>
  <si>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</si>
  <si>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</si>
  <si>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</si>
  <si>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</si>
  <si>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</si>
  <si>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</si>
  <si>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</si>
  <si>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</si>
  <si>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</si>
  <si>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</si>
  <si>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</si>
  <si>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</si>
  <si>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</si>
  <si>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</si>
  <si>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</si>
  <si>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</si>
  <si>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</si>
  <si>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</si>
  <si>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</si>
  <si>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</si>
  <si>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</si>
  <si>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</si>
  <si>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</si>
  <si>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</si>
  <si>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</si>
  <si>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</si>
  <si>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</si>
  <si>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</si>
  <si>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</si>
  <si>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</si>
  <si>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</si>
  <si>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</si>
  <si>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</si>
  <si>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</si>
  <si>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</si>
  <si>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</si>
  <si>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</si>
  <si>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</si>
  <si>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</si>
  <si>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</si>
  <si>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</si>
  <si>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</si>
  <si>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</si>
  <si>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</si>
  <si>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</si>
  <si>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</si>
  <si>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</si>
  <si>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</si>
  <si>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</si>
  <si>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</si>
  <si>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</si>
  <si>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</si>
  <si>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</si>
  <si>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</si>
  <si>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</si>
  <si>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</si>
  <si>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</si>
  <si>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</si>
  <si>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</si>
  <si>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</si>
  <si>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</si>
  <si>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</si>
  <si>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</si>
  <si>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</si>
  <si>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</si>
  <si>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</si>
  <si>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</si>
  <si>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</si>
  <si>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</si>
  <si>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</si>
  <si>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</si>
  <si>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</si>
  <si>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</si>
  <si>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</si>
  <si>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</si>
  <si>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</si>
  <si>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</si>
  <si>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</si>
  <si>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</si>
  <si>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</si>
  <si>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</si>
  <si>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</si>
  <si>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</si>
  <si>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</si>
  <si>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</si>
  <si>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</si>
  <si>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</si>
  <si>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</si>
  <si>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</si>
  <si>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</si>
  <si>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</si>
  <si>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</si>
  <si>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</si>
  <si>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</si>
  <si>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</si>
  <si>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</si>
  <si>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</si>
  <si>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</si>
  <si>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</si>
  <si>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</si>
  <si>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</si>
  <si>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</si>
  <si>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</si>
  <si>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</si>
  <si>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</si>
  <si>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</si>
  <si>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</si>
  <si>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</si>
  <si>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</si>
  <si>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</si>
  <si>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</si>
  <si>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</si>
  <si>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</si>
  <si>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</si>
  <si>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</si>
  <si>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</si>
  <si>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</si>
  <si>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</si>
  <si>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</si>
  <si>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</si>
  <si>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</si>
  <si>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</si>
  <si>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</si>
  <si>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</si>
  <si>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</si>
  <si>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</si>
  <si>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</si>
  <si>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</si>
  <si>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</si>
  <si>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</si>
  <si>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</si>
  <si>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</si>
  <si>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</si>
  <si>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</si>
  <si>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</si>
  <si>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</si>
  <si>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</si>
  <si>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</si>
  <si>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</si>
  <si>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</si>
  <si>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</si>
  <si>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</si>
  <si>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</si>
  <si>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</si>
  <si>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</si>
  <si>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</si>
  <si>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</si>
  <si>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</si>
  <si>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</si>
  <si>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</si>
  <si>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</si>
  <si>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</si>
  <si>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</si>
  <si>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</si>
  <si>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</si>
  <si>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</si>
  <si>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</si>
  <si>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</si>
  <si>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</si>
  <si>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</si>
  <si>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</si>
  <si>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</si>
  <si>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</si>
  <si>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</si>
  <si>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</si>
  <si>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</si>
  <si>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</si>
  <si>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</si>
  <si>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</si>
  <si>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</si>
  <si>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</si>
  <si>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</si>
  <si>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</si>
  <si>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</si>
  <si>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</si>
  <si>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</si>
  <si>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</si>
  <si>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</si>
  <si>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</si>
  <si>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</si>
  <si>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</si>
  <si>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</si>
  <si>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</si>
  <si>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</si>
  <si>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</si>
  <si>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</si>
  <si>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</si>
  <si>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</si>
  <si>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</si>
  <si>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</si>
  <si>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</si>
  <si>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</si>
  <si>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</si>
  <si>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</si>
  <si>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</si>
  <si>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</si>
  <si>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</si>
  <si>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</si>
  <si>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</si>
  <si>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</si>
  <si>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</si>
  <si>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</si>
  <si>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</si>
  <si>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</si>
  <si>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</si>
  <si>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</si>
  <si>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</si>
  <si>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</si>
  <si>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</si>
  <si>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</si>
  <si>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</si>
  <si>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</si>
  <si>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</si>
  <si>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</si>
  <si>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</si>
  <si>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</si>
  <si>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</si>
  <si>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</si>
  <si>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</si>
  <si>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</si>
  <si>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</si>
  <si>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</si>
  <si>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</si>
  <si>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</si>
  <si>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</si>
  <si>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</si>
  <si>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</si>
  <si>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</si>
  <si>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</si>
  <si>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</si>
  <si>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</si>
  <si>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</si>
  <si>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</si>
  <si>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</si>
  <si>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</si>
  <si>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</si>
  <si>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</si>
  <si>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</si>
  <si>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</si>
  <si>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</si>
  <si>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</si>
  <si>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</si>
  <si>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</si>
  <si>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</si>
  <si>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</si>
  <si>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</si>
  <si>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</si>
  <si>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</si>
  <si>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</si>
  <si>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</si>
  <si>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</si>
  <si>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</si>
  <si>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</si>
  <si>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</si>
  <si>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</si>
  <si>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</si>
  <si>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</si>
  <si>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</si>
  <si>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</si>
  <si>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</si>
  <si>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</si>
  <si>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</si>
  <si>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</si>
  <si>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</si>
  <si>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</si>
  <si>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</si>
  <si>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</si>
  <si>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</si>
  <si>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</si>
  <si>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</si>
  <si>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</si>
  <si>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</si>
  <si>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</si>
  <si>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</si>
  <si>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</si>
  <si>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</si>
  <si>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</si>
  <si>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</si>
  <si>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</si>
  <si>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</si>
  <si>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</si>
  <si>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</si>
  <si>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</si>
  <si>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</si>
  <si>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</si>
  <si>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</si>
  <si>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</si>
  <si>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</si>
  <si>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</si>
  <si>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</si>
  <si>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</si>
  <si>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</si>
  <si>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</si>
  <si>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</si>
  <si>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</si>
  <si>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</si>
  <si>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</si>
  <si>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</si>
  <si>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</si>
  <si>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</si>
  <si>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</si>
  <si>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</si>
  <si>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</si>
  <si>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</si>
  <si>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</si>
  <si>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</si>
  <si>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</si>
  <si>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</si>
  <si>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</si>
  <si>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</si>
  <si>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</si>
  <si>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</si>
  <si>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</si>
  <si>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</si>
  <si>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</si>
  <si>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</si>
  <si>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</si>
  <si>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</si>
  <si>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</si>
  <si>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</si>
  <si>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</si>
  <si>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</si>
  <si>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</si>
  <si>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</si>
  <si>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</si>
  <si>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</si>
  <si>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</si>
  <si>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</si>
  <si>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</si>
  <si>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</si>
  <si>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</si>
  <si>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</si>
  <si>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</si>
  <si>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</si>
  <si>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</si>
  <si>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</si>
  <si>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</si>
  <si>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</si>
  <si>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</si>
  <si>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</si>
  <si>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</si>
  <si>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</si>
  <si>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</si>
  <si>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</si>
  <si>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</si>
  <si>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</si>
  <si>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</si>
  <si>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</si>
  <si>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</si>
  <si>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</si>
  <si>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</si>
  <si>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</si>
  <si>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</si>
  <si>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</si>
  <si>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</si>
  <si>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</si>
  <si>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</si>
  <si>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</si>
  <si>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</si>
  <si>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</si>
  <si>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</si>
  <si>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</si>
  <si>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</si>
  <si>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</si>
  <si>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</si>
  <si>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</si>
  <si>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</si>
  <si>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</si>
  <si>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</si>
  <si>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</si>
  <si>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</si>
  <si>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</si>
  <si>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</si>
  <si>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</si>
  <si>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</si>
  <si>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</si>
  <si>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</si>
  <si>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</si>
  <si>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</si>
  <si>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</si>
  <si>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</si>
  <si>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</si>
  <si>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</si>
  <si>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</si>
  <si>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</si>
  <si>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</si>
  <si>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</si>
  <si>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</si>
  <si>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</si>
  <si>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</si>
  <si>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</si>
  <si>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</si>
  <si>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</si>
  <si>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</si>
  <si>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</si>
  <si>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</si>
  <si>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</si>
  <si>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</si>
  <si>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</si>
  <si>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</si>
  <si>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</si>
  <si>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</si>
  <si>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</si>
  <si>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</si>
  <si>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</si>
  <si>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</si>
  <si>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</si>
  <si>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</si>
  <si>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</si>
  <si>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</si>
  <si>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</si>
  <si>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</si>
  <si>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</si>
  <si>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</si>
  <si>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</si>
  <si>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</si>
  <si>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</si>
  <si>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</si>
  <si>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</si>
  <si>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</si>
  <si>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</si>
  <si>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</si>
  <si>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</si>
  <si>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</si>
  <si>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</si>
  <si>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</si>
  <si>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</si>
  <si>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</si>
  <si>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</si>
  <si>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</si>
  <si>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</si>
  <si>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</si>
  <si>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</si>
  <si>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</si>
  <si>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</si>
  <si>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</si>
  <si>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</si>
  <si>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</si>
  <si>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</si>
  <si>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</si>
  <si>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</si>
  <si>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</si>
  <si>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</si>
  <si>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</si>
  <si>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</si>
  <si>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</si>
  <si>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</si>
  <si>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</si>
  <si>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</si>
  <si>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</si>
  <si>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</si>
  <si>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</si>
  <si>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</si>
  <si>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</si>
  <si>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</si>
  <si>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</si>
  <si>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</si>
  <si>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</si>
  <si>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</si>
  <si>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</si>
  <si>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</si>
  <si>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</si>
  <si>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</si>
  <si>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</si>
  <si>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</si>
  <si>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</si>
  <si>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</si>
  <si>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</si>
  <si>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</si>
  <si>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</si>
  <si>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</si>
  <si>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</si>
  <si>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</si>
  <si>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</si>
  <si>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</si>
  <si>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</si>
  <si>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</si>
  <si>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</si>
  <si>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</si>
  <si>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</si>
  <si>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</si>
  <si>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</si>
  <si>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</si>
  <si>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</si>
  <si>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</si>
  <si>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</si>
  <si>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</si>
  <si>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</si>
  <si>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</si>
  <si>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</si>
  <si>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</si>
  <si>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</si>
  <si>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</si>
  <si>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</si>
  <si>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</si>
  <si>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</si>
  <si>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</si>
  <si>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</si>
  <si>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</si>
  <si>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</si>
  <si>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</si>
  <si>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</si>
  <si>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</si>
  <si>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</si>
  <si>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</si>
  <si>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</si>
  <si>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</si>
  <si>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</si>
  <si>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</si>
  <si>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</si>
  <si>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</si>
  <si>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</si>
  <si>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</si>
  <si>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</si>
  <si>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</si>
  <si>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</si>
  <si>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</si>
  <si>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</si>
  <si>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</si>
  <si>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</si>
  <si>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</si>
  <si>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</si>
  <si>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</si>
  <si>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</si>
  <si>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</si>
  <si>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</si>
  <si>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</si>
  <si>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</si>
  <si>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</si>
  <si>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</si>
  <si>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</si>
  <si>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</si>
  <si>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</si>
  <si>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</si>
  <si>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</si>
  <si>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</si>
  <si>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</si>
  <si>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</si>
  <si>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</si>
  <si>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</si>
  <si>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</si>
  <si>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</si>
  <si>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</si>
  <si>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</si>
  <si>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</si>
  <si>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</si>
  <si>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</si>
  <si>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</si>
  <si>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</si>
  <si>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</si>
  <si>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</si>
  <si>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</si>
  <si>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</si>
  <si>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</si>
  <si>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</si>
  <si>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</si>
  <si>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</si>
  <si>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</si>
  <si>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</si>
  <si>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</si>
  <si>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</si>
  <si>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</si>
  <si>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</si>
  <si>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</si>
  <si>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</si>
  <si>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</si>
  <si>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</si>
  <si>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</si>
  <si>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</si>
  <si>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</si>
  <si>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</si>
  <si>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</si>
  <si>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</si>
  <si>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</si>
  <si>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</si>
  <si>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</si>
  <si>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</si>
  <si>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</si>
  <si>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</si>
  <si>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</si>
  <si>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</si>
  <si>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</si>
  <si>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</si>
  <si>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</si>
  <si>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</si>
  <si>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</si>
  <si>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</si>
  <si>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</si>
  <si>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</si>
  <si>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</si>
  <si>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</si>
  <si>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</si>
  <si>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</si>
  <si>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</si>
  <si>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</si>
  <si>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</si>
  <si>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</si>
  <si>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</si>
  <si>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</si>
  <si>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</si>
  <si>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</si>
  <si>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</si>
  <si>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</si>
  <si>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</si>
  <si>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</si>
  <si>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</si>
  <si>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</si>
  <si>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</si>
  <si>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</si>
  <si>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</si>
  <si>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</si>
  <si>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</si>
  <si>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</si>
  <si>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</si>
  <si>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</si>
  <si>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</si>
  <si>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</si>
  <si>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</si>
  <si>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</si>
  <si>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</si>
  <si>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</si>
  <si>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</si>
  <si>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</si>
  <si>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</si>
  <si>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</si>
  <si>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</si>
  <si>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</si>
  <si>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</si>
  <si>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</si>
  <si>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</si>
  <si>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</si>
  <si>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</si>
  <si>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</si>
  <si>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</si>
  <si>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</si>
  <si>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</si>
  <si>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</si>
  <si>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</si>
  <si>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</si>
  <si>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</si>
  <si>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</si>
  <si>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</si>
  <si>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</si>
  <si>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</si>
  <si>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</si>
  <si>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</si>
  <si>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</si>
  <si>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</si>
  <si>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</si>
  <si>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</si>
  <si>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</si>
  <si>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</si>
  <si>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</si>
  <si>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</si>
  <si>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</si>
  <si>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</si>
  <si>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</si>
  <si>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</si>
  <si>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</si>
  <si>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</si>
  <si>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</si>
  <si>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</si>
  <si>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</si>
  <si>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</si>
  <si>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</si>
  <si>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</si>
  <si>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</si>
  <si>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</si>
  <si>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</si>
  <si>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</si>
  <si>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</si>
  <si>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</si>
  <si>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</si>
  <si>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</si>
  <si>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</si>
  <si>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</si>
  <si>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</si>
  <si>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</si>
  <si>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</si>
  <si>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</si>
  <si>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</si>
  <si>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</si>
  <si>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</si>
  <si>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</si>
  <si>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</si>
  <si>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</si>
  <si>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</si>
  <si>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</si>
  <si>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</si>
  <si>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</si>
  <si>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</si>
  <si>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</si>
  <si>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</si>
  <si>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</si>
  <si>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</si>
  <si>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</si>
  <si>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</si>
  <si>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</si>
  <si>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</si>
  <si>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</si>
  <si>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</si>
  <si>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</si>
  <si>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</si>
  <si>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</si>
  <si>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</si>
  <si>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</si>
  <si>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</si>
  <si>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</si>
  <si>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</si>
  <si>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</si>
  <si>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</si>
  <si>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</si>
  <si>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</si>
  <si>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</si>
  <si>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</si>
  <si>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</si>
  <si>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</si>
  <si>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</si>
  <si>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</si>
  <si>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</si>
  <si>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</si>
  <si>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</si>
  <si>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</si>
  <si>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</si>
  <si>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</si>
  <si>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</si>
  <si>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</si>
  <si>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</si>
  <si>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</si>
  <si>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</si>
  <si>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</si>
  <si>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</si>
  <si>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</si>
  <si>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</si>
  <si>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</si>
  <si>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</si>
  <si>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</si>
  <si>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</si>
  <si>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</si>
  <si>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</si>
  <si>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</si>
  <si>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</si>
  <si>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</si>
  <si>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</si>
  <si>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</si>
  <si>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</si>
  <si>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</si>
  <si>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</si>
  <si>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</si>
  <si>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</si>
  <si>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</si>
  <si>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</si>
  <si>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</si>
  <si>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</si>
  <si>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</si>
  <si>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</si>
  <si>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</si>
  <si>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</si>
  <si>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</si>
  <si>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</si>
  <si>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</si>
  <si>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</si>
  <si>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</si>
  <si>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</si>
  <si>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</si>
  <si>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</si>
  <si>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</si>
  <si>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</si>
  <si>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</si>
  <si>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</si>
  <si>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</si>
  <si>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</si>
  <si>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</si>
  <si>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</si>
  <si>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</si>
  <si>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</si>
  <si>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</si>
  <si>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</si>
  <si>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</si>
  <si>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</si>
  <si>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</si>
  <si>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</si>
  <si>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</si>
  <si>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</si>
  <si>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</si>
  <si>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</si>
  <si>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</si>
  <si>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</si>
  <si>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</si>
  <si>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</si>
  <si>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</si>
  <si>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</si>
  <si>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</si>
  <si>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</si>
  <si>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</si>
  <si>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</si>
  <si>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</si>
  <si>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</si>
  <si>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</si>
  <si>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</si>
  <si>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</si>
  <si>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</si>
  <si>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</si>
  <si>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</si>
  <si>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</si>
  <si>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</si>
  <si>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</si>
  <si>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</si>
  <si>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</si>
  <si>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</si>
  <si>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</si>
  <si>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</si>
  <si>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</si>
  <si>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</si>
  <si>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</si>
  <si>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</si>
  <si>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</si>
  <si>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</si>
  <si>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</si>
  <si>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</si>
  <si>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</si>
  <si>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</si>
  <si>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</si>
  <si>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</si>
  <si>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</si>
  <si>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</si>
  <si>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</si>
  <si>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</si>
  <si>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</si>
  <si>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</si>
  <si>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</si>
  <si>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</si>
  <si>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</si>
  <si>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</si>
  <si>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</si>
  <si>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</si>
  <si>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</si>
  <si>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</si>
  <si>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</si>
  <si>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</si>
  <si>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</si>
  <si>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</si>
  <si>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</si>
  <si>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</si>
  <si>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</si>
  <si>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</si>
  <si>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</si>
  <si>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</si>
  <si>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</si>
  <si>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</si>
  <si>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</si>
  <si>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</si>
  <si>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</si>
  <si>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</si>
  <si>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</si>
  <si>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</si>
  <si>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</si>
  <si>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</si>
  <si>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</si>
  <si>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</si>
  <si>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</si>
  <si>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</si>
  <si>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</si>
  <si>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</si>
  <si>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</si>
  <si>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</si>
  <si>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</si>
  <si>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</si>
  <si>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</si>
  <si>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</si>
  <si>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</si>
  <si>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</si>
  <si>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</si>
  <si>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</si>
  <si>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</si>
  <si>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</si>
  <si>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</si>
  <si>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</si>
  <si>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</si>
  <si>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</si>
  <si>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</si>
  <si>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</si>
  <si>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</si>
  <si>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</si>
  <si>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</si>
  <si>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</si>
  <si>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</si>
  <si>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</si>
  <si>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</si>
  <si>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</si>
  <si>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</si>
  <si>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</si>
  <si>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</si>
  <si>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</si>
  <si>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</si>
  <si>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</si>
  <si>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</si>
  <si>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</si>
  <si>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</si>
  <si>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</si>
  <si>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</si>
  <si>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</si>
  <si>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</si>
  <si>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</si>
  <si>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</si>
  <si>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</si>
  <si>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</si>
  <si>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</si>
  <si>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</si>
  <si>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</si>
  <si>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</si>
  <si>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</si>
  <si>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</si>
  <si>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</si>
  <si>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</si>
  <si>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</si>
  <si>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</si>
  <si>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</si>
  <si>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</si>
  <si>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</si>
  <si>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</si>
  <si>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</si>
  <si>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</si>
  <si>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</si>
  <si>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</si>
  <si>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</si>
  <si>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</si>
  <si>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</si>
  <si>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</si>
  <si>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</si>
  <si>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</si>
  <si>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</si>
  <si>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</si>
  <si>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</si>
  <si>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</si>
  <si>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</si>
  <si>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</si>
  <si>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</si>
  <si>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</si>
  <si>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</si>
  <si>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</si>
  <si>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</si>
  <si>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</si>
  <si>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</si>
  <si>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</si>
  <si>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</si>
  <si>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</si>
  <si>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</si>
  <si>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</si>
  <si>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</si>
  <si>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</si>
  <si>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</si>
  <si>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</si>
  <si>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</si>
  <si>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</si>
  <si>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</si>
  <si>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</si>
  <si>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</si>
  <si>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</si>
  <si>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</si>
  <si>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</si>
  <si>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</si>
  <si>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</si>
  <si>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</si>
  <si>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</si>
  <si>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</si>
  <si>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</si>
  <si>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</si>
  <si>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</si>
  <si>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</si>
  <si>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</si>
  <si>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</si>
  <si>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</si>
  <si>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</si>
  <si>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</si>
  <si>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</si>
  <si>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</si>
  <si>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</si>
  <si>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</si>
  <si>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</si>
  <si>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</si>
  <si>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</si>
  <si>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</si>
  <si>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</si>
  <si>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</si>
  <si>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</si>
  <si>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</si>
  <si>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</si>
  <si>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</si>
  <si>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</si>
  <si>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</si>
  <si>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</si>
  <si>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</si>
  <si>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</si>
  <si>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</si>
  <si>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</si>
  <si>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</si>
  <si>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</si>
  <si>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</si>
  <si>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</si>
  <si>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</si>
  <si>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</si>
  <si>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</si>
  <si>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</si>
  <si>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</si>
  <si>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</si>
  <si>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</si>
  <si>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</si>
  <si>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</si>
  <si>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</si>
  <si>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</si>
  <si>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</si>
  <si>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</si>
  <si>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</si>
  <si>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</si>
  <si>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</si>
  <si>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</si>
  <si>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</si>
  <si>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</si>
  <si>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</si>
  <si>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</si>
  <si>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</si>
  <si>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</si>
  <si>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</si>
  <si>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</si>
  <si>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</si>
  <si>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</si>
  <si>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</si>
  <si>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</si>
  <si>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</si>
  <si>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</si>
  <si>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</si>
  <si>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</si>
  <si>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</si>
  <si>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</si>
  <si>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</si>
  <si>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</si>
  <si>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</si>
  <si>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</si>
  <si>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</si>
  <si>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</si>
  <si>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</si>
  <si>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</si>
  <si>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</si>
  <si>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</si>
  <si>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</si>
  <si>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</si>
  <si>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</si>
  <si>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</si>
  <si>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</si>
  <si>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</si>
  <si>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</si>
  <si>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</si>
  <si>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</si>
  <si>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</si>
  <si>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</si>
  <si>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</si>
  <si>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</si>
  <si>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</si>
  <si>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</si>
  <si>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</si>
  <si>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</si>
  <si>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</si>
  <si>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</si>
  <si>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</si>
  <si>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</si>
  <si>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</si>
  <si>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</si>
  <si>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</si>
  <si>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</si>
  <si>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</si>
  <si>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</si>
  <si>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</si>
  <si>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</si>
  <si>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</si>
  <si>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</si>
  <si>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</si>
  <si>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</si>
  <si>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</si>
  <si>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</si>
  <si>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</si>
  <si>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</si>
  <si>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</si>
  <si>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</si>
  <si>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</si>
  <si>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</si>
  <si>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</si>
  <si>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</si>
  <si>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</si>
  <si>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</si>
  <si>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</si>
  <si>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</si>
  <si>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</si>
  <si>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</si>
  <si>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</si>
  <si>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</si>
  <si>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</si>
  <si>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</si>
  <si>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</si>
  <si>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</si>
  <si>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</si>
  <si>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</si>
  <si>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</si>
  <si>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</si>
  <si>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</si>
  <si>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</si>
  <si>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</si>
  <si>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</si>
  <si>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</si>
  <si>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</si>
  <si>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</si>
  <si>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</si>
  <si>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</si>
  <si>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</si>
  <si>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</si>
  <si>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</si>
  <si>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</si>
  <si>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</si>
  <si>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</si>
  <si>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</si>
  <si>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</si>
  <si>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</si>
  <si>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</si>
  <si>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</si>
  <si>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</si>
  <si>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</si>
  <si>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</si>
  <si>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</si>
  <si>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</si>
  <si>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</si>
  <si>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</si>
  <si>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</si>
  <si>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</si>
  <si>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</si>
  <si>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</si>
  <si>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</si>
  <si>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</si>
  <si>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</si>
  <si>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</si>
  <si>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</si>
  <si>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</si>
  <si>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</si>
  <si>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</si>
  <si>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</si>
  <si>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</si>
  <si>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</si>
  <si>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</si>
  <si>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</si>
  <si>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</si>
  <si>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</si>
  <si>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</si>
  <si>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</si>
  <si>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</si>
  <si>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</si>
  <si>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</si>
  <si>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</si>
  <si>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</si>
  <si>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</si>
  <si>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</si>
  <si>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</si>
  <si>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</si>
  <si>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</si>
  <si>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</si>
  <si>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</si>
  <si>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</si>
  <si>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</si>
  <si>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</si>
  <si>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</si>
  <si>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</si>
  <si>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</si>
  <si>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</si>
  <si>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</si>
  <si>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</si>
  <si>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</si>
  <si>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</si>
  <si>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</si>
  <si>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</si>
  <si>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</si>
  <si>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</si>
  <si>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</si>
  <si>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</si>
  <si>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</si>
  <si>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</si>
  <si>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</si>
  <si>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</si>
  <si>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</si>
  <si>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</si>
  <si>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</si>
  <si>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</si>
  <si>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</si>
  <si>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</si>
  <si>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</si>
  <si>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</si>
  <si>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</si>
  <si>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</si>
  <si>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</si>
  <si>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</si>
  <si>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</si>
  <si>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</si>
  <si>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</si>
  <si>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</si>
  <si>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</si>
  <si>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</si>
  <si>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</si>
  <si>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</si>
  <si>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</si>
  <si>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</si>
  <si>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</si>
  <si>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</si>
  <si>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</si>
  <si>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</si>
  <si>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</si>
  <si>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</si>
  <si>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</si>
  <si>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</si>
  <si>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</si>
  <si>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</si>
  <si>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</si>
  <si>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</si>
  <si>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</si>
  <si>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</si>
  <si>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</si>
  <si>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</si>
  <si>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</si>
  <si>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</si>
  <si>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</si>
  <si>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</si>
  <si>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</si>
  <si>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</si>
  <si>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</si>
  <si>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</si>
  <si>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</si>
  <si>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</si>
  <si>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</si>
  <si>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</si>
  <si>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</si>
  <si>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</si>
  <si>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</si>
  <si>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</si>
  <si>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</si>
  <si>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</si>
  <si>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</si>
  <si>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</si>
  <si>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</si>
  <si>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</si>
  <si>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</si>
  <si>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</si>
  <si>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</si>
  <si>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</si>
  <si>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</si>
  <si>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</si>
  <si>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</si>
  <si>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</si>
  <si>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</si>
  <si>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</si>
  <si>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</si>
  <si>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</si>
  <si>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</si>
  <si>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</si>
  <si>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</si>
  <si>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</si>
  <si>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</si>
  <si>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</si>
  <si>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</si>
  <si>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</si>
  <si>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</si>
  <si>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</si>
  <si>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</si>
  <si>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</si>
  <si>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</si>
  <si>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</si>
  <si>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</si>
  <si>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</si>
  <si>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</si>
  <si>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</si>
  <si>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</si>
  <si>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</si>
  <si>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</si>
  <si>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</si>
  <si>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</si>
  <si>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</si>
  <si>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</si>
  <si>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</si>
  <si>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</si>
  <si>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</si>
  <si>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</si>
  <si>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</si>
  <si>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</si>
  <si>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</si>
  <si>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</si>
  <si>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</si>
  <si>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</si>
  <si>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</si>
  <si>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</si>
  <si>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</si>
  <si>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</si>
  <si>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</si>
  <si>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</si>
  <si>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</si>
  <si>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</si>
  <si>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</si>
  <si>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</si>
  <si>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</si>
  <si>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</si>
  <si>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</si>
  <si>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</si>
  <si>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</si>
  <si>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</si>
  <si>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</si>
  <si>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</si>
  <si>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</si>
  <si>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</si>
  <si>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</si>
  <si>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</si>
  <si>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</si>
  <si>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</si>
  <si>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</si>
  <si>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</si>
  <si>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</si>
  <si>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</si>
  <si>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</si>
  <si>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</si>
  <si>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</si>
  <si>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</si>
  <si>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</si>
  <si>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</si>
  <si>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</si>
  <si>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</si>
  <si>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</si>
  <si>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</si>
  <si>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</si>
  <si>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</si>
  <si>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</si>
  <si>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</si>
  <si>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</si>
  <si>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</si>
  <si>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</si>
  <si>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</si>
  <si>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</si>
  <si>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</si>
  <si>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</si>
  <si>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</si>
  <si>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</si>
  <si>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</si>
  <si>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</si>
  <si>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</si>
  <si>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</si>
  <si>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</si>
  <si>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</si>
  <si>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</si>
  <si>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</si>
  <si>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</si>
  <si>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</si>
  <si>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</si>
  <si>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</si>
  <si>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</si>
  <si>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</si>
  <si>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</si>
  <si>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</si>
  <si>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</si>
  <si>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</si>
  <si>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</si>
  <si>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</si>
  <si>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</si>
  <si>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</si>
  <si>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</si>
  <si>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</si>
  <si>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</si>
  <si>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</si>
  <si>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</si>
  <si>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</si>
  <si>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</si>
  <si>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</si>
  <si>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</si>
  <si>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</si>
  <si>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</si>
  <si>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</si>
  <si>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</si>
  <si>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</si>
  <si>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</si>
  <si>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</si>
  <si>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</si>
  <si>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</si>
  <si>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</si>
  <si>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</si>
  <si>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</si>
  <si>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</si>
  <si>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</si>
  <si>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</si>
  <si>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</si>
  <si>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</si>
  <si>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</si>
  <si>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</si>
  <si>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</si>
  <si>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</si>
  <si>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</si>
  <si>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</si>
  <si>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</si>
  <si>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</si>
  <si>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</si>
  <si>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</si>
  <si>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</si>
  <si>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</si>
  <si>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</si>
  <si>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</si>
  <si>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</si>
  <si>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</si>
  <si>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</si>
  <si>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</si>
  <si>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</si>
  <si>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</si>
  <si>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</si>
  <si>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</si>
  <si>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</si>
  <si>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</si>
  <si>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</si>
  <si>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</si>
  <si>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</si>
  <si>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</si>
  <si>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</si>
  <si>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</si>
  <si>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</si>
  <si>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</si>
  <si>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</si>
  <si>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</si>
  <si>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</si>
  <si>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</si>
  <si>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</si>
  <si>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</si>
  <si>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</si>
  <si>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</si>
  <si>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</si>
  <si>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</si>
  <si>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</si>
  <si>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</si>
  <si>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</si>
  <si>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</si>
  <si>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</si>
  <si>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</si>
  <si>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</si>
  <si>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</si>
  <si>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</si>
  <si>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</si>
  <si>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</si>
  <si>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</si>
  <si>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</si>
  <si>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</si>
  <si>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</si>
  <si>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</si>
  <si>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</si>
  <si>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</si>
  <si>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</si>
  <si>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</si>
  <si>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</si>
  <si>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</si>
  <si>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</si>
  <si>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</si>
  <si>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</si>
  <si>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</si>
  <si>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</si>
  <si>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</si>
  <si>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</si>
  <si>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</si>
  <si>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</si>
  <si>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</si>
  <si>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</si>
  <si>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</si>
  <si>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</si>
  <si>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</si>
  <si>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</si>
  <si>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</si>
  <si>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</si>
  <si>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</si>
  <si>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</si>
  <si>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</si>
  <si>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</si>
  <si>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</si>
  <si>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</si>
  <si>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</si>
  <si>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</si>
  <si>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</si>
  <si>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</si>
  <si>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</si>
  <si>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</si>
  <si>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</si>
  <si>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</si>
  <si>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</si>
  <si>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</si>
  <si>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</si>
  <si>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</si>
  <si>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</si>
  <si>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</si>
  <si>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</si>
  <si>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</si>
  <si>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</si>
  <si>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</si>
  <si>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</si>
  <si>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</si>
  <si>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</si>
  <si>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</si>
  <si>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</si>
  <si>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</si>
  <si>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</si>
  <si>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</si>
  <si>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</si>
  <si>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</si>
  <si>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</si>
  <si>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</si>
  <si>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</si>
  <si>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</si>
  <si>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</si>
  <si>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</si>
  <si>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</si>
  <si>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</si>
  <si>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</si>
  <si>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</si>
  <si>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</si>
  <si>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</si>
  <si>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</si>
  <si>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</si>
  <si>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</si>
  <si>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</si>
  <si>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</si>
  <si>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</si>
  <si>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</si>
  <si>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</si>
  <si>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</si>
  <si>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</si>
  <si>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</si>
  <si>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</si>
  <si>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</si>
  <si>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</si>
  <si>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</si>
  <si>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</si>
  <si>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</si>
  <si>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</si>
  <si>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</si>
  <si>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</si>
  <si>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</si>
  <si>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</si>
  <si>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</si>
  <si>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</si>
  <si>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</si>
  <si>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</si>
  <si>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</si>
  <si>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</si>
  <si>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</si>
  <si>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</si>
  <si>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</si>
  <si>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</si>
  <si>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</si>
  <si>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</si>
  <si>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</si>
  <si>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</si>
  <si>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</si>
  <si>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</si>
  <si>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</si>
  <si>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</si>
  <si>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</si>
  <si>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</si>
  <si>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</si>
  <si>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</si>
  <si>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</si>
  <si>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</si>
  <si>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</si>
  <si>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</si>
  <si>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</si>
  <si>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</si>
  <si>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</si>
  <si>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</si>
  <si>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</si>
  <si>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</si>
  <si>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</si>
  <si>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</si>
  <si>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</si>
  <si>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</si>
  <si>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</si>
  <si>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</si>
  <si>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</si>
  <si>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</si>
  <si>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</si>
  <si>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</si>
  <si>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</si>
  <si>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</si>
  <si>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</si>
  <si>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</si>
  <si>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</si>
  <si>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</si>
  <si>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</si>
  <si>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</si>
  <si>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</si>
  <si>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</si>
  <si>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</si>
  <si>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</si>
  <si>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</si>
  <si>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</si>
  <si>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</si>
  <si>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</si>
  <si>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</si>
  <si>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</si>
  <si>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</si>
  <si>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</si>
  <si>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</si>
  <si>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</si>
  <si>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</si>
  <si>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</si>
  <si>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</si>
  <si>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</si>
  <si>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</si>
  <si>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</si>
  <si>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</si>
  <si>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</si>
  <si>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</si>
  <si>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</si>
  <si>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</si>
  <si>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</si>
  <si>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</si>
  <si>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</si>
  <si>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</si>
  <si>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</si>
  <si>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</si>
  <si>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</si>
  <si>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</si>
  <si>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</si>
  <si>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</si>
  <si>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</si>
  <si>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</si>
  <si>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</si>
  <si>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</si>
  <si>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</si>
  <si>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</si>
  <si>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</si>
  <si>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</si>
  <si>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</si>
  <si>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</si>
  <si>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</si>
  <si>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</si>
  <si>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</si>
  <si>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</si>
  <si>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</si>
  <si>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</si>
  <si>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</si>
  <si>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</si>
  <si>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</si>
  <si>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</si>
  <si>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</si>
  <si>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</si>
  <si>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</si>
  <si>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</si>
  <si>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</si>
  <si>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</si>
  <si>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</si>
  <si>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</si>
  <si>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</si>
  <si>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</si>
  <si>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</si>
  <si>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</si>
  <si>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</si>
  <si>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</si>
  <si>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</si>
  <si>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</si>
  <si>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</si>
  <si>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</si>
  <si>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</si>
  <si>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</si>
  <si>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</si>
  <si>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</si>
  <si>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</si>
  <si>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</si>
  <si>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</si>
  <si>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</si>
  <si>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</si>
  <si>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</si>
  <si>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</si>
  <si>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</si>
  <si>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</si>
  <si>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</si>
  <si>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</si>
  <si>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</si>
  <si>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</si>
  <si>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</si>
  <si>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</si>
  <si>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</si>
  <si>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</si>
  <si>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</si>
  <si>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</si>
  <si>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</si>
  <si>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</si>
  <si>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</si>
  <si>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</si>
  <si>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</si>
  <si>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</si>
  <si>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</si>
  <si>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</si>
  <si>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</si>
  <si>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</si>
  <si>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</si>
  <si>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</si>
  <si>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</si>
  <si>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</si>
  <si>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</si>
  <si>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</si>
  <si>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</si>
  <si>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</si>
  <si>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</si>
  <si>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</si>
  <si>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</si>
  <si>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</si>
  <si>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</si>
  <si>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</si>
  <si>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</si>
  <si>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</si>
  <si>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</si>
  <si>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</si>
  <si>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</si>
  <si>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</si>
  <si>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</si>
  <si>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</si>
  <si>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</si>
  <si>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</si>
  <si>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</si>
  <si>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</si>
  <si>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</si>
  <si>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</si>
  <si>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</si>
  <si>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</si>
  <si>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</si>
  <si>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</si>
  <si>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</si>
  <si>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</si>
  <si>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</si>
  <si>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</si>
  <si>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</si>
  <si>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</si>
  <si>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</si>
  <si>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</si>
  <si>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</si>
  <si>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</si>
  <si>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</si>
  <si>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</si>
  <si>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</si>
  <si>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</si>
  <si>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</si>
  <si>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</si>
  <si>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</si>
  <si>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</si>
  <si>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</si>
  <si>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</si>
  <si>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</si>
  <si>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</si>
  <si>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</si>
  <si>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</si>
  <si>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</si>
  <si>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</si>
  <si>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</si>
  <si>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</si>
  <si>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</si>
  <si>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</si>
  <si>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</si>
  <si>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</si>
  <si>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</si>
  <si>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</si>
  <si>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</si>
  <si>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</si>
  <si>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</si>
  <si>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</si>
  <si>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</si>
  <si>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</si>
  <si>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</si>
  <si>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</si>
  <si>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</si>
  <si>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</si>
  <si>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</si>
  <si>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</si>
  <si>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</si>
  <si>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</si>
  <si>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</si>
  <si>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</si>
  <si>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</si>
  <si>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</si>
  <si>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</si>
  <si>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</si>
  <si>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</si>
  <si>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</si>
  <si>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</si>
  <si>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</si>
  <si>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</si>
  <si>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</si>
  <si>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</si>
  <si>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</si>
  <si>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</si>
  <si>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</si>
  <si>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</si>
  <si>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</si>
  <si>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</si>
  <si>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</si>
  <si>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</si>
  <si>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</si>
  <si>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</si>
  <si>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</si>
  <si>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</si>
  <si>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</si>
  <si>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</si>
  <si>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</si>
  <si>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</si>
  <si>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</si>
  <si>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</si>
  <si>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</si>
  <si>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</si>
  <si>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</si>
  <si>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</si>
  <si>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</si>
  <si>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</si>
  <si>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</si>
  <si>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</si>
  <si>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</si>
  <si>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</si>
  <si>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</si>
  <si>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</si>
  <si>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</si>
  <si>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</si>
  <si>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</si>
  <si>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</si>
  <si>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</si>
  <si>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</si>
  <si>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</si>
  <si>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</si>
  <si>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</si>
  <si>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</si>
  <si>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</si>
  <si>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</si>
  <si>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</si>
  <si>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</si>
  <si>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</si>
  <si>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</si>
  <si>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</si>
  <si>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</si>
  <si>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</si>
  <si>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</si>
  <si>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</si>
  <si>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</si>
  <si>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</si>
  <si>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</si>
  <si>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</si>
  <si>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</si>
  <si>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</si>
  <si>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</si>
  <si>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</si>
  <si>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</si>
  <si>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</si>
  <si>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</si>
  <si>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</si>
  <si>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</si>
  <si>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</si>
  <si>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</si>
  <si>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</si>
  <si>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</si>
  <si>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</si>
  <si>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</si>
  <si>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</si>
  <si>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</si>
  <si>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</si>
  <si>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</si>
  <si>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</si>
  <si>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</si>
  <si>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</si>
  <si>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</si>
  <si>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</si>
  <si>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</si>
  <si>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</si>
  <si>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</si>
  <si>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</si>
  <si>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</si>
  <si>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</si>
  <si>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</si>
  <si>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</si>
  <si>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</si>
  <si>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</si>
  <si>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</si>
  <si>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</si>
  <si>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</si>
  <si>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</si>
  <si>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</si>
  <si>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</si>
  <si>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</si>
  <si>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</si>
  <si>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</si>
  <si>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</si>
  <si>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</si>
  <si>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</si>
  <si>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</si>
  <si>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</si>
  <si>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</si>
  <si>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</si>
  <si>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</si>
  <si>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</si>
  <si>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</si>
  <si>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</si>
  <si>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</si>
  <si>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</si>
  <si>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</si>
  <si>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</si>
  <si>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</si>
  <si>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</si>
  <si>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</si>
  <si>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</si>
  <si>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</si>
  <si>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</si>
  <si>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</si>
  <si>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</si>
  <si>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</si>
  <si>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</si>
  <si>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</si>
  <si>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</si>
  <si>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</si>
  <si>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</si>
  <si>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</si>
  <si>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</si>
  <si>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</si>
  <si>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</si>
  <si>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</si>
  <si>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</si>
  <si>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</si>
  <si>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</si>
  <si>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</si>
  <si>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</si>
  <si>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</si>
  <si>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</si>
  <si>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</si>
  <si>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</si>
  <si>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</si>
  <si>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</si>
  <si>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</si>
  <si>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</si>
  <si>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</si>
  <si>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</si>
  <si>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</si>
  <si>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</si>
  <si>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</si>
  <si>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</si>
  <si>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</si>
  <si>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</si>
  <si>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</si>
  <si>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</si>
  <si>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</si>
  <si>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</si>
  <si>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</si>
  <si>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</si>
  <si>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</si>
  <si>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</si>
  <si>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</si>
  <si>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</si>
  <si>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</si>
  <si>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</si>
  <si>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</si>
  <si>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</si>
  <si>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</si>
  <si>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</si>
  <si>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</si>
  <si>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</si>
  <si>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</si>
  <si>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</si>
  <si>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</si>
  <si>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</si>
  <si>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</si>
  <si>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</si>
  <si>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</si>
  <si>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</si>
  <si>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</si>
  <si>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</si>
  <si>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</si>
  <si>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</si>
  <si>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</si>
  <si>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</si>
  <si>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</si>
  <si>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</si>
  <si>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</si>
  <si>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</si>
  <si>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</si>
  <si>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</si>
  <si>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</si>
  <si>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</si>
  <si>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</si>
  <si>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</si>
  <si>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</si>
  <si>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</si>
  <si>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</si>
  <si>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</si>
  <si>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</si>
  <si>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</si>
  <si>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</si>
  <si>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</si>
  <si>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</si>
  <si>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</si>
  <si>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</si>
  <si>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</si>
  <si>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</si>
  <si>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</si>
  <si>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</si>
  <si>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</si>
  <si>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</si>
  <si>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</si>
  <si>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</si>
  <si>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</si>
  <si>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</si>
  <si>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</si>
  <si>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</si>
  <si>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</si>
  <si>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</si>
  <si>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</si>
  <si>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</si>
  <si>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</si>
  <si>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</si>
  <si>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</si>
  <si>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</si>
  <si>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</si>
  <si>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</si>
  <si>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</si>
  <si>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</si>
  <si>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</si>
  <si>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</si>
  <si>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</si>
  <si>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</si>
  <si>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</si>
  <si>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</si>
  <si>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</si>
  <si>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</si>
  <si>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</si>
  <si>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</si>
  <si>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</si>
  <si>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</si>
  <si>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</si>
  <si>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</si>
  <si>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</si>
  <si>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</si>
  <si>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</si>
  <si>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</si>
  <si>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</si>
  <si>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</si>
  <si>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</si>
  <si>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</si>
  <si>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</si>
  <si>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</si>
  <si>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</si>
  <si>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</si>
  <si>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</si>
  <si>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</si>
  <si>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</si>
  <si>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</si>
  <si>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</si>
  <si>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</si>
  <si>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</si>
  <si>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</si>
  <si>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</si>
  <si>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</si>
  <si>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</si>
  <si>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</si>
  <si>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</si>
  <si>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</si>
  <si>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</si>
  <si>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</si>
  <si>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</si>
  <si>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</si>
  <si>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</si>
  <si>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</si>
  <si>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</si>
  <si>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</si>
  <si>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</si>
  <si>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</si>
  <si>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</si>
  <si>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</si>
  <si>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</si>
  <si>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</si>
  <si>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</si>
  <si>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</si>
  <si>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</si>
  <si>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</si>
  <si>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</si>
  <si>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</si>
  <si>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</si>
  <si>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</si>
  <si>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</si>
  <si>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</si>
  <si>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</si>
  <si>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</si>
  <si>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</si>
  <si>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</si>
  <si>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</si>
  <si>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</si>
  <si>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</si>
  <si>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</si>
  <si>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</si>
  <si>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</si>
  <si>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</si>
  <si>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</si>
  <si>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</si>
  <si>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</si>
  <si>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</si>
  <si>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</si>
  <si>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</si>
  <si>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</si>
  <si>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</si>
  <si>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</si>
  <si>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</si>
  <si>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</si>
  <si>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</si>
  <si>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</si>
  <si>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</si>
  <si>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</si>
  <si>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</si>
  <si>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</si>
  <si>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</si>
  <si>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</si>
  <si>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</si>
  <si>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</si>
  <si>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</si>
  <si>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</si>
  <si>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</si>
  <si>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</si>
  <si>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</si>
  <si>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</si>
  <si>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</si>
  <si>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</si>
  <si>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</si>
  <si>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</si>
  <si>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</si>
  <si>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</si>
  <si>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</si>
  <si>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</si>
  <si>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</si>
  <si>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</si>
  <si>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</si>
  <si>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</si>
  <si>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</si>
  <si>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</si>
  <si>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</si>
  <si>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</si>
  <si>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</si>
  <si>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</si>
  <si>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</si>
  <si>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</si>
  <si>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</si>
  <si>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</si>
  <si>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</si>
  <si>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</si>
  <si>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</si>
  <si>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</si>
  <si>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</si>
  <si>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</si>
  <si>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</si>
  <si>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</si>
  <si>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</si>
  <si>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</si>
  <si>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</si>
  <si>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</si>
  <si>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</si>
  <si>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</si>
  <si>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</si>
  <si>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</si>
  <si>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</si>
  <si>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</si>
  <si>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</si>
  <si>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</si>
  <si>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</si>
  <si>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</si>
  <si>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</si>
  <si>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</si>
  <si>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</si>
  <si>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</si>
  <si>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</si>
  <si>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</si>
  <si>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</si>
  <si>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</si>
  <si>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</si>
  <si>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</si>
  <si>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</si>
  <si>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</si>
  <si>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</si>
  <si>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</si>
  <si>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</si>
  <si>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</si>
  <si>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</si>
  <si>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</si>
  <si>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</si>
  <si>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</si>
  <si>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</si>
  <si>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</si>
  <si>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</si>
  <si>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</si>
  <si>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</si>
  <si>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</si>
  <si>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</si>
  <si>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</si>
  <si>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</si>
  <si>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</si>
  <si>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</si>
  <si>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</si>
  <si>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</si>
  <si>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</si>
  <si>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</si>
  <si>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</si>
  <si>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</si>
  <si>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</si>
  <si>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</si>
  <si>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</si>
  <si>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</si>
  <si>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</si>
  <si>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</si>
  <si>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</si>
  <si>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</si>
  <si>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</si>
  <si>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</si>
  <si>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</si>
  <si>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</si>
  <si>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</si>
  <si>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</si>
  <si>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</si>
  <si>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</si>
  <si>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</si>
  <si>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</si>
  <si>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</si>
  <si>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</si>
  <si>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</si>
  <si>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</si>
  <si>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</si>
  <si>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</si>
  <si>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</si>
  <si>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</si>
  <si>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</si>
  <si>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</si>
  <si>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</si>
  <si>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</si>
  <si>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</si>
  <si>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</si>
  <si>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</si>
  <si>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</si>
  <si>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</si>
  <si>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</si>
  <si>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</si>
  <si>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</si>
  <si>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</si>
  <si>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</si>
  <si>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</si>
  <si>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</si>
  <si>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</si>
  <si>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</si>
  <si>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</si>
  <si>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</si>
  <si>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</si>
  <si>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</si>
  <si>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</si>
  <si>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</si>
  <si>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</si>
  <si>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</si>
  <si>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</si>
  <si>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</si>
  <si>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</si>
  <si>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</si>
  <si>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</si>
  <si>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</si>
  <si>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</si>
  <si>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</si>
  <si>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</si>
  <si>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</si>
  <si>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</si>
  <si>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</si>
  <si>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</si>
  <si>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</si>
  <si>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</si>
  <si>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</si>
  <si>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</si>
  <si>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</si>
  <si>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</si>
  <si>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</si>
  <si>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</si>
  <si>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</si>
  <si>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</si>
  <si>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</si>
  <si>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</si>
  <si>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</si>
  <si>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</si>
  <si>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</si>
  <si>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</si>
  <si>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</si>
  <si>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</si>
  <si>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</si>
  <si>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</si>
  <si>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</si>
  <si>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</si>
  <si>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</si>
  <si>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</si>
  <si>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</si>
  <si>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</si>
  <si>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</si>
  <si>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</si>
  <si>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</si>
  <si>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</si>
  <si>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</si>
  <si>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</si>
  <si>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</si>
  <si>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</si>
  <si>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</si>
  <si>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</si>
  <si>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</si>
  <si>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</si>
  <si>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</si>
  <si>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</si>
  <si>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</si>
  <si>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</si>
  <si>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</si>
  <si>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</si>
  <si>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</si>
  <si>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</si>
  <si>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</si>
  <si>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</si>
  <si>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</si>
  <si>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</si>
  <si>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</si>
  <si>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</si>
  <si>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</si>
  <si>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</si>
  <si>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</si>
  <si>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</si>
  <si>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</si>
  <si>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</si>
  <si>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</si>
  <si>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</si>
  <si>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</si>
  <si>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</si>
  <si>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</si>
  <si>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</si>
  <si>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</si>
  <si>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</si>
  <si>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</si>
  <si>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</si>
  <si>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</si>
  <si>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</si>
  <si>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</si>
  <si>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</si>
  <si>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</si>
  <si>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</si>
  <si>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</si>
  <si>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</si>
  <si>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</si>
  <si>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</si>
  <si>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</si>
  <si>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</si>
  <si>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</si>
  <si>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</si>
  <si>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</si>
  <si>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</si>
  <si>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</si>
  <si>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</si>
  <si>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</si>
  <si>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</si>
  <si>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</si>
  <si>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</si>
  <si>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</si>
  <si>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</si>
  <si>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</si>
  <si>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</si>
  <si>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</si>
  <si>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</si>
  <si>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</si>
  <si>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</si>
  <si>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</si>
  <si>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</si>
  <si>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</si>
  <si>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</si>
  <si>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</si>
  <si>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</si>
  <si>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</si>
  <si>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</si>
  <si>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</si>
  <si>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</si>
  <si>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</si>
  <si>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</si>
  <si>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</si>
  <si>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</si>
  <si>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</si>
  <si>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</si>
  <si>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</si>
  <si>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</si>
  <si>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</si>
  <si>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</si>
  <si>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</si>
  <si>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</si>
  <si>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</si>
  <si>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</si>
  <si>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</si>
  <si>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</si>
  <si>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</si>
  <si>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</si>
  <si>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</si>
  <si>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</si>
  <si>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</si>
  <si>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</si>
  <si>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</si>
  <si>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</si>
  <si>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</si>
  <si>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</si>
  <si>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</si>
  <si>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</si>
  <si>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</si>
  <si>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</si>
  <si>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</si>
  <si>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</si>
  <si>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</si>
  <si>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</si>
  <si>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</si>
  <si>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</si>
  <si>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</si>
  <si>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</si>
  <si>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</si>
  <si>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</si>
  <si>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</si>
  <si>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</si>
  <si>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</si>
  <si>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</si>
  <si>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</si>
  <si>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</si>
  <si>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</si>
  <si>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</si>
  <si>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</si>
  <si>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</si>
  <si>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</si>
  <si>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</si>
  <si>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</si>
  <si>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</si>
  <si>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</si>
  <si>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</si>
  <si>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</si>
  <si>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</si>
  <si>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</si>
  <si>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</si>
  <si>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</si>
  <si>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</si>
  <si>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</si>
  <si>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</si>
  <si>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</si>
  <si>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</si>
  <si>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</si>
  <si>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</si>
  <si>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</si>
  <si>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</si>
  <si>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</si>
  <si>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</si>
  <si>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</si>
  <si>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</si>
  <si>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</si>
  <si>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</si>
  <si>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</si>
  <si>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</si>
  <si>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</si>
  <si>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</si>
  <si>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</si>
  <si>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</si>
  <si>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</si>
  <si>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</si>
  <si>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</si>
  <si>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</si>
  <si>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</si>
  <si>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</si>
  <si>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</si>
  <si>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</si>
  <si>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</si>
  <si>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</si>
  <si>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</si>
  <si>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</si>
  <si>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</si>
  <si>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</si>
  <si>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</si>
  <si>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</si>
  <si>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</si>
  <si>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</si>
  <si>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</si>
  <si>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</si>
  <si>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</si>
  <si>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</si>
  <si>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</si>
  <si>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</si>
  <si>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</si>
  <si>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</si>
  <si>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</si>
  <si>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</si>
  <si>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</si>
  <si>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</si>
  <si>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</si>
  <si>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</si>
  <si>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</si>
  <si>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</si>
  <si>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</si>
  <si>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</si>
  <si>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</si>
  <si>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</si>
  <si>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</si>
  <si>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</si>
  <si>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</si>
  <si>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</si>
  <si>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</si>
  <si>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</si>
  <si>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</si>
  <si>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</si>
  <si>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</si>
  <si>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</si>
  <si>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</si>
  <si>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</si>
  <si>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</si>
  <si>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</si>
  <si>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</si>
  <si>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</si>
  <si>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</si>
  <si>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</si>
  <si>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</si>
  <si>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</si>
  <si>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</si>
  <si>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</si>
  <si>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</si>
  <si>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</si>
  <si>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</si>
  <si>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</si>
  <si>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</si>
  <si>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</si>
  <si>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</si>
  <si>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</si>
  <si>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</si>
  <si>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</si>
  <si>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</si>
  <si>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</si>
  <si>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</si>
  <si>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</si>
  <si>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</si>
  <si>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</si>
  <si>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</si>
  <si>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</si>
  <si>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</si>
  <si>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</si>
  <si>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</si>
  <si>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</si>
  <si>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</si>
  <si>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</si>
  <si>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</si>
  <si>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</si>
  <si>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</si>
  <si>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</si>
  <si>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</si>
  <si>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</si>
  <si>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</si>
  <si>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</si>
  <si>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</si>
  <si>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</si>
  <si>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</si>
  <si>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</si>
  <si>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</si>
  <si>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</si>
  <si>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</si>
  <si>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</si>
  <si>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</si>
  <si>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</si>
  <si>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</si>
  <si>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</si>
  <si>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</si>
  <si>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</si>
  <si>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</si>
  <si>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</si>
  <si>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</si>
  <si>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</si>
  <si>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</si>
  <si>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</si>
  <si>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</si>
  <si>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</si>
  <si>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</si>
  <si>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</si>
  <si>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</si>
  <si>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</si>
  <si>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</si>
  <si>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</si>
  <si>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</si>
  <si>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</si>
  <si>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</si>
  <si>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</si>
  <si>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</si>
  <si>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</si>
  <si>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</si>
  <si>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</si>
  <si>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</si>
  <si>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</si>
  <si>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</si>
  <si>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</si>
  <si>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</si>
  <si>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</si>
  <si>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</si>
  <si>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</si>
  <si>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</si>
  <si>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</si>
  <si>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</si>
  <si>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</si>
  <si>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</si>
  <si>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</si>
  <si>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</si>
  <si>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</si>
  <si>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</si>
  <si>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</si>
  <si>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</si>
  <si>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</si>
  <si>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</si>
  <si>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</si>
  <si>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</si>
  <si>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</si>
  <si>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</si>
  <si>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</si>
  <si>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</si>
  <si>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</si>
  <si>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</si>
  <si>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</si>
  <si>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</si>
  <si>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</si>
  <si>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</si>
  <si>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</si>
  <si>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</si>
  <si>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</si>
  <si>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</si>
  <si>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</si>
  <si>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</si>
  <si>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</si>
  <si>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</si>
  <si>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</si>
  <si>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</si>
  <si>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</si>
  <si>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</si>
  <si>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</si>
  <si>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</si>
  <si>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</si>
  <si>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</si>
  <si>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</si>
  <si>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</si>
  <si>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</si>
  <si>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</si>
  <si>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</si>
  <si>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</si>
  <si>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</si>
  <si>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</si>
  <si>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</si>
  <si>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</si>
  <si>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</si>
  <si>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</si>
  <si>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</si>
  <si>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</si>
  <si>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</si>
  <si>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</si>
  <si>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</si>
  <si>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</si>
  <si>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</si>
  <si>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</si>
  <si>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</si>
  <si>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</si>
  <si>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</si>
  <si>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</si>
  <si>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</si>
  <si>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</si>
  <si>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</si>
  <si>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</si>
  <si>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</si>
  <si>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</si>
  <si>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</si>
  <si>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</si>
  <si>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</si>
  <si>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</si>
  <si>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</si>
  <si>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</si>
  <si>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</si>
  <si>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</si>
  <si>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</si>
  <si>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</si>
  <si>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</si>
  <si>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</si>
  <si>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</si>
  <si>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</si>
  <si>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</si>
  <si>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</si>
  <si>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</si>
  <si>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</si>
  <si>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</si>
  <si>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</si>
  <si>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</si>
  <si>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</si>
  <si>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</si>
  <si>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</si>
  <si>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</si>
  <si>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</si>
  <si>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</si>
  <si>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</si>
  <si>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</si>
  <si>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</si>
  <si>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</si>
  <si>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</si>
  <si>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</si>
  <si>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</si>
  <si>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</si>
  <si>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</si>
  <si>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</si>
  <si>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</si>
  <si>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</si>
  <si>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</si>
  <si>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</si>
  <si>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</si>
  <si>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</si>
  <si>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</si>
  <si>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</si>
  <si>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</si>
  <si>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</si>
  <si>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</si>
  <si>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</si>
  <si>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</si>
  <si>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</si>
  <si>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</si>
  <si>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</si>
  <si>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</si>
  <si>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</si>
  <si>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</si>
  <si>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</si>
  <si>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</si>
  <si>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</si>
  <si>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</si>
  <si>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</si>
  <si>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</si>
  <si>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</si>
  <si>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</si>
  <si>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</si>
  <si>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</si>
  <si>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</si>
  <si>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</si>
  <si>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</si>
  <si>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</si>
  <si>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</si>
  <si>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</si>
  <si>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</si>
  <si>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</si>
  <si>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</si>
  <si>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</si>
  <si>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</si>
  <si>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</si>
  <si>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</si>
  <si>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</si>
  <si>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</si>
  <si>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</si>
  <si>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</si>
  <si>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</si>
  <si>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</si>
  <si>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</si>
  <si>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</si>
  <si>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</si>
  <si>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</si>
  <si>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</si>
  <si>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</si>
  <si>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</si>
  <si>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</si>
  <si>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</si>
  <si>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</si>
  <si>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</si>
  <si>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</si>
  <si>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</si>
  <si>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</si>
  <si>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</si>
  <si>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</si>
  <si>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</si>
  <si>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</si>
  <si>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</si>
  <si>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</si>
  <si>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</si>
  <si>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</si>
  <si>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</si>
  <si>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</si>
  <si>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</si>
  <si>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</si>
  <si>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</si>
  <si>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</si>
  <si>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</si>
  <si>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</si>
  <si>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</si>
  <si>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</si>
  <si>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</si>
  <si>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</si>
  <si>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</si>
  <si>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</si>
  <si>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</si>
  <si>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</si>
  <si>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</si>
  <si>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</si>
  <si>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</si>
  <si>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</si>
  <si>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</si>
  <si>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</si>
  <si>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</si>
  <si>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</si>
  <si>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</si>
  <si>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</si>
  <si>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</si>
  <si>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</si>
  <si>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</si>
  <si>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</si>
  <si>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</si>
  <si>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</si>
  <si>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</si>
  <si>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</si>
  <si>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</si>
  <si>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</si>
  <si>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</si>
  <si>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</si>
  <si>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</si>
  <si>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</si>
  <si>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</si>
  <si>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</si>
  <si>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</si>
  <si>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</si>
  <si>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</si>
  <si>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</si>
  <si>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</si>
  <si>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</si>
  <si>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</si>
  <si>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</si>
  <si>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</si>
  <si>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</si>
  <si>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</si>
  <si>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</si>
  <si>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</si>
  <si>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</si>
  <si>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</si>
  <si>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</si>
  <si>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</si>
  <si>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</si>
  <si>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</si>
  <si>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</si>
  <si>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</si>
  <si>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</si>
  <si>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</si>
  <si>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</si>
  <si>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</si>
  <si>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</si>
  <si>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</si>
  <si>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</si>
  <si>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</si>
  <si>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</si>
  <si>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</si>
  <si>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</si>
  <si>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</si>
  <si>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</si>
  <si>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</si>
  <si>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</si>
  <si>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</si>
  <si>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</si>
  <si>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</si>
  <si>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</si>
  <si>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</si>
  <si>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</si>
  <si>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</si>
  <si>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</si>
  <si>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</si>
  <si>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</si>
  <si>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</si>
  <si>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</si>
  <si>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</si>
  <si>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</si>
  <si>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</si>
  <si>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</si>
  <si>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</si>
  <si>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</si>
  <si>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</si>
  <si>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</si>
  <si>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</si>
  <si>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</si>
  <si>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</si>
  <si>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</si>
  <si>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</si>
  <si>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</si>
  <si>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</si>
  <si>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</si>
  <si>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</si>
  <si>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</si>
  <si>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</si>
  <si>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</si>
  <si>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</si>
  <si>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</si>
  <si>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</si>
  <si>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</si>
  <si>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</si>
  <si>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</si>
  <si>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</si>
  <si>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</si>
  <si>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</si>
  <si>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</si>
  <si>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</si>
  <si>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</si>
  <si>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</si>
  <si>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</si>
  <si>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</si>
  <si>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</si>
  <si>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</si>
  <si>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</si>
  <si>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</si>
  <si>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</si>
  <si>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</si>
  <si>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</si>
  <si>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</si>
  <si>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</si>
  <si>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</si>
  <si>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</si>
  <si>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</si>
  <si>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</si>
  <si>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</si>
  <si>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</si>
  <si>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</si>
  <si>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</si>
  <si>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</si>
  <si>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</si>
  <si>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</si>
  <si>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</si>
  <si>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</si>
  <si>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</si>
  <si>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</si>
  <si>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</si>
  <si>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</si>
  <si>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</si>
  <si>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</si>
  <si>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</si>
  <si>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</si>
  <si>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</si>
  <si>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</si>
  <si>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</si>
  <si>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</si>
  <si>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</si>
  <si>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</si>
  <si>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</si>
  <si>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</si>
  <si>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</si>
  <si>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</si>
  <si>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</si>
  <si>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</si>
  <si>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</si>
  <si>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</si>
  <si>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</si>
  <si>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</si>
  <si>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</si>
  <si>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</si>
  <si>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</si>
  <si>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</si>
  <si>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</si>
  <si>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</si>
  <si>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</si>
  <si>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</si>
  <si>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</si>
  <si>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</si>
  <si>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</si>
  <si>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</si>
  <si>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</si>
  <si>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</si>
  <si>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</si>
  <si>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</si>
  <si>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</si>
  <si>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</si>
  <si>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</si>
  <si>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</si>
  <si>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</si>
  <si>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</si>
  <si>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</si>
  <si>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</si>
  <si>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</si>
  <si>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</si>
  <si>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</si>
  <si>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</si>
  <si>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</si>
  <si>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</si>
  <si>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</si>
  <si>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</si>
  <si>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</si>
  <si>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</si>
  <si>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</si>
  <si>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</si>
  <si>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</si>
  <si>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</si>
  <si>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</si>
  <si>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</si>
  <si>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</si>
  <si>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</si>
  <si>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</si>
  <si>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</si>
  <si>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</si>
  <si>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</si>
  <si>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</si>
  <si>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</si>
  <si>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</si>
  <si>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</si>
  <si>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</si>
  <si>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</si>
  <si>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</si>
  <si>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</si>
  <si>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</si>
  <si>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</si>
  <si>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</si>
  <si>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</si>
  <si>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</si>
  <si>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</si>
  <si>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</si>
  <si>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</si>
  <si>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</si>
  <si>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</si>
  <si>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</si>
  <si>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</si>
  <si>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</si>
  <si>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</si>
  <si>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</si>
  <si>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</si>
  <si>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</si>
  <si>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</si>
  <si>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</si>
  <si>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</si>
  <si>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</si>
  <si>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</si>
  <si>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</si>
  <si>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</si>
  <si>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</si>
  <si>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</si>
  <si>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</si>
  <si>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</si>
  <si>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</si>
  <si>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</si>
  <si>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</si>
  <si>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</si>
  <si>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</si>
  <si>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</si>
  <si>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</si>
  <si>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</si>
  <si>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</si>
  <si>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</si>
  <si>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</si>
  <si>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</si>
  <si>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</si>
  <si>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</si>
  <si>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</si>
  <si>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</si>
  <si>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</si>
  <si>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</si>
  <si>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</si>
  <si>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</si>
  <si>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</si>
  <si>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</si>
  <si>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</si>
  <si>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</si>
  <si>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</si>
  <si>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</si>
  <si>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</si>
  <si>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</si>
  <si>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</si>
  <si>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</si>
  <si>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</si>
  <si>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</si>
  <si>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</si>
  <si>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</si>
  <si>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</si>
  <si>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</si>
  <si>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</si>
  <si>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</si>
  <si>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</si>
  <si>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</si>
  <si>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</si>
  <si>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</si>
  <si>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</si>
  <si>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</si>
  <si>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</si>
  <si>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</si>
  <si>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</si>
  <si>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</si>
  <si>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</si>
  <si>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</si>
  <si>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</si>
  <si>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</si>
  <si>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</si>
  <si>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</si>
  <si>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</si>
  <si>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</si>
  <si>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</si>
  <si>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</si>
  <si>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</si>
  <si>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</si>
  <si>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</si>
  <si>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</si>
  <si>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</si>
  <si>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</si>
  <si>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</si>
  <si>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</si>
  <si>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</si>
  <si>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</si>
  <si>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</si>
  <si>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</si>
  <si>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</si>
  <si>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</si>
  <si>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</si>
  <si>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</si>
  <si>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</si>
  <si>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</si>
  <si>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</si>
  <si>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</si>
  <si>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</si>
  <si>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</si>
  <si>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</si>
  <si>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</si>
  <si>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</si>
  <si>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</si>
  <si>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</si>
  <si>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</si>
  <si>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</si>
  <si>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</si>
  <si>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</si>
  <si>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</si>
  <si>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</si>
  <si>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</si>
  <si>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</si>
  <si>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</si>
  <si>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</si>
  <si>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</si>
  <si>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</si>
  <si>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</si>
  <si>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</si>
  <si>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</si>
  <si>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</si>
  <si>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</si>
  <si>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</si>
  <si>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</si>
  <si>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</si>
  <si>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</si>
  <si>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</si>
  <si>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</si>
  <si>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</si>
  <si>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</si>
  <si>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</si>
  <si>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</si>
  <si>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</si>
  <si>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</si>
  <si>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</si>
  <si>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</si>
  <si>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</si>
  <si>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</si>
  <si>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</si>
  <si>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</si>
  <si>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</si>
  <si>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</si>
  <si>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</si>
  <si>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</si>
  <si>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</si>
  <si>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</si>
  <si>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</si>
  <si>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</si>
  <si>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</si>
  <si>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</si>
  <si>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</si>
  <si>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</si>
  <si>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</si>
  <si>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</si>
  <si>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</si>
  <si>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</si>
  <si>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</si>
  <si>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</si>
  <si>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</si>
  <si>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</si>
  <si>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</si>
  <si>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</si>
  <si>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</si>
  <si>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</si>
  <si>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</si>
  <si>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</si>
  <si>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</si>
  <si>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</si>
  <si>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</si>
  <si>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</si>
  <si>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</si>
  <si>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</si>
  <si>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</si>
  <si>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</si>
  <si>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</si>
  <si>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</si>
  <si>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</si>
  <si>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</si>
  <si>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</si>
  <si>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</si>
  <si>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</si>
  <si>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</si>
  <si>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</si>
  <si>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</si>
  <si>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</si>
  <si>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</si>
  <si>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</si>
  <si>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</si>
  <si>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</si>
  <si>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</si>
  <si>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</si>
  <si>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</si>
  <si>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</si>
  <si>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</si>
  <si>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</si>
  <si>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</si>
  <si>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</si>
  <si>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</si>
  <si>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</si>
  <si>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</si>
  <si>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</si>
  <si>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</si>
  <si>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</si>
  <si>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</si>
  <si>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</si>
  <si>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</si>
  <si>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</si>
  <si>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</si>
  <si>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</si>
  <si>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</si>
  <si>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</si>
  <si>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</si>
  <si>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</si>
  <si>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</si>
  <si>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</si>
  <si>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</si>
  <si>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</si>
  <si>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</si>
  <si>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</si>
  <si>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</si>
  <si>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</si>
  <si>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</si>
  <si>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</si>
  <si>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</si>
  <si>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</si>
  <si>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</si>
  <si>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</si>
  <si>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</si>
  <si>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</si>
  <si>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</si>
  <si>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</si>
  <si>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</si>
  <si>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</si>
  <si>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</si>
  <si>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</si>
  <si>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</si>
  <si>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</si>
  <si>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</si>
  <si>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</si>
  <si>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</si>
  <si>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</si>
  <si>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</si>
  <si>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</si>
  <si>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</si>
  <si>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</si>
  <si>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</si>
  <si>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</si>
  <si>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</si>
  <si>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</si>
  <si>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</si>
  <si>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</si>
  <si>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</si>
  <si>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</si>
  <si>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</si>
  <si>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</si>
  <si>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</si>
  <si>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</si>
  <si>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</si>
  <si>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</si>
  <si>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</si>
  <si>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</si>
  <si>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</si>
  <si>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</si>
  <si>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</si>
  <si>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</si>
  <si>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</si>
  <si>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</si>
  <si>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</si>
  <si>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</si>
  <si>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</si>
  <si>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</si>
  <si>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</si>
  <si>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</si>
  <si>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</si>
  <si>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</si>
  <si>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</si>
  <si>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</si>
  <si>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</si>
  <si>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</si>
  <si>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</si>
  <si>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</si>
  <si>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</si>
  <si>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</si>
  <si>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</si>
  <si>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</si>
  <si>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</si>
  <si>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</si>
  <si>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</si>
  <si>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</si>
  <si>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</si>
  <si>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</si>
  <si>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</si>
  <si>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</si>
  <si>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</si>
  <si>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</si>
  <si>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</si>
  <si>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</si>
  <si>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</si>
  <si>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</si>
  <si>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</si>
  <si>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</si>
  <si>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</si>
  <si>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</si>
  <si>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</si>
  <si>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</si>
  <si>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</si>
  <si>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</si>
  <si>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</si>
  <si>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</si>
  <si>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</si>
  <si>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</si>
  <si>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</si>
  <si>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</si>
  <si>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</si>
  <si>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</si>
  <si>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</si>
  <si>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</si>
  <si>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</si>
  <si>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</si>
  <si>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</si>
  <si>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</si>
  <si>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</si>
  <si>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</si>
  <si>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</si>
  <si>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</si>
  <si>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</si>
  <si>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</si>
  <si>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</si>
  <si>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</si>
  <si>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</si>
  <si>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</si>
  <si>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</si>
  <si>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</si>
  <si>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</si>
  <si>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</si>
  <si>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</si>
  <si>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</si>
  <si>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</si>
  <si>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</si>
  <si>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</si>
  <si>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</si>
  <si>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</si>
  <si>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</si>
  <si>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</si>
  <si>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</si>
  <si>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</si>
  <si>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</si>
  <si>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</si>
  <si>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</si>
  <si>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</si>
  <si>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</si>
  <si>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</si>
  <si>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</si>
  <si>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</si>
  <si>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</si>
  <si>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</si>
  <si>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</si>
  <si>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</si>
  <si>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</si>
  <si>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</si>
  <si>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</si>
  <si>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</si>
  <si>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</si>
  <si>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</si>
  <si>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</si>
  <si>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</si>
  <si>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</si>
  <si>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</si>
  <si>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</si>
  <si>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</si>
  <si>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</si>
  <si>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</si>
  <si>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</si>
  <si>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</si>
  <si>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</si>
  <si>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</si>
  <si>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</si>
  <si>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</si>
  <si>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</si>
  <si>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</si>
  <si>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</si>
  <si>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</si>
  <si>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</si>
  <si>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</si>
  <si>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</si>
  <si>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</si>
  <si>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</si>
  <si>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</si>
  <si>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</si>
  <si>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</si>
  <si>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</si>
  <si>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</si>
  <si>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</si>
  <si>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</si>
  <si>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</si>
  <si>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</si>
  <si>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</si>
  <si>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</si>
  <si>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</si>
  <si>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</si>
  <si>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</si>
  <si>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</si>
  <si>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</si>
  <si>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</si>
  <si>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</si>
  <si>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</si>
  <si>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</si>
  <si>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</si>
  <si>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</si>
  <si>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</si>
  <si>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</si>
  <si>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</si>
  <si>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</si>
  <si>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</si>
  <si>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</si>
  <si>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</si>
  <si>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</si>
  <si>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</si>
  <si>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</si>
  <si>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</si>
  <si>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</si>
  <si>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</si>
  <si>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</si>
  <si>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</si>
  <si>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</si>
  <si>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</si>
  <si>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</si>
  <si>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</si>
  <si>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</si>
  <si>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</si>
  <si>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</si>
  <si>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</si>
  <si>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</si>
  <si>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</si>
  <si>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</si>
  <si>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</si>
  <si>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</si>
  <si>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</si>
  <si>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</si>
  <si>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</si>
  <si>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</si>
  <si>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</si>
  <si>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</si>
  <si>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</si>
  <si>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</si>
  <si>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</si>
  <si>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</si>
  <si>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</si>
  <si>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</si>
  <si>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</si>
  <si>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</si>
  <si>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</si>
  <si>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</si>
  <si>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</si>
  <si>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</si>
  <si>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</si>
  <si>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</si>
  <si>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</si>
  <si>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</si>
  <si>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</si>
  <si>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</si>
  <si>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</si>
  <si>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</si>
  <si>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</si>
  <si>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</si>
  <si>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</si>
  <si>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</si>
  <si>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</si>
  <si>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</si>
  <si>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</si>
  <si>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</si>
  <si>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</si>
  <si>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</si>
  <si>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</si>
  <si>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</si>
  <si>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</si>
  <si>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</si>
  <si>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</si>
  <si>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</si>
  <si>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</si>
  <si>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</si>
  <si>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</si>
  <si>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</si>
  <si>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</si>
  <si>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</si>
  <si>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</si>
  <si>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</si>
  <si>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</si>
  <si>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</si>
  <si>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</si>
  <si>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</si>
  <si>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</si>
  <si>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</si>
  <si>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</si>
  <si>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</si>
  <si>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</si>
  <si>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</si>
  <si>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</si>
  <si>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</si>
  <si>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</si>
  <si>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</si>
  <si>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</si>
  <si>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</si>
  <si>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</si>
  <si>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</si>
  <si>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</si>
  <si>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</si>
  <si>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</si>
  <si>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</si>
  <si>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</si>
  <si>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</si>
  <si>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</si>
  <si>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</si>
  <si>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</si>
  <si>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</si>
  <si>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</si>
  <si>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</si>
  <si>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</si>
  <si>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</si>
  <si>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</si>
  <si>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</si>
  <si>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</si>
  <si>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</si>
  <si>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</si>
  <si>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</si>
  <si>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</si>
  <si>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</si>
  <si>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</si>
  <si>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</si>
  <si>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</si>
  <si>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</si>
  <si>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</si>
  <si>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</si>
  <si>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</si>
  <si>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</si>
  <si>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</si>
  <si>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</si>
  <si>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</si>
  <si>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</si>
  <si>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</si>
  <si>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</si>
  <si>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</si>
  <si>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</si>
  <si>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</si>
  <si>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</si>
  <si>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</si>
  <si>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</si>
  <si>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</si>
  <si>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</si>
  <si>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</si>
  <si>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</si>
  <si>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</si>
  <si>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</si>
  <si>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</si>
  <si>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</si>
  <si>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</si>
  <si>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</si>
  <si>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</si>
  <si>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</si>
  <si>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</si>
  <si>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</si>
  <si>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</si>
  <si>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</si>
  <si>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</si>
  <si>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</si>
  <si>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</si>
  <si>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</si>
  <si>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</si>
  <si>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</si>
  <si>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</si>
  <si>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</si>
  <si>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</si>
  <si>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</si>
  <si>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</si>
  <si>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</si>
  <si>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</si>
  <si>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</si>
  <si>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</si>
  <si>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</si>
  <si>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</si>
  <si>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</si>
  <si>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</si>
  <si>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</si>
  <si>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</si>
  <si>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</si>
  <si>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</si>
  <si>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</si>
  <si>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</si>
  <si>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</si>
  <si>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</si>
  <si>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</si>
  <si>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</si>
  <si>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</si>
  <si>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</si>
  <si>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</si>
  <si>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</si>
  <si>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</si>
  <si>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</si>
  <si>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</si>
  <si>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</si>
  <si>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</si>
  <si>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</si>
  <si>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</si>
  <si>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</si>
  <si>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</si>
  <si>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</si>
  <si>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</si>
  <si>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</si>
  <si>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</si>
  <si>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</si>
  <si>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</si>
  <si>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</si>
  <si>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</si>
  <si>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</si>
  <si>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</si>
  <si>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</si>
  <si>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</si>
  <si>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</si>
  <si>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</si>
  <si>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</si>
  <si>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</si>
  <si>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</si>
  <si>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</si>
  <si>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</si>
  <si>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</si>
  <si>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</si>
  <si>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</si>
  <si>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</si>
  <si>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</si>
  <si>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</si>
  <si>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</si>
  <si>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</si>
  <si>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</si>
  <si>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</si>
  <si>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</si>
  <si>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</si>
  <si>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</si>
  <si>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</si>
  <si>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</si>
  <si>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</si>
  <si>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</si>
  <si>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</si>
  <si>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</si>
  <si>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</si>
  <si>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</si>
  <si>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</si>
  <si>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</si>
  <si>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</si>
  <si>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</si>
  <si>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</si>
  <si>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</si>
  <si>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</si>
  <si>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</si>
  <si>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</si>
  <si>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</si>
  <si>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</si>
  <si>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</si>
  <si>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</si>
  <si>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</si>
  <si>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</si>
  <si>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</si>
  <si>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</si>
  <si>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</si>
  <si>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</si>
  <si>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</si>
  <si>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</si>
  <si>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</si>
  <si>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</si>
  <si>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</si>
  <si>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</si>
  <si>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</si>
  <si>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</si>
  <si>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</si>
  <si>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</si>
  <si>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</si>
  <si>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</si>
  <si>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</si>
  <si>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</si>
  <si>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</si>
  <si>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</si>
  <si>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</si>
  <si>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</si>
  <si>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</si>
  <si>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</si>
  <si>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</si>
  <si>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</si>
  <si>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</si>
  <si>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</si>
  <si>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</si>
  <si>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</si>
  <si>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</si>
  <si>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</si>
  <si>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</si>
  <si>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</si>
  <si>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</si>
  <si>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</si>
  <si>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</si>
  <si>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</si>
  <si>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</si>
  <si>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</si>
  <si>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</si>
  <si>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</si>
  <si>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</si>
  <si>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</si>
  <si>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</si>
  <si>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</si>
  <si>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</si>
  <si>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</si>
  <si>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</si>
  <si>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</si>
  <si>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</si>
  <si>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</si>
  <si>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</si>
  <si>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</si>
  <si>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</si>
  <si>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</si>
  <si>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</si>
  <si>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</si>
  <si>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</si>
  <si>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</si>
  <si>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</si>
  <si>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</si>
  <si>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</si>
  <si>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</si>
  <si>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</si>
  <si>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</si>
  <si>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</si>
  <si>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</si>
  <si>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</si>
  <si>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</si>
  <si>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</si>
  <si>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</si>
  <si>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</si>
  <si>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</si>
  <si>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</si>
  <si>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</si>
  <si>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</si>
  <si>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</si>
  <si>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</si>
  <si>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</si>
  <si>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</si>
  <si>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</si>
  <si>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</si>
  <si>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</si>
  <si>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</si>
  <si>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</si>
  <si>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</si>
  <si>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</si>
  <si>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</si>
  <si>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</si>
  <si>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</si>
  <si>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</si>
  <si>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</si>
  <si>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</si>
  <si>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</si>
  <si>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</si>
  <si>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</si>
  <si>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</si>
  <si>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</si>
  <si>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</si>
  <si>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</si>
  <si>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</si>
  <si>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</si>
  <si>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</si>
  <si>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</si>
  <si>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</si>
  <si>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</si>
  <si>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</si>
  <si>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</si>
  <si>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</si>
  <si>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</si>
  <si>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</si>
  <si>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</si>
  <si>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</si>
  <si>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</si>
  <si>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</si>
  <si>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</si>
  <si>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</si>
  <si>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</si>
  <si>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</si>
  <si>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</si>
  <si>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</si>
  <si>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</si>
  <si>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</si>
  <si>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</si>
  <si>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</si>
  <si>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</si>
  <si>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</si>
  <si>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</si>
  <si>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</si>
  <si>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</si>
  <si>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</si>
  <si>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</si>
  <si>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</si>
  <si>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</si>
  <si>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</si>
  <si>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</si>
  <si>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</si>
  <si>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</si>
  <si>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</si>
  <si>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</si>
  <si>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</si>
  <si>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</si>
  <si>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</si>
  <si>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</si>
  <si>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</si>
  <si>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</si>
  <si>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</si>
  <si>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</si>
  <si>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</si>
  <si>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</si>
  <si>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</si>
  <si>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</si>
  <si>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</si>
  <si>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</si>
  <si>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</si>
  <si>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</si>
  <si>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</si>
  <si>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</si>
  <si>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</si>
  <si>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</si>
  <si>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</si>
  <si>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</si>
  <si>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</si>
  <si>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</si>
  <si>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</si>
  <si>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</si>
  <si>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</si>
  <si>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</si>
  <si>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</si>
  <si>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</si>
  <si>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</si>
  <si>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</si>
  <si>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</si>
  <si>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</si>
  <si>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</si>
  <si>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</si>
  <si>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</si>
  <si>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</si>
  <si>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</si>
  <si>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</si>
  <si>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</si>
  <si>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</si>
  <si>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</si>
  <si>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</si>
  <si>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</si>
  <si>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</si>
  <si>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</si>
  <si>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</si>
  <si>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</si>
  <si>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</si>
  <si>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</si>
  <si>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</si>
  <si>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</si>
  <si>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</si>
  <si>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</si>
  <si>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</si>
  <si>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</si>
  <si>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</si>
  <si>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</si>
  <si>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</si>
  <si>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</si>
  <si>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</si>
  <si>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</si>
  <si>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</si>
  <si>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</si>
  <si>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</si>
  <si>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</si>
  <si>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</si>
  <si>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</si>
  <si>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</si>
  <si>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</si>
  <si>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</si>
  <si>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</si>
  <si>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</si>
  <si>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</si>
  <si>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</si>
  <si>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</si>
  <si>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</si>
  <si>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</si>
  <si>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</si>
  <si>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</si>
  <si>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</si>
  <si>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</si>
  <si>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</si>
  <si>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</si>
  <si>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</si>
  <si>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</si>
  <si>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</si>
  <si>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</si>
  <si>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</si>
  <si>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</si>
  <si>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</si>
  <si>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</si>
  <si>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</si>
  <si>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</si>
  <si>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</si>
  <si>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</si>
  <si>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</si>
  <si>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</si>
  <si>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</si>
  <si>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</si>
  <si>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</si>
  <si>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</si>
  <si>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</si>
  <si>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</si>
  <si>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</si>
  <si>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</si>
  <si>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</si>
  <si>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</si>
  <si>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</si>
  <si>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</si>
  <si>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</si>
  <si>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</si>
  <si>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</si>
  <si>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</si>
  <si>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</si>
  <si>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</si>
  <si>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</si>
  <si>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</si>
  <si>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</si>
  <si>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</si>
  <si>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</si>
  <si>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</si>
  <si>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</si>
  <si>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</si>
  <si>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</si>
  <si>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</si>
  <si>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</si>
  <si>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</si>
  <si>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</si>
  <si>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</si>
  <si>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</si>
  <si>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</si>
  <si>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</si>
  <si>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</si>
  <si>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</si>
  <si>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</si>
  <si>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</si>
  <si>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</si>
  <si>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</si>
  <si>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</si>
  <si>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</si>
  <si>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</si>
  <si>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</si>
  <si>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</si>
  <si>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</si>
  <si>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</si>
  <si>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</si>
  <si>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</si>
  <si>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</si>
  <si>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</si>
  <si>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</si>
  <si>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</si>
  <si>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</si>
  <si>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</si>
  <si>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</si>
  <si>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</si>
  <si>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</si>
  <si>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</si>
  <si>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</si>
  <si>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</si>
  <si>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</si>
  <si>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</si>
  <si>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</si>
  <si>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</si>
  <si>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</si>
  <si>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</si>
  <si>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</si>
  <si>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</si>
  <si>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</si>
  <si>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</si>
  <si>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</si>
  <si>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</si>
  <si>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</si>
  <si>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</si>
  <si>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</si>
  <si>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</si>
  <si>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</si>
  <si>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</si>
  <si>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</si>
  <si>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</si>
  <si>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</si>
  <si>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</si>
  <si>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</si>
  <si>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</si>
  <si>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</si>
  <si>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</si>
  <si>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</si>
  <si>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</si>
  <si>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</si>
  <si>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</si>
  <si>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</si>
  <si>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</si>
  <si>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</si>
  <si>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</si>
  <si>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</si>
  <si>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</si>
  <si>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</si>
  <si>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</si>
  <si>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</si>
  <si>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</si>
  <si>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</si>
  <si>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</si>
  <si>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</si>
  <si>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</si>
  <si>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</si>
  <si>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</si>
  <si>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</si>
  <si>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</si>
  <si>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</si>
  <si>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</si>
  <si>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</si>
  <si>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</si>
  <si>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</si>
  <si>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</si>
  <si>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</si>
  <si>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</si>
  <si>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</si>
  <si>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</si>
  <si>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</si>
  <si>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</si>
  <si>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</si>
  <si>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</si>
  <si>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</si>
  <si>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</si>
  <si>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</si>
  <si>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</si>
  <si>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</si>
  <si>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</si>
  <si>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</si>
  <si>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</si>
  <si>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</si>
  <si>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</si>
  <si>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</si>
  <si>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</si>
  <si>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</si>
  <si>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</si>
  <si>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</si>
  <si>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</si>
  <si>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</si>
  <si>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</si>
  <si>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</si>
  <si>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</si>
  <si>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</si>
  <si>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</si>
  <si>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</si>
  <si>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</si>
  <si>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</si>
  <si>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</si>
  <si>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</si>
  <si>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</si>
  <si>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</si>
  <si>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</si>
  <si>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</si>
  <si>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</si>
  <si>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</si>
  <si>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</si>
  <si>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</si>
  <si>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</si>
  <si>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</si>
  <si>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</si>
  <si>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</si>
  <si>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</si>
  <si>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</si>
  <si>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</si>
  <si>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</si>
  <si>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</si>
  <si>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</si>
  <si>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</si>
  <si>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</si>
  <si>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</si>
  <si>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</si>
  <si>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</si>
  <si>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</si>
  <si>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</si>
  <si>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</si>
  <si>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</si>
  <si>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</si>
  <si>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</si>
  <si>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</si>
  <si>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</si>
  <si>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</si>
  <si>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</si>
  <si>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</si>
  <si>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</si>
  <si>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</si>
  <si>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</si>
  <si>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</si>
  <si>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</si>
  <si>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</si>
  <si>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</si>
  <si>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</si>
  <si>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</si>
  <si>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</si>
  <si>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</si>
  <si>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</si>
  <si>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</si>
  <si>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</si>
  <si>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</si>
  <si>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</si>
  <si>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</si>
  <si>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</si>
  <si>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</si>
  <si>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</si>
  <si>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</si>
  <si>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</si>
  <si>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</si>
  <si>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</si>
  <si>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</si>
  <si>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</si>
  <si>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</si>
  <si>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</si>
  <si>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</si>
  <si>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</si>
  <si>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</si>
  <si>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</si>
  <si>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</si>
  <si>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</si>
  <si>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</si>
  <si>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</si>
  <si>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</si>
  <si>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</si>
  <si>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</si>
  <si>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</si>
  <si>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</si>
  <si>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</si>
  <si>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</si>
  <si>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</si>
  <si>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</si>
  <si>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</si>
  <si>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</si>
  <si>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</si>
  <si>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</si>
  <si>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</si>
  <si>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</si>
  <si>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</si>
  <si>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</si>
  <si>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</si>
  <si>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</si>
  <si>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</si>
  <si>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</si>
  <si>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</si>
  <si>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</si>
  <si>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</si>
  <si>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</si>
  <si>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</si>
  <si>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</si>
  <si>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</si>
  <si>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</si>
  <si>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</si>
  <si>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</si>
  <si>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</si>
  <si>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</si>
  <si>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</si>
  <si>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</si>
  <si>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</si>
  <si>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</si>
  <si>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</si>
  <si>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</si>
  <si>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</si>
  <si>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</si>
  <si>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</si>
  <si>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</si>
  <si>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</si>
  <si>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</si>
  <si>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</si>
  <si>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</si>
  <si>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</si>
  <si>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</si>
  <si>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</si>
  <si>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</si>
  <si>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</si>
  <si>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</si>
  <si>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</si>
  <si>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</si>
  <si>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</si>
  <si>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</si>
  <si>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</si>
  <si>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</si>
  <si>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</si>
  <si>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</si>
  <si>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</si>
  <si>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</si>
  <si>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</si>
  <si>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</si>
  <si>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</si>
  <si>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</si>
  <si>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</si>
  <si>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</si>
  <si>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</si>
  <si>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</si>
  <si>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</si>
  <si>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</si>
  <si>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</si>
  <si>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</si>
  <si>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</si>
  <si>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</si>
  <si>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</si>
  <si>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</si>
  <si>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</si>
  <si>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</si>
  <si>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</si>
  <si>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</si>
  <si>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</si>
  <si>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</si>
  <si>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</si>
  <si>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</si>
  <si>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</si>
  <si>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</si>
  <si>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</si>
  <si>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</si>
  <si>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</si>
  <si>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</si>
  <si>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</si>
  <si>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</si>
  <si>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</si>
  <si>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</si>
  <si>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</si>
  <si>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</si>
  <si>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</si>
  <si>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</si>
  <si>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</si>
  <si>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</si>
  <si>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</si>
  <si>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</si>
  <si>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</si>
  <si>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</si>
  <si>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</si>
  <si>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</si>
  <si>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</si>
  <si>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</si>
  <si>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</si>
  <si>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</si>
  <si>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</si>
  <si>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</si>
  <si>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</si>
  <si>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</si>
  <si>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</si>
  <si>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</si>
  <si>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</si>
  <si>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</si>
  <si>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</si>
  <si>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</si>
  <si>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</si>
  <si>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</si>
  <si>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</si>
  <si>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</si>
  <si>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</si>
  <si>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</si>
  <si>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</si>
  <si>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</si>
  <si>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</si>
  <si>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</si>
  <si>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</si>
  <si>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</si>
  <si>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</si>
  <si>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</si>
  <si>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</si>
  <si>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</si>
  <si>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</si>
  <si>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</si>
  <si>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</si>
  <si>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</si>
  <si>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</si>
  <si>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</si>
  <si>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</si>
  <si>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</si>
  <si>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</si>
  <si>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</si>
  <si>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</si>
  <si>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</si>
  <si>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</si>
  <si>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</si>
  <si>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</si>
  <si>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</si>
  <si>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</si>
  <si>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</si>
  <si>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</si>
  <si>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</si>
  <si>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</si>
  <si>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</si>
  <si>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</si>
  <si>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</si>
  <si>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</si>
  <si>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</si>
  <si>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</si>
  <si>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</si>
  <si>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</si>
  <si>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</si>
  <si>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</si>
  <si>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</si>
  <si>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</si>
  <si>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</si>
  <si>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</si>
  <si>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</si>
  <si>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</si>
  <si>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</si>
  <si>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</si>
  <si>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</si>
  <si>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</si>
  <si>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</si>
  <si>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</si>
  <si>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</si>
  <si>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</si>
  <si>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</si>
  <si>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</si>
  <si>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</si>
  <si>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</si>
  <si>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</si>
  <si>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</si>
  <si>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</si>
  <si>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</si>
  <si>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</si>
  <si>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</si>
  <si>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</si>
  <si>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</si>
  <si>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</si>
  <si>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</si>
  <si>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</si>
  <si>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</si>
  <si>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</si>
  <si>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</si>
  <si>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</si>
  <si>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</si>
  <si>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</si>
  <si>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</si>
  <si>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</si>
  <si>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</si>
  <si>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</si>
  <si>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</si>
  <si>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</si>
  <si>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</si>
  <si>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</si>
  <si>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</si>
  <si>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</si>
  <si>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</si>
  <si>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</si>
  <si>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</si>
  <si>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</si>
  <si>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</si>
  <si>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</si>
  <si>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</si>
  <si>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</si>
  <si>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</si>
  <si>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</si>
  <si>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</si>
  <si>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</si>
  <si>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</si>
  <si>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</si>
  <si>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</si>
  <si>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</si>
  <si>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</si>
  <si>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</si>
  <si>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</si>
  <si>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</si>
  <si>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</si>
  <si>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</si>
  <si>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</si>
  <si>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</si>
  <si>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</si>
  <si>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</si>
  <si>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</si>
  <si>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</si>
  <si>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</si>
  <si>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</si>
  <si>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</si>
  <si>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</si>
  <si>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</si>
  <si>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</si>
  <si>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</si>
  <si>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</si>
  <si>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</si>
  <si>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</si>
  <si>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</si>
  <si>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</si>
  <si>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</si>
  <si>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</si>
  <si>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</si>
  <si>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</si>
  <si>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</si>
  <si>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</si>
  <si>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</si>
  <si>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</si>
  <si>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</si>
  <si>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</si>
  <si>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</si>
  <si>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</si>
  <si>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</si>
  <si>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</si>
  <si>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</si>
  <si>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</si>
  <si>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</si>
  <si>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</si>
  <si>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</si>
  <si>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</si>
  <si>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</si>
  <si>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</si>
  <si>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</si>
  <si>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</si>
  <si>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</si>
  <si>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</si>
  <si>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</si>
  <si>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</si>
  <si>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</si>
  <si>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</si>
  <si>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</si>
  <si>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</si>
  <si>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</si>
  <si>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</si>
  <si>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</si>
  <si>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</si>
  <si>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</si>
  <si>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</si>
  <si>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</si>
  <si>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</si>
  <si>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</si>
  <si>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</si>
  <si>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</si>
  <si>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</si>
  <si>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</si>
  <si>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</si>
  <si>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</si>
  <si>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</si>
  <si>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</si>
  <si>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</si>
  <si>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</si>
  <si>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</si>
  <si>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</si>
  <si>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</si>
  <si>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</si>
  <si>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</si>
  <si>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</si>
  <si>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</si>
  <si>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</si>
  <si>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</si>
  <si>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</si>
  <si>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</si>
  <si>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</si>
  <si>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</si>
  <si>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</si>
  <si>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</si>
  <si>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</si>
  <si>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</si>
  <si>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</si>
  <si>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</si>
  <si>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</si>
  <si>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</si>
  <si>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</si>
  <si>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</si>
  <si>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</si>
  <si>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</si>
  <si>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</si>
  <si>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</si>
  <si>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</si>
  <si>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</si>
  <si>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</si>
  <si>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</si>
  <si>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</si>
  <si>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</si>
  <si>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</si>
  <si>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</si>
  <si>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</si>
  <si>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</si>
  <si>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</si>
  <si>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</si>
  <si>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</si>
  <si>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</si>
  <si>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</si>
  <si>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</si>
  <si>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</si>
  <si>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</si>
  <si>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</si>
  <si>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</si>
  <si>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</si>
  <si>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</si>
  <si>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</si>
  <si>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</si>
  <si>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</si>
  <si>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</si>
  <si>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</si>
  <si>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</si>
  <si>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</si>
  <si>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</si>
  <si>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</si>
  <si>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</si>
  <si>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</si>
  <si>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</si>
  <si>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</si>
  <si>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</si>
  <si>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</si>
  <si>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</si>
  <si>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</si>
  <si>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</si>
  <si>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</si>
  <si>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</si>
  <si>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</si>
  <si>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</si>
  <si>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</si>
  <si>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</si>
  <si>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</si>
  <si>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</si>
  <si>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</si>
  <si>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</si>
  <si>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</si>
  <si>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</si>
  <si>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</si>
  <si>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</si>
  <si>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</si>
  <si>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</si>
  <si>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</si>
  <si>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</si>
  <si>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</si>
  <si>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</si>
  <si>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</si>
  <si>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</si>
  <si>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</si>
  <si>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</si>
  <si>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</si>
  <si>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</si>
  <si>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</si>
  <si>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</si>
  <si>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</si>
  <si>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</si>
  <si>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</si>
  <si>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</si>
  <si>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</si>
  <si>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</si>
  <si>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</si>
  <si>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</si>
  <si>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</si>
  <si>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</si>
  <si>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</si>
  <si>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</si>
  <si>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</si>
  <si>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</si>
  <si>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</si>
  <si>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</si>
  <si>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</si>
  <si>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</si>
  <si>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</si>
  <si>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</si>
  <si>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</si>
  <si>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</si>
  <si>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</si>
  <si>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</si>
  <si>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</si>
  <si>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</si>
  <si>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</si>
  <si>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</si>
  <si>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</si>
  <si>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</si>
  <si>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</si>
  <si>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</si>
  <si>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</si>
  <si>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</si>
  <si>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</si>
  <si>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</si>
  <si>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</si>
  <si>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</si>
  <si>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</si>
  <si>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</si>
  <si>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</si>
  <si>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</si>
  <si>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</si>
  <si>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</si>
  <si>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</si>
  <si>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</si>
  <si>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</si>
  <si>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</si>
  <si>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</si>
  <si>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</si>
  <si>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</si>
  <si>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</si>
  <si>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</si>
  <si>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</si>
  <si>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</si>
  <si>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</si>
  <si>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</si>
  <si>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</si>
  <si>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</si>
  <si>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</si>
  <si>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</si>
  <si>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</si>
  <si>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</si>
  <si>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</si>
  <si>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</si>
  <si>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</si>
  <si>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</si>
  <si>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</si>
  <si>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</si>
  <si>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</si>
  <si>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</si>
  <si>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</si>
  <si>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</si>
  <si>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</si>
  <si>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</si>
  <si>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</si>
  <si>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</si>
  <si>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</si>
  <si>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</si>
  <si>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</si>
  <si>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</si>
  <si>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</si>
  <si>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</si>
  <si>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</si>
  <si>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</si>
  <si>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</si>
  <si>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</si>
  <si>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</si>
  <si>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</si>
  <si>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</si>
  <si>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</si>
  <si>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</si>
  <si>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</si>
  <si>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</si>
  <si>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</si>
  <si>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</si>
  <si>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</si>
  <si>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</si>
  <si>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</si>
  <si>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</si>
  <si>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</si>
  <si>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</si>
  <si>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</si>
  <si>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</si>
  <si>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</si>
  <si>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</si>
  <si>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</si>
  <si>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</si>
  <si>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</si>
  <si>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</si>
  <si>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</si>
  <si>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</si>
  <si>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</si>
  <si>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</si>
  <si>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</si>
  <si>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</si>
  <si>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</si>
  <si>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</si>
  <si>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</si>
  <si>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</si>
  <si>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</si>
  <si>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</si>
  <si>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</si>
  <si>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</si>
  <si>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</si>
  <si>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</si>
  <si>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</si>
  <si>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</si>
  <si>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</si>
  <si>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</si>
  <si>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</si>
  <si>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</si>
  <si>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</si>
  <si>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</si>
  <si>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</si>
  <si>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</si>
  <si>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</si>
  <si>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</si>
  <si>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</si>
  <si>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</si>
  <si>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</si>
  <si>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</si>
  <si>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</si>
  <si>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</si>
  <si>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</si>
  <si>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</si>
  <si>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</si>
  <si>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</si>
  <si>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</si>
  <si>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</si>
  <si>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</si>
  <si>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</si>
  <si>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</si>
  <si>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</si>
  <si>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</si>
  <si>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</si>
  <si>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</si>
  <si>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</si>
  <si>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</si>
  <si>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</si>
  <si>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</si>
  <si>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</si>
  <si>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</si>
  <si>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</si>
  <si>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</si>
  <si>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</si>
  <si>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</si>
  <si>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</si>
  <si>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</si>
  <si>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</si>
  <si>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</si>
  <si>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</si>
  <si>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</si>
  <si>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</si>
  <si>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</si>
  <si>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</si>
  <si>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</si>
  <si>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</si>
  <si>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</si>
  <si>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</si>
  <si>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</si>
  <si>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</si>
  <si>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</si>
  <si>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</si>
  <si>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</si>
  <si>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</si>
  <si>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</si>
  <si>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</si>
  <si>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</si>
  <si>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</si>
  <si>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</si>
  <si>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</si>
  <si>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</si>
  <si>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</si>
  <si>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</si>
  <si>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</si>
  <si>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</si>
  <si>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</si>
  <si>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</si>
  <si>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</si>
  <si>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</si>
  <si>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</si>
  <si>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</si>
  <si>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</si>
  <si>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</si>
  <si>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</si>
  <si>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</si>
  <si>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</si>
  <si>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</si>
  <si>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</si>
  <si>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</si>
  <si>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</si>
  <si>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</si>
  <si>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</si>
  <si>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</si>
  <si>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</si>
  <si>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</si>
  <si>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</si>
  <si>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</si>
  <si>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</si>
  <si>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</si>
  <si>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</si>
  <si>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</si>
  <si>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</si>
  <si>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</si>
  <si>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</si>
  <si>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</si>
  <si>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</si>
  <si>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</si>
  <si>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</si>
  <si>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</si>
  <si>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</si>
  <si>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</si>
  <si>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</si>
  <si>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</si>
  <si>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</si>
  <si>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</si>
  <si>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</si>
  <si>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</si>
  <si>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</si>
  <si>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</si>
  <si>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</si>
  <si>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</si>
  <si>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</si>
  <si>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</si>
  <si>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</si>
  <si>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</si>
  <si>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</si>
  <si>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</si>
  <si>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</si>
  <si>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</si>
  <si>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</si>
  <si>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</si>
  <si>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</si>
  <si>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</si>
  <si>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</si>
  <si>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</si>
  <si>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</si>
  <si>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</si>
  <si>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</si>
  <si>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</si>
  <si>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</si>
  <si>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</si>
  <si>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</si>
  <si>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</si>
  <si>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</si>
  <si>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</si>
  <si>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</si>
  <si>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</si>
  <si>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</si>
  <si>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</si>
  <si>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</si>
  <si>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</si>
  <si>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</si>
  <si>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</si>
  <si>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</si>
  <si>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</si>
  <si>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</si>
  <si>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</si>
  <si>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</si>
  <si>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</si>
  <si>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</si>
  <si>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</si>
  <si>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</si>
  <si>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</si>
  <si>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</si>
  <si>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</si>
  <si>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</si>
  <si>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</si>
  <si>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</si>
  <si>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</si>
  <si>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</si>
  <si>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</si>
  <si>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</si>
  <si>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</si>
  <si>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</si>
  <si>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</si>
  <si>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</si>
  <si>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</si>
  <si>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</si>
  <si>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</si>
  <si>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</si>
  <si>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</si>
  <si>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</si>
  <si>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</si>
  <si>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</si>
  <si>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</si>
  <si>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</si>
  <si>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</si>
  <si>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</si>
  <si>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</si>
  <si>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</si>
  <si>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</si>
  <si>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</si>
  <si>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</si>
  <si>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</si>
  <si>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</si>
  <si>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</si>
  <si>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</si>
  <si>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</si>
  <si>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</si>
  <si>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</si>
  <si>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</si>
  <si>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</si>
  <si>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</si>
  <si>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</si>
  <si>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</si>
  <si>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</si>
  <si>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</si>
  <si>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</si>
  <si>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</si>
  <si>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</si>
  <si>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</si>
  <si>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</si>
  <si>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</si>
  <si>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</si>
  <si>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</si>
  <si>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</si>
  <si>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</si>
  <si>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</si>
  <si>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</si>
  <si>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</si>
  <si>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</si>
  <si>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</si>
  <si>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</si>
  <si>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</si>
  <si>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</si>
  <si>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</si>
  <si>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</si>
  <si>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</si>
  <si>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</si>
  <si>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</si>
  <si>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</si>
  <si>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</si>
  <si>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</si>
  <si>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</si>
  <si>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</si>
  <si>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</si>
  <si>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</si>
  <si>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</si>
  <si>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</si>
  <si>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</si>
  <si>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</si>
  <si>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</si>
  <si>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</si>
  <si>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</si>
  <si>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</si>
  <si>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</si>
  <si>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</si>
  <si>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</si>
  <si>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</si>
  <si>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</si>
  <si>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</si>
  <si>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</si>
  <si>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</si>
  <si>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</si>
  <si>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</si>
  <si>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</si>
  <si>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</si>
  <si>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</si>
  <si>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</si>
  <si>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</si>
  <si>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</si>
  <si>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</si>
  <si>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</si>
  <si>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</si>
  <si>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</si>
  <si>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</si>
  <si>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</si>
  <si>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</si>
  <si>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</si>
  <si>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</si>
  <si>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</si>
  <si>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</si>
  <si>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</si>
  <si>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</si>
  <si>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</si>
  <si>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</si>
  <si>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</si>
  <si>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</si>
  <si>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</si>
  <si>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</si>
  <si>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</si>
  <si>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</si>
  <si>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</si>
  <si>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</si>
  <si>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</si>
  <si>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</si>
  <si>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</si>
  <si>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</si>
  <si>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</si>
  <si>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</si>
  <si>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</si>
  <si>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</si>
  <si>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</si>
  <si>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</si>
  <si>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</si>
  <si>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</si>
  <si>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</si>
  <si>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</si>
  <si>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</si>
  <si>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</si>
  <si>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</si>
  <si>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</si>
  <si>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</si>
  <si>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</si>
  <si>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</si>
  <si>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</si>
  <si>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</si>
  <si>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</si>
  <si>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</si>
  <si>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</si>
  <si>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</si>
  <si>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</si>
  <si>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</si>
  <si>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</si>
  <si>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</si>
  <si>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</si>
  <si>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</si>
  <si>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</si>
  <si>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</si>
  <si>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</si>
  <si>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</si>
  <si>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</si>
  <si>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</si>
  <si>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</si>
  <si>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</si>
  <si>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</si>
  <si>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</si>
  <si>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</si>
  <si>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</si>
  <si>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</si>
  <si>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</si>
  <si>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</si>
  <si>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</si>
  <si>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</si>
  <si>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</si>
  <si>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</si>
  <si>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</si>
  <si>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</si>
  <si>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</si>
  <si>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</si>
  <si>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</si>
  <si>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</si>
  <si>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</si>
  <si>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</si>
  <si>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</si>
  <si>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</si>
  <si>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</si>
  <si>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</si>
  <si>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</si>
  <si>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</si>
  <si>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</si>
  <si>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</si>
  <si>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</si>
  <si>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</si>
  <si>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</si>
  <si>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</si>
  <si>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</si>
  <si>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</si>
  <si>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</si>
  <si>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</si>
  <si>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</si>
  <si>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</si>
  <si>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</si>
  <si>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</si>
  <si>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</si>
  <si>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</si>
  <si>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</si>
  <si>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</si>
  <si>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</si>
  <si>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</si>
  <si>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</si>
  <si>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</si>
  <si>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</si>
  <si>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</si>
  <si>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</si>
  <si>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</si>
  <si>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</si>
  <si>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</si>
  <si>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</si>
  <si>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</si>
  <si>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</si>
  <si>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</si>
  <si>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</si>
  <si>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</si>
  <si>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</si>
  <si>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</si>
  <si>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</si>
  <si>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</si>
  <si>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</si>
  <si>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</si>
  <si>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</si>
  <si>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</si>
  <si>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</si>
  <si>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</si>
  <si>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</si>
  <si>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</si>
  <si>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</si>
  <si>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</si>
  <si>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</si>
  <si>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</si>
  <si>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</si>
  <si>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</si>
  <si>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</si>
  <si>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</si>
  <si>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</si>
  <si>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</si>
  <si>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</si>
  <si>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</si>
  <si>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</si>
  <si>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</si>
  <si>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</si>
  <si>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</si>
  <si>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</si>
  <si>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</si>
  <si>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</si>
  <si>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</si>
  <si>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</si>
  <si>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</si>
  <si>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</si>
  <si>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</si>
  <si>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</si>
  <si>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</si>
  <si>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</si>
  <si>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</si>
  <si>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</si>
  <si>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</si>
  <si>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</si>
  <si>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</si>
  <si>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</si>
  <si>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</si>
  <si>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</si>
  <si>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</si>
  <si>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</si>
  <si>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</si>
  <si>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</si>
  <si>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</si>
  <si>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</si>
  <si>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</si>
  <si>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</si>
  <si>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</si>
  <si>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</si>
  <si>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</si>
  <si>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</si>
  <si>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</si>
  <si>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</si>
  <si>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</si>
  <si>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</si>
  <si>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</si>
  <si>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</si>
  <si>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</si>
  <si>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</si>
  <si>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</si>
  <si>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</si>
  <si>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</si>
  <si>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</si>
  <si>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</si>
  <si>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</si>
  <si>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</si>
  <si>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</si>
  <si>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</si>
  <si>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</si>
  <si>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</si>
  <si>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</si>
  <si>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</si>
  <si>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</si>
  <si>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</si>
  <si>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</si>
  <si>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</si>
  <si>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</si>
  <si>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</si>
  <si>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</si>
  <si>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</si>
  <si>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</si>
  <si>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</si>
  <si>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</si>
  <si>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</si>
  <si>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</si>
  <si>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</si>
  <si>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</si>
  <si>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</si>
  <si>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</si>
  <si>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</si>
  <si>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</si>
  <si>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</si>
  <si>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</si>
  <si>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</si>
  <si>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</si>
  <si>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</si>
  <si>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</si>
  <si>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</si>
  <si>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</si>
  <si>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</si>
  <si>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</si>
  <si>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</si>
  <si>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</si>
  <si>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</si>
  <si>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</si>
  <si>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</si>
  <si>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</si>
  <si>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</si>
  <si>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</si>
  <si>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</si>
  <si>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</si>
  <si>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</si>
  <si>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</si>
  <si>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</si>
  <si>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</si>
  <si>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</si>
  <si>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</si>
  <si>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</si>
  <si>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</si>
  <si>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</si>
  <si>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</si>
  <si>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</si>
  <si>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</si>
  <si>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</si>
  <si>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</si>
  <si>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</si>
  <si>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</si>
  <si>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</si>
  <si>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</si>
  <si>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</si>
  <si>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</si>
  <si>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</si>
  <si>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</si>
  <si>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</si>
  <si>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</si>
  <si>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</si>
  <si>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</si>
  <si>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</si>
  <si>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</si>
  <si>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</si>
  <si>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</si>
  <si>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</si>
  <si>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</si>
  <si>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</si>
  <si>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</si>
  <si>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</si>
  <si>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</si>
  <si>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</si>
  <si>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</si>
  <si>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</si>
  <si>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</si>
  <si>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</si>
  <si>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</si>
  <si>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</si>
  <si>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</si>
  <si>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</si>
  <si>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</si>
  <si>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</si>
  <si>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</si>
  <si>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</si>
  <si>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</si>
  <si>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</si>
  <si>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</si>
  <si>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</si>
  <si>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</si>
  <si>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</si>
  <si>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</si>
  <si>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</si>
  <si>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</si>
  <si>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</si>
  <si>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</si>
  <si>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</si>
  <si>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</si>
  <si>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</si>
  <si>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</si>
  <si>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</si>
  <si>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</si>
  <si>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</si>
  <si>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</si>
  <si>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</si>
  <si>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</si>
  <si>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</si>
  <si>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</si>
  <si>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</si>
  <si>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</si>
  <si>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</si>
  <si>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</si>
  <si>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</si>
  <si>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</si>
  <si>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</si>
  <si>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</si>
  <si>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</si>
  <si>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</si>
  <si>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</si>
  <si>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</si>
  <si>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</si>
  <si>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</si>
  <si>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</si>
  <si>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</si>
  <si>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</si>
  <si>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</si>
  <si>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</si>
  <si>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</si>
  <si>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</si>
  <si>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</si>
  <si>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</si>
  <si>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</si>
  <si>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</si>
  <si>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</si>
  <si>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</si>
  <si>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</si>
  <si>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</si>
  <si>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</si>
  <si>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</si>
  <si>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</si>
  <si>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</si>
  <si>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</si>
  <si>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</si>
  <si>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</si>
  <si>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</si>
  <si>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</si>
  <si>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</si>
  <si>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</si>
  <si>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</si>
  <si>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</si>
  <si>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</si>
  <si>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</si>
  <si>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</si>
  <si>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</si>
  <si>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</si>
  <si>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</si>
  <si>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</si>
  <si>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</si>
  <si>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</si>
  <si>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</si>
  <si>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</si>
  <si>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</si>
  <si>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</si>
  <si>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</si>
  <si>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</si>
  <si>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</si>
  <si>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</si>
  <si>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</si>
  <si>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</si>
  <si>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</si>
  <si>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</si>
  <si>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</si>
  <si>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</si>
  <si>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</si>
  <si>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</si>
  <si>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</si>
  <si>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</si>
  <si>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</si>
  <si>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</si>
  <si>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</si>
  <si>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</si>
  <si>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</si>
  <si>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</si>
  <si>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</si>
  <si>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</si>
  <si>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</si>
  <si>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</si>
  <si>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</si>
  <si>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</si>
  <si>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</si>
  <si>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</si>
  <si>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</si>
  <si>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</si>
  <si>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</si>
  <si>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</si>
  <si>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</si>
  <si>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</si>
  <si>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</si>
  <si>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</si>
  <si>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</si>
  <si>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</si>
  <si>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</si>
  <si>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</si>
  <si>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</si>
  <si>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</si>
  <si>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</si>
  <si>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</si>
  <si>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</si>
  <si>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</si>
  <si>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</si>
  <si>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</si>
  <si>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</si>
  <si>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</si>
  <si>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</si>
  <si>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</si>
  <si>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</si>
  <si>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</si>
  <si>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</si>
  <si>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</si>
  <si>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</si>
  <si>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</si>
  <si>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</si>
  <si>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</si>
  <si>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</si>
  <si>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</si>
  <si>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</si>
  <si>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</si>
  <si>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</si>
  <si>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</si>
  <si>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</si>
  <si>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</si>
  <si>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</si>
  <si>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</si>
  <si>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</si>
  <si>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</si>
  <si>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</si>
  <si>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</si>
  <si>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</si>
  <si>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</si>
  <si>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</si>
  <si>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</si>
  <si>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</si>
  <si>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</si>
  <si>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</si>
  <si>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</si>
  <si>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</si>
  <si>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</si>
  <si>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</si>
  <si>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</si>
  <si>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</si>
  <si>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</si>
  <si>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</si>
  <si>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</si>
  <si>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</si>
  <si>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</si>
  <si>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</si>
  <si>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</si>
  <si>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</si>
  <si>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</si>
  <si>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</si>
  <si>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</si>
  <si>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</si>
  <si>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</si>
  <si>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</si>
  <si>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</si>
  <si>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</si>
  <si>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</si>
  <si>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</si>
  <si>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</si>
  <si>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</si>
  <si>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</si>
  <si>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</si>
  <si>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</si>
  <si>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</si>
  <si>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</si>
  <si>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</si>
  <si>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</si>
  <si>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</si>
  <si>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</si>
  <si>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</si>
  <si>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</si>
  <si>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</si>
  <si>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</si>
  <si>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</si>
  <si>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</si>
  <si>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</si>
  <si>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</si>
  <si>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</si>
  <si>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</si>
  <si>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</si>
  <si>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</si>
  <si>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</si>
  <si>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</si>
  <si>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</si>
  <si>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</si>
  <si>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</si>
  <si>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</si>
  <si>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</si>
  <si>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</si>
  <si>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</si>
  <si>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</si>
  <si>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</si>
  <si>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</si>
  <si>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</si>
  <si>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</si>
  <si>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</si>
  <si>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</si>
  <si>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</si>
  <si>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</si>
  <si>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</si>
  <si>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</si>
  <si>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</si>
  <si>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</si>
  <si>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</si>
  <si>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</si>
  <si>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</si>
  <si>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</si>
  <si>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</si>
  <si>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</si>
  <si>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</si>
  <si>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</si>
  <si>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</si>
  <si>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</si>
  <si>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</si>
  <si>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</si>
  <si>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</si>
  <si>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</si>
  <si>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</si>
  <si>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</si>
  <si>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</si>
  <si>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</si>
  <si>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</si>
  <si>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</si>
  <si>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</si>
  <si>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</si>
  <si>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</si>
  <si>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</si>
  <si>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</si>
  <si>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</si>
  <si>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</si>
  <si>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</si>
  <si>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</si>
  <si>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</si>
  <si>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</si>
  <si>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</si>
  <si>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</si>
  <si>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</si>
  <si>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</si>
  <si>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</si>
  <si>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</si>
  <si>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</si>
  <si>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</si>
  <si>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</si>
  <si>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</si>
  <si>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</si>
  <si>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</si>
  <si>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</si>
  <si>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</si>
  <si>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</si>
  <si>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</si>
  <si>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</si>
  <si>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</si>
  <si>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</si>
  <si>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</si>
  <si>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</si>
  <si>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</si>
  <si>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</si>
  <si>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</si>
  <si>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</si>
  <si>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</si>
  <si>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</si>
  <si>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</si>
  <si>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</si>
  <si>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</si>
  <si>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</si>
  <si>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</si>
  <si>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</si>
  <si>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</si>
  <si>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</si>
  <si>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</si>
  <si>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</si>
  <si>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</si>
  <si>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</si>
  <si>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</si>
  <si>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</si>
  <si>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</si>
  <si>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</si>
  <si>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</si>
  <si>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</si>
  <si>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</si>
  <si>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</si>
  <si>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</si>
  <si>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</si>
  <si>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</si>
  <si>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</si>
  <si>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</si>
  <si>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</si>
  <si>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</si>
  <si>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</si>
  <si>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</si>
  <si>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</si>
  <si>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</si>
  <si>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</si>
  <si>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</si>
  <si>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</si>
  <si>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</si>
  <si>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</si>
  <si>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</si>
  <si>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</si>
  <si>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</si>
  <si>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</si>
  <si>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</si>
  <si>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</si>
  <si>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</si>
  <si>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</si>
  <si>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</si>
  <si>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</si>
  <si>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</si>
  <si>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</si>
  <si>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</si>
  <si>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</si>
  <si>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</si>
  <si>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</si>
  <si>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</si>
  <si>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</si>
  <si>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</si>
  <si>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</si>
  <si>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</si>
  <si>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</si>
  <si>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</si>
  <si>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</si>
  <si>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</si>
  <si>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</si>
  <si>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</si>
  <si>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</si>
  <si>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</si>
  <si>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</si>
  <si>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</si>
  <si>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</si>
  <si>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</si>
  <si>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</si>
  <si>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</si>
  <si>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</si>
  <si>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</si>
  <si>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</si>
  <si>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</si>
  <si>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</si>
  <si>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</si>
  <si>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</si>
  <si>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</si>
  <si>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</si>
  <si>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</si>
  <si>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</si>
  <si>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</si>
  <si>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</si>
  <si>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</si>
  <si>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</si>
  <si>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</si>
  <si>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</si>
  <si>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</si>
  <si>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</si>
  <si>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</si>
  <si>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</si>
  <si>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</si>
  <si>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</si>
  <si>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</si>
  <si>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</si>
  <si>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</si>
  <si>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</si>
  <si>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</si>
  <si>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</si>
  <si>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</si>
  <si>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</si>
  <si>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</si>
  <si>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</si>
  <si>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</si>
  <si>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</si>
  <si>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</si>
  <si>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</si>
  <si>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</si>
  <si>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</si>
  <si>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</si>
  <si>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</si>
  <si>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</si>
  <si>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</si>
  <si>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</si>
  <si>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</si>
  <si>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</si>
  <si>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</si>
  <si>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</si>
  <si>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</si>
  <si>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</si>
  <si>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</si>
  <si>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</si>
  <si>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</si>
  <si>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</si>
  <si>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</si>
  <si>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</si>
  <si>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</si>
  <si>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</si>
  <si>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</si>
  <si>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</si>
  <si>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</si>
  <si>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</si>
  <si>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</si>
  <si>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</si>
  <si>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</si>
  <si>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</si>
  <si>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</si>
  <si>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</si>
  <si>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</si>
  <si>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</si>
  <si>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</si>
  <si>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</si>
  <si>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</si>
  <si>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</si>
  <si>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</si>
  <si>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</si>
  <si>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</si>
  <si>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</si>
  <si>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</si>
  <si>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</si>
  <si>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</si>
  <si>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</si>
  <si>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</si>
  <si>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</si>
  <si>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</si>
  <si>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</si>
  <si>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</si>
  <si>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</si>
  <si>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</si>
  <si>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</si>
  <si>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</si>
  <si>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</si>
  <si>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</si>
  <si>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</si>
  <si>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</si>
  <si>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</si>
  <si>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</si>
  <si>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</si>
  <si>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</si>
  <si>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</si>
  <si>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</si>
  <si>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</si>
  <si>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</si>
  <si>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</si>
  <si>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</si>
  <si>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</si>
  <si>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</si>
  <si>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</si>
  <si>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</si>
  <si>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</si>
  <si>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</si>
  <si>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</si>
  <si>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</si>
  <si>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</si>
  <si>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</si>
  <si>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</si>
  <si>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</si>
  <si>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</si>
  <si>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</si>
  <si>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</si>
  <si>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</si>
  <si>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</si>
  <si>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</si>
  <si>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</si>
  <si>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</si>
  <si>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</si>
  <si>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</si>
  <si>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</si>
  <si>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</si>
  <si>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</si>
  <si>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</si>
  <si>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</si>
  <si>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</si>
  <si>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</si>
  <si>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</si>
  <si>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</si>
  <si>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</si>
  <si>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</si>
  <si>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</si>
  <si>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</si>
  <si>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</si>
  <si>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</si>
  <si>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</si>
  <si>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</si>
  <si>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</si>
  <si>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</si>
  <si>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</si>
  <si>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</si>
  <si>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</si>
  <si>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</si>
  <si>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</si>
  <si>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</si>
  <si>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</si>
  <si>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</si>
  <si>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</si>
  <si>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</si>
  <si>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</si>
  <si>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</si>
  <si>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</si>
  <si>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</si>
  <si>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</si>
  <si>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</si>
  <si>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</si>
  <si>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</si>
  <si>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</si>
  <si>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</si>
  <si>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</si>
  <si>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</si>
  <si>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</si>
  <si>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</si>
  <si>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</si>
  <si>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</si>
  <si>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</si>
  <si>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</si>
  <si>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</si>
  <si>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</si>
  <si>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</si>
  <si>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</si>
  <si>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</si>
  <si>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</si>
  <si>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</si>
  <si>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</si>
  <si>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</si>
  <si>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</si>
  <si>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</si>
  <si>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</si>
  <si>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</si>
  <si>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</si>
  <si>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</si>
  <si>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</si>
  <si>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</si>
  <si>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</si>
  <si>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</si>
  <si>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</si>
  <si>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</si>
  <si>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</si>
  <si>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</si>
  <si>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</si>
  <si>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</si>
  <si>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</si>
  <si>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</si>
  <si>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</si>
  <si>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</si>
  <si>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</si>
  <si>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</si>
  <si>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</si>
  <si>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</si>
  <si>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</si>
  <si>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</si>
  <si>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</si>
  <si>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</si>
  <si>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</si>
  <si>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</si>
  <si>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</si>
  <si>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</si>
  <si>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</si>
  <si>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</si>
  <si>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</si>
  <si>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</si>
  <si>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</si>
  <si>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</si>
  <si>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</si>
  <si>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</si>
  <si>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</si>
  <si>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</si>
  <si>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</si>
  <si>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</si>
  <si>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</si>
  <si>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</si>
  <si>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</si>
  <si>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</si>
  <si>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</si>
  <si>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</si>
  <si>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</si>
  <si>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</si>
  <si>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</si>
  <si>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</si>
  <si>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</si>
  <si>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</si>
  <si>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</si>
  <si>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</si>
  <si>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</si>
  <si>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</si>
  <si>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</si>
  <si>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</si>
  <si>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</si>
  <si>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</si>
  <si>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</si>
  <si>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</si>
  <si>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</si>
  <si>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</si>
  <si>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</si>
  <si>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</si>
  <si>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</si>
  <si>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</si>
  <si>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</si>
  <si>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</si>
  <si>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</si>
  <si>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</si>
  <si>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</si>
  <si>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</si>
  <si>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</si>
  <si>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</si>
  <si>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</si>
  <si>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</si>
  <si>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</si>
  <si>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</si>
  <si>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</si>
  <si>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</si>
  <si>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</si>
  <si>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</si>
  <si>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</si>
  <si>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</si>
  <si>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</si>
  <si>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</si>
  <si>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</si>
  <si>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</si>
  <si>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</si>
  <si>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</si>
  <si>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</si>
  <si>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</si>
  <si>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</si>
  <si>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</si>
  <si>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</si>
  <si>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</si>
  <si>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</si>
  <si>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</si>
  <si>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</si>
  <si>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</si>
  <si>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</si>
  <si>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</si>
  <si>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</si>
  <si>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</si>
  <si>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</si>
  <si>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</si>
  <si>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</si>
  <si>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</si>
  <si>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</si>
  <si>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</si>
  <si>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</si>
  <si>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</si>
  <si>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</si>
  <si>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</si>
  <si>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</si>
  <si>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</si>
  <si>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</si>
  <si>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</si>
  <si>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</si>
  <si>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</si>
  <si>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</si>
  <si>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</si>
  <si>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</si>
  <si>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</si>
  <si>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</si>
  <si>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</si>
  <si>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</si>
  <si>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</si>
  <si>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</si>
  <si>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</si>
  <si>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</si>
  <si>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</si>
  <si>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</si>
  <si>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</si>
  <si>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</si>
  <si>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</si>
  <si>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</si>
  <si>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</si>
  <si>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</si>
  <si>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</si>
  <si>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</si>
  <si>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</si>
  <si>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</si>
  <si>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</si>
  <si>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</si>
  <si>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</si>
  <si>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</si>
  <si>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</si>
  <si>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</si>
  <si>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</si>
  <si>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</si>
  <si>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</si>
  <si>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</si>
  <si>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</si>
  <si>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</si>
  <si>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</si>
  <si>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</si>
  <si>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</si>
  <si>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</si>
  <si>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</si>
  <si>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</si>
  <si>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</si>
  <si>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</si>
  <si>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</si>
  <si>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</si>
  <si>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</si>
  <si>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</si>
  <si>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</si>
  <si>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</si>
  <si>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</si>
  <si>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</si>
  <si>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</si>
  <si>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</si>
  <si>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</si>
  <si>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</si>
  <si>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</si>
  <si>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</si>
  <si>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</si>
  <si>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</si>
  <si>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</si>
  <si>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</si>
  <si>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</si>
  <si>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</si>
  <si>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</si>
  <si>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</si>
  <si>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</si>
  <si>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</si>
  <si>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</si>
  <si>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</si>
  <si>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</si>
  <si>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</si>
  <si>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</si>
  <si>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</si>
  <si>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</si>
  <si>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</si>
  <si>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</si>
  <si>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</si>
  <si>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</si>
  <si>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</si>
  <si>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</si>
  <si>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</si>
  <si>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</si>
  <si>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</si>
  <si>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</si>
  <si>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</si>
  <si>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</si>
  <si>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</si>
  <si>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</si>
  <si>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</si>
  <si>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</si>
  <si>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</si>
  <si>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</si>
  <si>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</si>
  <si>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</si>
  <si>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</si>
  <si>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</si>
  <si>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</si>
  <si>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</si>
  <si>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</si>
  <si>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</si>
  <si>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</si>
  <si>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</si>
  <si>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</si>
  <si>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</si>
  <si>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</si>
  <si>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</si>
  <si>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</si>
  <si>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</si>
  <si>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</si>
  <si>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</si>
  <si>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</si>
  <si>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</si>
  <si>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</si>
  <si>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</si>
  <si>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</si>
  <si>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</si>
  <si>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</si>
  <si>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</si>
  <si>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</si>
  <si>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</si>
  <si>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</si>
  <si>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</si>
  <si>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</si>
  <si>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</si>
  <si>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</si>
  <si>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</si>
  <si>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</si>
  <si>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</si>
  <si>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</si>
  <si>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</si>
  <si>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</si>
  <si>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</si>
  <si>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</si>
  <si>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</si>
  <si>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</si>
  <si>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</si>
  <si>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</si>
  <si>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</si>
  <si>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</si>
  <si>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</si>
  <si>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</si>
  <si>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</si>
  <si>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</si>
  <si>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</si>
  <si>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</si>
  <si>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</si>
  <si>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</si>
  <si>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</si>
  <si>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</si>
  <si>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</si>
  <si>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</si>
  <si>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</si>
  <si>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</si>
  <si>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</si>
  <si>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</si>
  <si>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</si>
  <si>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</si>
  <si>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</si>
  <si>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</si>
  <si>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</si>
  <si>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</si>
  <si>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</si>
  <si>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</si>
  <si>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</si>
  <si>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</si>
  <si>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</si>
  <si>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</si>
  <si>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</si>
  <si>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</si>
  <si>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</si>
  <si>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</si>
  <si>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</si>
  <si>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</si>
  <si>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</si>
  <si>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</si>
  <si>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</si>
  <si>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</si>
  <si>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</si>
  <si>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</si>
  <si>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</si>
  <si>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</si>
  <si>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</si>
  <si>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</si>
  <si>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</si>
  <si>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</si>
  <si>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</si>
  <si>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</si>
  <si>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</si>
  <si>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</si>
  <si>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</si>
  <si>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</si>
  <si>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</si>
  <si>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</si>
  <si>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</si>
  <si>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</si>
  <si>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</si>
  <si>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</si>
  <si>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</si>
  <si>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</si>
  <si>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</si>
  <si>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</si>
  <si>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</si>
  <si>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</si>
  <si>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</si>
  <si>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</si>
  <si>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</si>
  <si>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</si>
  <si>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</si>
  <si>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</si>
  <si>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</si>
  <si>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</si>
  <si>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</si>
  <si>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</si>
  <si>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</si>
  <si>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</si>
  <si>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</si>
  <si>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</si>
  <si>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</si>
  <si>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</si>
  <si>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</si>
  <si>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</si>
  <si>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</si>
  <si>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</si>
  <si>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</si>
  <si>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</si>
  <si>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</si>
  <si>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</si>
  <si>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</si>
  <si>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</si>
  <si>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</si>
  <si>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</si>
  <si>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</si>
  <si>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</si>
  <si>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</si>
  <si>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</si>
  <si>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</si>
  <si>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</si>
  <si>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</si>
  <si>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</si>
  <si>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</si>
  <si>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</si>
  <si>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</si>
  <si>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</si>
  <si>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</si>
  <si>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</si>
  <si>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</si>
  <si>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</si>
  <si>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</si>
  <si>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</si>
  <si>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</si>
  <si>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</si>
  <si>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</si>
  <si>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</si>
  <si>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</si>
  <si>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</si>
  <si>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</si>
  <si>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</si>
  <si>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</si>
  <si>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</si>
  <si>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</si>
  <si>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</si>
  <si>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</si>
  <si>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</si>
  <si>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</si>
  <si>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</si>
  <si>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</si>
  <si>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</si>
  <si>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</si>
  <si>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</si>
  <si>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</si>
  <si>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</si>
  <si>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</si>
  <si>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</si>
  <si>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</si>
  <si>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</si>
  <si>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</si>
  <si>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</si>
  <si>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</si>
  <si>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</si>
  <si>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</si>
  <si>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</si>
  <si>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</si>
  <si>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</si>
  <si>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</si>
  <si>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</si>
  <si>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</si>
  <si>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</si>
  <si>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</si>
  <si>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</si>
  <si>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</si>
  <si>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</si>
  <si>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</si>
  <si>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</si>
  <si>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</si>
  <si>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</si>
  <si>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</si>
  <si>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</si>
  <si>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</si>
  <si>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</si>
  <si>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</si>
  <si>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</si>
  <si>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</si>
  <si>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</si>
  <si>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</si>
  <si>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</si>
  <si>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</si>
  <si>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</si>
  <si>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</si>
  <si>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</si>
  <si>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</si>
  <si>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</si>
  <si>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</si>
  <si>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</si>
  <si>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</si>
  <si>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</si>
  <si>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</si>
  <si>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</si>
  <si>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</si>
  <si>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</si>
  <si>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</si>
  <si>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</si>
  <si>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</si>
  <si>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</si>
  <si>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</si>
  <si>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</si>
  <si>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</si>
  <si>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</si>
  <si>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</si>
  <si>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</si>
  <si>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</si>
  <si>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</si>
  <si>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</si>
  <si>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</si>
  <si>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</si>
  <si>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</si>
  <si>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</si>
  <si>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</si>
  <si>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</si>
  <si>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</si>
  <si>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</si>
  <si>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</si>
  <si>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</si>
  <si>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</si>
  <si>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</si>
  <si>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</si>
  <si>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</si>
  <si>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</si>
  <si>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</si>
  <si>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</si>
  <si>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</si>
  <si>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</si>
  <si>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</si>
  <si>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</si>
  <si>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</si>
  <si>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</si>
  <si>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</si>
  <si>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</si>
  <si>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</si>
  <si>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</si>
  <si>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</si>
  <si>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</si>
  <si>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</si>
  <si>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</si>
  <si>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</si>
  <si>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</si>
  <si>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</si>
  <si>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</si>
  <si>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</si>
  <si>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</si>
  <si>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</si>
  <si>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</si>
  <si>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</si>
  <si>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</si>
  <si>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</si>
  <si>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</si>
  <si>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</si>
  <si>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</si>
  <si>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</si>
  <si>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</si>
  <si>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</si>
  <si>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</si>
  <si>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</si>
  <si>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</si>
  <si>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</si>
  <si>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</si>
  <si>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</si>
  <si>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</si>
  <si>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</si>
  <si>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</si>
  <si>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</si>
  <si>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</si>
  <si>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</si>
  <si>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</si>
  <si>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</si>
  <si>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</si>
  <si>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</si>
  <si>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</si>
  <si>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</si>
  <si>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</si>
  <si>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</si>
  <si>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</si>
  <si>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</si>
  <si>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</si>
  <si>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</si>
  <si>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</si>
  <si>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</si>
  <si>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</si>
  <si>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</si>
  <si>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</si>
  <si>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</si>
  <si>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</si>
  <si>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</si>
  <si>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</si>
  <si>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</si>
  <si>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</si>
  <si>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</si>
  <si>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</si>
  <si>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</si>
  <si>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</si>
  <si>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</si>
  <si>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</si>
  <si>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</si>
  <si>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</si>
  <si>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</si>
  <si>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</si>
  <si>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</si>
  <si>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</si>
  <si>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</si>
  <si>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</si>
  <si>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</si>
  <si>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</si>
  <si>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</si>
  <si>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</si>
  <si>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</si>
  <si>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</si>
  <si>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</si>
  <si>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</si>
  <si>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</si>
  <si>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</si>
  <si>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</si>
  <si>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</si>
  <si>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</si>
  <si>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</si>
  <si>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</si>
  <si>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</si>
  <si>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</si>
  <si>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</si>
  <si>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</si>
  <si>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</si>
  <si>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</si>
  <si>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</si>
  <si>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</si>
  <si>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</si>
  <si>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</si>
  <si>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</si>
  <si>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</si>
  <si>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</si>
  <si>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</si>
  <si>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</si>
  <si>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</si>
  <si>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</si>
  <si>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</si>
  <si>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</si>
  <si>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</si>
  <si>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</si>
  <si>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</si>
  <si>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</si>
  <si>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</si>
  <si>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</si>
  <si>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</si>
  <si>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</si>
  <si>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</si>
  <si>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</si>
  <si>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</si>
  <si>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</si>
  <si>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</si>
  <si>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</si>
  <si>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</si>
  <si>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</si>
  <si>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</si>
  <si>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</si>
  <si>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</si>
  <si>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</si>
  <si>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</si>
  <si>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</si>
  <si>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</si>
  <si>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</si>
  <si>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</si>
  <si>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</si>
  <si>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</si>
  <si>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</si>
  <si>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</si>
  <si>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</si>
  <si>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</si>
  <si>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</si>
  <si>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</si>
  <si>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</si>
  <si>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</si>
  <si>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</si>
  <si>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</si>
  <si>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</si>
  <si>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</si>
  <si>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</si>
  <si>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</si>
  <si>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</si>
  <si>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</si>
  <si>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</si>
  <si>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</si>
  <si>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</si>
  <si>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</si>
  <si>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</si>
  <si>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</si>
  <si>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</si>
  <si>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</si>
  <si>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</si>
  <si>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</si>
  <si>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</si>
  <si>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</si>
  <si>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</si>
  <si>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</si>
  <si>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</si>
  <si>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</si>
  <si>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</si>
  <si>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</si>
  <si>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</si>
  <si>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</si>
  <si>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</si>
  <si>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</si>
  <si>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</si>
  <si>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</si>
  <si>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</si>
  <si>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</si>
  <si>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</si>
  <si>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</si>
  <si>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</si>
  <si>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</si>
  <si>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</si>
  <si>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</si>
  <si>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</si>
  <si>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</si>
  <si>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</si>
  <si>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</si>
  <si>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</si>
  <si>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</si>
  <si>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</si>
  <si>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</si>
  <si>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</si>
  <si>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</si>
  <si>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</si>
  <si>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</si>
  <si>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</si>
  <si>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</si>
  <si>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</si>
  <si>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</si>
  <si>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</si>
  <si>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</si>
  <si>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</si>
  <si>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</si>
  <si>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</si>
  <si>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</si>
  <si>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</si>
  <si>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</si>
  <si>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</si>
  <si>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</si>
  <si>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</si>
  <si>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</si>
  <si>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</si>
  <si>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</si>
  <si>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</si>
  <si>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</si>
  <si>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</si>
  <si>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</si>
  <si>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</si>
  <si>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</si>
  <si>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</si>
  <si>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</si>
  <si>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</si>
  <si>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</si>
  <si>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</si>
  <si>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</si>
  <si>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</si>
  <si>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</si>
  <si>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</si>
  <si>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</si>
  <si>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</si>
  <si>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</si>
  <si>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</si>
  <si>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</si>
  <si>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</si>
  <si>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</si>
  <si>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</si>
  <si>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</si>
  <si>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</si>
  <si>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</si>
  <si>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</si>
  <si>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</si>
  <si>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</si>
  <si>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</si>
  <si>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</si>
  <si>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</si>
  <si>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</si>
  <si>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</si>
  <si>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</si>
  <si>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</si>
  <si>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</si>
  <si>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</si>
  <si>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</si>
  <si>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</si>
  <si>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</si>
  <si>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</si>
  <si>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</si>
  <si>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</si>
  <si>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</si>
  <si>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</si>
  <si>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</si>
  <si>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</si>
  <si>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</si>
  <si>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</si>
  <si>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</si>
  <si>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</si>
  <si>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</si>
  <si>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</si>
  <si>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</si>
  <si>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</si>
  <si>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</si>
  <si>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</si>
  <si>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</si>
  <si>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</si>
  <si>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</si>
  <si>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</si>
  <si>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</si>
  <si>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</si>
  <si>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</si>
  <si>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</si>
  <si>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</si>
  <si>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</si>
  <si>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</si>
  <si>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</si>
  <si>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</si>
  <si>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</si>
  <si>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</si>
  <si>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</si>
  <si>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</si>
  <si>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</si>
  <si>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</si>
  <si>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</si>
  <si>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</si>
  <si>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</si>
  <si>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</si>
  <si>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</si>
  <si>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</si>
  <si>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</si>
  <si>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</si>
  <si>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</si>
  <si>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</si>
  <si>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</si>
  <si>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</si>
  <si>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</si>
  <si>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</si>
  <si>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</si>
  <si>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</si>
  <si>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</si>
  <si>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</si>
  <si>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</si>
  <si>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</si>
  <si>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</si>
  <si>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</si>
  <si>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</si>
  <si>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</si>
  <si>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</si>
  <si>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</si>
  <si>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</si>
  <si>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</si>
  <si>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</si>
  <si>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</si>
  <si>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</si>
  <si>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</si>
  <si>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</si>
  <si>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</si>
  <si>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</si>
  <si>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</si>
  <si>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</si>
  <si>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</si>
  <si>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</si>
  <si>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</si>
  <si>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</si>
  <si>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</si>
  <si>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</si>
  <si>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</si>
  <si>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</si>
  <si>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</si>
  <si>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</si>
  <si>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</si>
  <si>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</si>
  <si>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</si>
  <si>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</si>
  <si>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</si>
  <si>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</si>
  <si>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</si>
  <si>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</si>
  <si>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</si>
  <si>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</si>
  <si>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</si>
  <si>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</si>
  <si>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</si>
  <si>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</si>
  <si>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</si>
  <si>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</si>
  <si>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</si>
  <si>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</si>
  <si>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</si>
  <si>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</si>
  <si>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</si>
  <si>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</si>
  <si>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</si>
  <si>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</si>
  <si>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</si>
  <si>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</si>
  <si>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</si>
  <si>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</si>
  <si>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</si>
  <si>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</si>
  <si>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</si>
  <si>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</si>
  <si>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</si>
  <si>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</si>
  <si>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</si>
  <si>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</si>
  <si>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</si>
  <si>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</si>
  <si>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</si>
  <si>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</si>
  <si>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</si>
  <si>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</si>
  <si>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</si>
  <si>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</si>
  <si>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</si>
  <si>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</si>
  <si>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</si>
  <si>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</si>
  <si>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</si>
  <si>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</si>
  <si>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</si>
  <si>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</si>
  <si>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</si>
  <si>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</si>
  <si>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</si>
  <si>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</si>
  <si>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</si>
  <si>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</si>
  <si>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</si>
  <si>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</si>
  <si>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</si>
  <si>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</si>
  <si>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</si>
  <si>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</si>
  <si>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</si>
  <si>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</si>
  <si>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</si>
  <si>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</si>
  <si>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</si>
  <si>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</si>
  <si>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</si>
  <si>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</si>
  <si>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</si>
  <si>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</si>
  <si>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</si>
  <si>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</si>
  <si>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</si>
  <si>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</si>
  <si>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</si>
  <si>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</si>
  <si>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</si>
  <si>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</si>
  <si>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</si>
  <si>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</si>
  <si>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</si>
  <si>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</si>
  <si>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</si>
  <si>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</si>
  <si>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</si>
  <si>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</si>
  <si>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</si>
  <si>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</si>
  <si>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</si>
  <si>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</si>
  <si>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</si>
  <si>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</si>
  <si>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</si>
  <si>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</si>
  <si>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</si>
  <si>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</si>
  <si>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</si>
  <si>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</si>
  <si>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</si>
  <si>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</si>
  <si>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</si>
  <si>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</si>
  <si>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</si>
  <si>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</si>
  <si>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</si>
  <si>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</si>
  <si>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</si>
  <si>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</si>
  <si>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</si>
  <si>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</si>
  <si>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</si>
  <si>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</si>
  <si>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</si>
  <si>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</si>
  <si>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</si>
  <si>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</si>
  <si>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</si>
  <si>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</si>
  <si>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</si>
  <si>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</si>
  <si>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</si>
  <si>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</si>
  <si>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</si>
  <si>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</si>
  <si>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</si>
  <si>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</si>
  <si>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</si>
  <si>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</si>
  <si>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</si>
  <si>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</si>
  <si>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</si>
  <si>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</si>
  <si>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</si>
  <si>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</si>
  <si>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</si>
  <si>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</si>
  <si>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</si>
  <si>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</si>
  <si>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</si>
  <si>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</si>
  <si>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</si>
  <si>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</si>
  <si>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</si>
  <si>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</si>
  <si>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</si>
  <si>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</si>
  <si>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</si>
  <si>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</si>
  <si>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</si>
  <si>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</si>
  <si>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</si>
  <si>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</si>
  <si>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</si>
  <si>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</si>
  <si>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</si>
  <si>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</si>
  <si>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</si>
  <si>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</si>
  <si>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</si>
  <si>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</si>
  <si>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</si>
  <si>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</si>
  <si>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</si>
  <si>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</si>
  <si>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</si>
  <si>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</si>
  <si>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</si>
  <si>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</si>
  <si>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</si>
  <si>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</si>
  <si>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</si>
  <si>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</si>
  <si>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</si>
  <si>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</si>
  <si>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</si>
  <si>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</si>
  <si>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</si>
  <si>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</si>
  <si>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</si>
  <si>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</si>
  <si>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</si>
  <si>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</si>
  <si>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</si>
  <si>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</si>
  <si>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</si>
  <si>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</si>
  <si>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</si>
  <si>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</si>
  <si>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</si>
  <si>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</si>
  <si>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</si>
  <si>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</si>
  <si>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</si>
  <si>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</si>
  <si>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</si>
  <si>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</si>
  <si>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</si>
  <si>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</si>
  <si>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</si>
  <si>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</si>
  <si>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</si>
  <si>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</si>
  <si>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</si>
  <si>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</si>
  <si>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</si>
  <si>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</si>
  <si>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</si>
  <si>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</si>
  <si>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</si>
  <si>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</si>
  <si>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</si>
  <si>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</si>
  <si>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</si>
  <si>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</si>
  <si>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</si>
  <si>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</si>
  <si>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</si>
  <si>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</si>
  <si>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</si>
  <si>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</si>
  <si>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</si>
  <si>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</si>
  <si>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</si>
  <si>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</si>
  <si>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</si>
  <si>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</si>
  <si>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</si>
  <si>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</si>
  <si>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</si>
  <si>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</si>
  <si>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</si>
  <si>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</si>
  <si>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</si>
  <si>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</si>
  <si>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</si>
  <si>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</si>
  <si>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</si>
  <si>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</si>
  <si>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</si>
  <si>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</si>
  <si>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</si>
  <si>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</si>
  <si>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</si>
  <si>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</si>
  <si>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</si>
  <si>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</si>
  <si>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</si>
  <si>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</si>
  <si>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</si>
  <si>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</si>
  <si>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</si>
  <si>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</si>
  <si>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</si>
  <si>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</si>
  <si>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</si>
  <si>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</si>
  <si>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</si>
  <si>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</si>
  <si>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</si>
  <si>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</si>
  <si>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</si>
  <si>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</si>
  <si>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</si>
  <si>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</si>
  <si>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</si>
  <si>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</si>
  <si>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</si>
  <si>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</si>
  <si>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</si>
  <si>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</si>
  <si>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</si>
  <si>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</si>
  <si>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</si>
  <si>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</si>
  <si>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</si>
  <si>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</si>
  <si>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</si>
  <si>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</si>
  <si>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</si>
  <si>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</si>
  <si>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</si>
  <si>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</si>
  <si>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</si>
  <si>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</si>
  <si>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</si>
  <si>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</si>
  <si>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</si>
  <si>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</si>
  <si>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</si>
  <si>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</si>
  <si>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</si>
  <si>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</si>
  <si>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</si>
  <si>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</si>
  <si>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</si>
  <si>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</si>
  <si>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</si>
  <si>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</si>
  <si>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</si>
  <si>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</si>
  <si>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</si>
  <si>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</si>
  <si>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</si>
  <si>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</si>
  <si>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</si>
  <si>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</si>
  <si>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</si>
  <si>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</si>
  <si>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</si>
  <si>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</si>
  <si>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</si>
  <si>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</si>
  <si>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</si>
  <si>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</si>
  <si>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</si>
  <si>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</si>
  <si>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</si>
  <si>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</si>
  <si>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</si>
  <si>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</si>
  <si>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</si>
  <si>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</si>
  <si>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</si>
  <si>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</si>
  <si>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</si>
  <si>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</si>
  <si>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</si>
  <si>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</si>
  <si>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</si>
  <si>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</si>
  <si>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</si>
  <si>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</si>
  <si>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</si>
  <si>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</si>
  <si>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</si>
  <si>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</si>
  <si>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</si>
  <si>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</si>
  <si>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</si>
  <si>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</si>
  <si>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</si>
  <si>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</si>
  <si>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</si>
  <si>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</si>
  <si>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</si>
  <si>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</si>
  <si>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</si>
  <si>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</si>
  <si>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</si>
  <si>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</si>
  <si>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</si>
  <si>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</si>
  <si>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</si>
  <si>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</si>
  <si>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</si>
  <si>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</si>
  <si>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</si>
  <si>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</si>
  <si>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</si>
  <si>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</si>
  <si>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</si>
  <si>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</si>
  <si>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</si>
  <si>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</si>
  <si>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</si>
  <si>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</si>
  <si>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</si>
  <si>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</si>
  <si>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</si>
  <si>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</si>
  <si>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</si>
  <si>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</si>
  <si>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</si>
  <si>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</si>
  <si>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</si>
  <si>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</si>
  <si>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</si>
  <si>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</si>
  <si>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</si>
  <si>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</si>
  <si>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</si>
  <si>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</si>
  <si>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</si>
  <si>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</si>
  <si>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</si>
  <si>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</si>
  <si>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</si>
  <si>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</si>
  <si>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</si>
  <si>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</si>
  <si>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</si>
  <si>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</si>
  <si>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</si>
  <si>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</si>
  <si>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</si>
  <si>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</si>
  <si>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</si>
  <si>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</si>
  <si>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</si>
  <si>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</si>
  <si>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</si>
  <si>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</si>
  <si>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</si>
  <si>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</si>
  <si>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</si>
  <si>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</si>
  <si>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</si>
  <si>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</si>
  <si>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</si>
  <si>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</si>
  <si>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</si>
  <si>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</si>
  <si>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</si>
  <si>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</si>
  <si>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</si>
  <si>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</si>
  <si>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</si>
  <si>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</si>
  <si>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</si>
  <si>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</si>
  <si>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</si>
  <si>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</si>
  <si>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</si>
  <si>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</si>
  <si>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</si>
  <si>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</si>
  <si>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</si>
  <si>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</si>
  <si>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</si>
  <si>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</si>
  <si>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</si>
  <si>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</si>
  <si>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</si>
  <si>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</si>
  <si>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</si>
  <si>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</si>
  <si>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</si>
  <si>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</si>
  <si>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</si>
  <si>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</si>
  <si>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</si>
  <si>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</si>
  <si>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</si>
  <si>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</si>
  <si>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</si>
  <si>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</si>
  <si>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</si>
  <si>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</si>
  <si>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</si>
  <si>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</si>
  <si>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</si>
  <si>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</si>
  <si>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</si>
  <si>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</si>
  <si>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</si>
  <si>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</si>
  <si>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</si>
  <si>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</si>
  <si>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</si>
  <si>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</si>
  <si>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</si>
  <si>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</si>
  <si>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</si>
  <si>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</si>
  <si>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</si>
  <si>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</si>
  <si>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</si>
  <si>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</si>
  <si>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</si>
  <si>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</si>
  <si>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</si>
  <si>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</si>
  <si>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</si>
  <si>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</si>
  <si>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</si>
  <si>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</si>
  <si>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</si>
  <si>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</si>
  <si>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</si>
  <si>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</si>
  <si>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</si>
  <si>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</si>
  <si>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</si>
  <si>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</si>
  <si>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</si>
  <si>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</si>
  <si>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</si>
  <si>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</si>
  <si>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</si>
  <si>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</si>
  <si>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</si>
  <si>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</si>
  <si>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</si>
  <si>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</si>
  <si>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</si>
  <si>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</si>
  <si>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</si>
  <si>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</si>
  <si>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</si>
  <si>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</si>
  <si>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</si>
  <si>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</si>
  <si>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</si>
  <si>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</si>
  <si>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</si>
  <si>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</si>
  <si>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</si>
  <si>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</si>
  <si>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</si>
  <si>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</si>
  <si>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</si>
  <si>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</si>
  <si>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</si>
  <si>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</si>
  <si>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</si>
  <si>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</si>
  <si>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</si>
  <si>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</si>
  <si>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</si>
  <si>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</si>
  <si>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</si>
  <si>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</si>
  <si>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</si>
  <si>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</si>
  <si>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</si>
  <si>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</si>
  <si>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</si>
  <si>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</si>
  <si>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</si>
  <si>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</si>
  <si>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</si>
  <si>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</si>
  <si>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</si>
  <si>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</si>
  <si>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</si>
  <si>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</si>
  <si>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</si>
  <si>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</si>
  <si>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</si>
  <si>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</si>
  <si>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</si>
  <si>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</si>
  <si>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</si>
  <si>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</si>
  <si>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</si>
  <si>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</si>
  <si>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</si>
  <si>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</si>
  <si>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</si>
  <si>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</si>
  <si>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</si>
  <si>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</si>
  <si>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</si>
  <si>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</si>
  <si>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</si>
  <si>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</si>
  <si>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</si>
  <si>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</si>
  <si>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</si>
  <si>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</si>
  <si>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</si>
  <si>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</si>
  <si>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</si>
  <si>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</si>
  <si>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</si>
  <si>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</si>
  <si>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</si>
  <si>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</si>
  <si>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</si>
  <si>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</si>
  <si>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</si>
  <si>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</si>
  <si>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</si>
  <si>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</si>
  <si>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</si>
  <si>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</si>
  <si>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</si>
  <si>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</si>
  <si>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</si>
  <si>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</si>
  <si>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</si>
  <si>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</si>
  <si>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</si>
  <si>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</si>
  <si>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</si>
  <si>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</si>
  <si>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</si>
  <si>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</si>
  <si>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</si>
  <si>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</si>
  <si>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</si>
  <si>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</si>
  <si>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</si>
  <si>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</si>
  <si>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</si>
  <si>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</si>
  <si>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</si>
  <si>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</si>
  <si>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</si>
  <si>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</si>
  <si>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</si>
  <si>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</si>
  <si>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</si>
  <si>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</si>
  <si>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</si>
  <si>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</si>
  <si>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</si>
  <si>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</si>
  <si>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</si>
  <si>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</si>
  <si>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</si>
  <si>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</si>
  <si>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</si>
  <si>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</si>
  <si>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</si>
  <si>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</si>
  <si>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</si>
  <si>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</si>
  <si>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</si>
  <si>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</si>
  <si>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</si>
  <si>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</si>
  <si>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</si>
  <si>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</si>
  <si>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</si>
  <si>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</si>
  <si>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</si>
  <si>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</si>
  <si>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</si>
  <si>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</si>
  <si>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</si>
  <si>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</si>
  <si>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</si>
  <si>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</si>
  <si>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</si>
  <si>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</si>
  <si>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</si>
  <si>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</si>
  <si>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</si>
  <si>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</si>
  <si>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</si>
  <si>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</si>
  <si>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</si>
  <si>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</si>
  <si>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</si>
  <si>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</si>
  <si>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</si>
  <si>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</si>
  <si>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</si>
  <si>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</si>
  <si>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</si>
  <si>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</si>
  <si>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</si>
  <si>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</si>
  <si>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</si>
  <si>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</si>
  <si>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</si>
  <si>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</si>
  <si>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</si>
  <si>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</si>
  <si>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</si>
  <si>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</si>
  <si>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</si>
  <si>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</si>
  <si>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</si>
  <si>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</si>
  <si>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</si>
  <si>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</si>
  <si>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</si>
  <si>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</si>
  <si>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</si>
  <si>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</si>
  <si>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</si>
  <si>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</si>
  <si>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</si>
  <si>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</si>
  <si>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</si>
  <si>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</si>
  <si>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</si>
  <si>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</si>
  <si>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</si>
  <si>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</si>
  <si>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</si>
  <si>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</si>
  <si>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</si>
  <si>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</si>
  <si>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</si>
  <si>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</si>
  <si>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</si>
  <si>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</si>
  <si>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</si>
  <si>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</si>
  <si>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</si>
  <si>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</si>
  <si>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</si>
  <si>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</si>
  <si>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</si>
  <si>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</si>
  <si>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</si>
  <si>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</si>
  <si>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</si>
  <si>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</si>
  <si>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</si>
  <si>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</si>
  <si>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</si>
  <si>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</si>
  <si>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</si>
  <si>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</si>
  <si>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</si>
  <si>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</si>
  <si>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</si>
  <si>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</si>
  <si>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</si>
  <si>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</si>
  <si>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</si>
  <si>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</si>
  <si>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</si>
  <si>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</si>
  <si>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</si>
  <si>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</si>
  <si>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</si>
  <si>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</si>
  <si>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</si>
  <si>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</si>
  <si>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</si>
  <si>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</si>
  <si>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</si>
  <si>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</si>
  <si>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</si>
  <si>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</si>
  <si>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</si>
  <si>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</si>
  <si>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</si>
  <si>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</si>
  <si>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</si>
  <si>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</si>
  <si>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</si>
  <si>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</si>
  <si>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</si>
  <si>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</si>
  <si>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</si>
  <si>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</si>
  <si>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</si>
  <si>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</si>
  <si>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</si>
  <si>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</si>
  <si>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</si>
  <si>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</si>
  <si>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</si>
  <si>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</si>
  <si>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</si>
  <si>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</si>
  <si>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</si>
  <si>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</si>
  <si>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</si>
  <si>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</si>
  <si>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</si>
  <si>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</si>
  <si>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</si>
  <si>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</si>
  <si>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</si>
  <si>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</si>
  <si>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</si>
  <si>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</si>
  <si>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</si>
  <si>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</si>
  <si>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</si>
  <si>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</si>
  <si>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</si>
  <si>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</si>
  <si>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</si>
  <si>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</si>
  <si>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</si>
  <si>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</si>
  <si>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</si>
  <si>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</si>
  <si>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</si>
  <si>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</si>
  <si>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</si>
  <si>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</si>
  <si>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</si>
  <si>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</si>
  <si>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</si>
  <si>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</si>
  <si>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</si>
  <si>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</si>
  <si>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</si>
  <si>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</si>
  <si>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</si>
  <si>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</si>
  <si>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</si>
  <si>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</si>
  <si>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</si>
  <si>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</si>
  <si>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</si>
  <si>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</si>
  <si>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</si>
  <si>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</si>
  <si>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</si>
  <si>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</si>
  <si>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</si>
  <si>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</si>
  <si>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</si>
  <si>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</si>
  <si>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</si>
  <si>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</si>
  <si>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</si>
  <si>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</si>
  <si>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</si>
  <si>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</si>
  <si>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</si>
  <si>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</si>
  <si>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</si>
  <si>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</si>
  <si>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</si>
  <si>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</si>
  <si>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</si>
  <si>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</si>
  <si>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</si>
  <si>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</si>
  <si>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</si>
  <si>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</si>
  <si>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</si>
  <si>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</si>
  <si>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</si>
  <si>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</si>
  <si>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</si>
  <si>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</si>
  <si>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</si>
  <si>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</si>
  <si>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</si>
  <si>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</si>
  <si>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</si>
  <si>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</si>
  <si>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</si>
  <si>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</si>
  <si>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</si>
  <si>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</si>
  <si>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</si>
  <si>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</si>
  <si>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</si>
  <si>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</si>
  <si>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</si>
  <si>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</si>
  <si>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</si>
  <si>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</si>
  <si>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</si>
  <si>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</si>
  <si>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</si>
  <si>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</si>
  <si>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</si>
  <si>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</si>
  <si>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</si>
  <si>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</si>
  <si>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</si>
  <si>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</si>
  <si>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</si>
  <si>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</si>
  <si>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</si>
  <si>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</si>
  <si>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</si>
  <si>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</si>
  <si>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</si>
  <si>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</si>
  <si>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</si>
  <si>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</si>
  <si>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</si>
  <si>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</si>
  <si>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</si>
  <si>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</si>
  <si>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</si>
  <si>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</si>
  <si>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</si>
  <si>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</si>
  <si>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</si>
  <si>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</si>
  <si>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</si>
  <si>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</si>
  <si>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</si>
  <si>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</si>
  <si>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</si>
  <si>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</si>
  <si>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</si>
  <si>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</si>
  <si>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</si>
  <si>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</si>
  <si>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</si>
  <si>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</si>
  <si>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</si>
  <si>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</si>
  <si>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</si>
  <si>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</si>
  <si>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</si>
  <si>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</si>
  <si>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</si>
  <si>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</si>
  <si>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</si>
  <si>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</si>
  <si>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</si>
  <si>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</si>
  <si>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</si>
  <si>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</si>
  <si>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</si>
  <si>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</si>
  <si>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</si>
  <si>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</si>
  <si>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</si>
  <si>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</si>
  <si>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</si>
  <si>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</si>
  <si>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</si>
  <si>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</si>
  <si>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</si>
  <si>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</si>
  <si>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</si>
  <si>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</si>
  <si>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</si>
  <si>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</si>
  <si>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</si>
  <si>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</si>
  <si>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</si>
  <si>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</si>
  <si>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</si>
  <si>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</si>
  <si>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</si>
  <si>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</si>
  <si>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</si>
  <si>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</si>
  <si>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</si>
  <si>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</si>
  <si>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</si>
  <si>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</si>
  <si>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</si>
  <si>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</si>
  <si>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</si>
  <si>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</si>
  <si>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</si>
  <si>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</si>
  <si>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</si>
  <si>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</si>
  <si>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</si>
  <si>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</si>
  <si>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</si>
  <si>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</si>
  <si>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</si>
  <si>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</si>
  <si>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</si>
  <si>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</si>
  <si>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</si>
  <si>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</si>
  <si>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</si>
  <si>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</si>
  <si>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</si>
  <si>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</si>
  <si>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</si>
  <si>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</si>
  <si>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</si>
  <si>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</si>
  <si>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</si>
  <si>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</si>
  <si>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</si>
  <si>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</si>
  <si>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</si>
  <si>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</si>
  <si>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</si>
  <si>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</si>
  <si>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</si>
  <si>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</si>
  <si>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</si>
  <si>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</si>
  <si>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</si>
  <si>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</si>
  <si>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</si>
  <si>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</si>
  <si>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</si>
  <si>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</si>
  <si>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</si>
  <si>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</si>
  <si>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</si>
  <si>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</si>
  <si>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</si>
  <si>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</si>
  <si>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</si>
  <si>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</si>
  <si>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</si>
  <si>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</si>
  <si>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</si>
  <si>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</si>
  <si>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</si>
  <si>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</si>
  <si>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</si>
  <si>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</si>
  <si>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</si>
  <si>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</si>
  <si>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</si>
  <si>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</si>
  <si>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</si>
  <si>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</si>
  <si>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</si>
  <si>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</si>
  <si>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</si>
  <si>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</si>
  <si>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</si>
  <si>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</si>
  <si>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</si>
  <si>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</si>
  <si>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</si>
  <si>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</si>
  <si>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</si>
  <si>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</si>
  <si>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</si>
  <si>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</si>
  <si>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</si>
  <si>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</si>
  <si>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</si>
  <si>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</si>
  <si>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</si>
  <si>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</si>
  <si>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</si>
  <si>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</si>
  <si>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</si>
  <si>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</si>
  <si>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</si>
  <si>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</si>
  <si>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</si>
  <si>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</si>
  <si>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</si>
  <si>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</si>
  <si>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</si>
  <si>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</si>
  <si>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</si>
  <si>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</si>
  <si>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</si>
  <si>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</si>
  <si>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</si>
  <si>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</si>
  <si>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</si>
  <si>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</si>
  <si>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</si>
  <si>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</si>
  <si>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</si>
  <si>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</si>
  <si>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</si>
  <si>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</si>
  <si>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</si>
  <si>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</si>
  <si>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</si>
  <si>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</si>
  <si>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</si>
  <si>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</si>
  <si>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</si>
  <si>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</si>
  <si>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</si>
  <si>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</si>
  <si>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</si>
  <si>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</si>
  <si>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</si>
  <si>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</si>
  <si>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</si>
  <si>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</si>
  <si>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</si>
  <si>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</si>
  <si>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</si>
  <si>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</si>
  <si>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</si>
  <si>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</si>
  <si>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</si>
  <si>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</si>
  <si>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</si>
  <si>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</si>
  <si>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</si>
  <si>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</si>
  <si>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</si>
  <si>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</si>
  <si>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</si>
  <si>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</si>
  <si>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</si>
  <si>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</si>
  <si>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</si>
  <si>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</si>
  <si>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</si>
  <si>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</si>
  <si>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</si>
  <si>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</si>
  <si>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</si>
  <si>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</si>
  <si>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</si>
  <si>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</si>
  <si>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</si>
  <si>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</si>
  <si>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</si>
  <si>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</si>
  <si>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</si>
  <si>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</si>
  <si>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</si>
  <si>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</si>
  <si>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</si>
  <si>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</si>
  <si>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</si>
  <si>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</si>
  <si>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</si>
  <si>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</si>
  <si>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</si>
  <si>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</si>
  <si>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</si>
  <si>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</si>
  <si>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</si>
  <si>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</si>
  <si>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</si>
  <si>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</si>
  <si>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</si>
  <si>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</si>
  <si>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</si>
  <si>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</si>
  <si>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</si>
  <si>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</si>
  <si>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</si>
  <si>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</si>
  <si>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</si>
  <si>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</si>
  <si>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</si>
  <si>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</si>
  <si>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</si>
  <si>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</si>
  <si>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</si>
  <si>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</si>
  <si>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</si>
  <si>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</si>
  <si>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</si>
  <si>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</si>
  <si>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</si>
  <si>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</si>
  <si>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</si>
  <si>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</si>
  <si>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</si>
  <si>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</si>
  <si>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</si>
  <si>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</si>
  <si>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</si>
  <si>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</si>
  <si>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</si>
  <si>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</si>
  <si>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</si>
  <si>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</si>
  <si>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</si>
  <si>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</si>
  <si>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</si>
  <si>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</si>
  <si>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</si>
  <si>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</si>
  <si>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</si>
  <si>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</si>
  <si>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</si>
  <si>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</si>
  <si>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</si>
  <si>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</si>
  <si>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</si>
  <si>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</si>
  <si>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</si>
  <si>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</si>
  <si>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</si>
  <si>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</si>
  <si>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</si>
  <si>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</si>
  <si>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</si>
  <si>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</si>
  <si>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</si>
  <si>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</si>
  <si>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</si>
  <si>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</si>
  <si>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</si>
  <si>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</si>
  <si>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</si>
  <si>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</si>
  <si>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</si>
  <si>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</si>
  <si>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</si>
  <si>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</si>
  <si>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</si>
  <si>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</si>
  <si>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</si>
  <si>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</si>
  <si>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</si>
  <si>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</si>
  <si>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</si>
  <si>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</si>
  <si>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</si>
  <si>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</si>
  <si>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</si>
  <si>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</si>
  <si>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</si>
  <si>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</si>
  <si>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</si>
  <si>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</si>
  <si>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</si>
  <si>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</si>
  <si>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</si>
  <si>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</si>
  <si>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</si>
  <si>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</si>
  <si>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</si>
  <si>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</si>
  <si>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</si>
  <si>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</si>
  <si>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</si>
  <si>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</si>
  <si>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</si>
  <si>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</si>
  <si>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</si>
  <si>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</si>
  <si>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</si>
  <si>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</si>
  <si>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</si>
  <si>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</si>
  <si>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</si>
  <si>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</si>
  <si>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</si>
  <si>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</si>
  <si>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</si>
  <si>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</si>
  <si>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</si>
  <si>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</si>
  <si>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</si>
  <si>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</si>
  <si>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</si>
  <si>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</si>
  <si>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</si>
  <si>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</si>
  <si>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</si>
  <si>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</si>
  <si>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</si>
  <si>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</si>
  <si>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</si>
  <si>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</si>
  <si>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</si>
  <si>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</si>
  <si>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</si>
  <si>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</si>
  <si>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</si>
  <si>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</si>
  <si>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</si>
  <si>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</si>
  <si>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</si>
  <si>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</si>
  <si>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</si>
  <si>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</si>
  <si>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</si>
  <si>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</si>
  <si>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</si>
  <si>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</si>
  <si>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</si>
  <si>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</si>
  <si>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</si>
  <si>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</si>
  <si>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</si>
  <si>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</si>
  <si>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</si>
  <si>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</si>
  <si>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</si>
  <si>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</si>
  <si>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</si>
  <si>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</si>
  <si>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</si>
  <si>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</si>
  <si>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</si>
  <si>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</si>
  <si>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</si>
  <si>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</si>
  <si>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</si>
  <si>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</si>
  <si>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</si>
  <si>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</si>
  <si>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</si>
  <si>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</si>
  <si>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</si>
  <si>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</si>
  <si>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</si>
  <si>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</si>
  <si>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</si>
  <si>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</si>
  <si>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</si>
  <si>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</si>
  <si>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</si>
  <si>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</si>
  <si>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</si>
  <si>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</si>
  <si>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</si>
  <si>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</si>
  <si>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</si>
  <si>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</si>
  <si>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</si>
  <si>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</si>
  <si>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</si>
  <si>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</si>
  <si>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</si>
  <si>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</si>
  <si>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</si>
  <si>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</si>
  <si>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</si>
  <si>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</si>
  <si>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</si>
  <si>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</si>
  <si>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</si>
  <si>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</si>
  <si>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</si>
  <si>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</si>
  <si>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</si>
  <si>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</si>
  <si>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</si>
  <si>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</si>
  <si>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</si>
  <si>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</si>
  <si>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</si>
  <si>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</si>
  <si>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</si>
  <si>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</si>
  <si>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</si>
  <si>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</si>
  <si>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</si>
  <si>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</si>
  <si>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</si>
  <si>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</si>
  <si>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</si>
  <si>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</si>
  <si>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</si>
  <si>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</si>
  <si>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</si>
  <si>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</si>
  <si>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</si>
  <si>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</si>
  <si>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</si>
  <si>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</si>
  <si>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</si>
  <si>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</si>
  <si>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</si>
  <si>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</si>
  <si>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</si>
  <si>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</si>
  <si>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</si>
  <si>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</si>
  <si>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</si>
  <si>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</si>
  <si>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</si>
  <si>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</si>
  <si>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</si>
  <si>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</si>
  <si>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</si>
  <si>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</si>
  <si>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</si>
  <si>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</si>
  <si>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</si>
  <si>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</si>
  <si>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</si>
  <si>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</si>
  <si>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</si>
  <si>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</si>
  <si>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</si>
  <si>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</si>
  <si>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</si>
  <si>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</si>
  <si>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</si>
  <si>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</si>
  <si>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</si>
  <si>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</si>
  <si>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</si>
  <si>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</si>
  <si>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</si>
  <si>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</si>
  <si>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</si>
  <si>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</si>
  <si>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</si>
  <si>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</si>
  <si>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</si>
  <si>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</si>
  <si>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</si>
  <si>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</si>
  <si>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</si>
  <si>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</si>
  <si>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</si>
  <si>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</si>
  <si>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</si>
  <si>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</si>
  <si>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</si>
  <si>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</si>
  <si>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</si>
  <si>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</si>
  <si>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</si>
  <si>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</si>
  <si>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</si>
  <si>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</si>
  <si>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</si>
  <si>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</si>
  <si>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</si>
  <si>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</si>
  <si>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</si>
  <si>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</si>
  <si>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</si>
  <si>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</si>
  <si>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</si>
  <si>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</si>
  <si>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</si>
  <si>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</si>
  <si>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</si>
  <si>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</si>
  <si>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</si>
  <si>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</si>
  <si>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</si>
  <si>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</si>
  <si>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</si>
  <si>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</si>
  <si>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</si>
  <si>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</si>
  <si>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</si>
  <si>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</si>
  <si>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</si>
  <si>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</si>
  <si>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</si>
  <si>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</si>
  <si>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</si>
  <si>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</si>
  <si>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</si>
  <si>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</si>
  <si>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</si>
  <si>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</si>
  <si>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</si>
  <si>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</si>
  <si>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</si>
  <si>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</si>
  <si>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</si>
  <si>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</si>
  <si>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</si>
  <si>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</si>
  <si>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</si>
  <si>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</si>
  <si>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</si>
  <si>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</si>
  <si>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</si>
  <si>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</si>
  <si>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</si>
  <si>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</si>
  <si>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</si>
  <si>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</si>
  <si>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</si>
  <si>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</si>
  <si>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</si>
  <si>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</si>
  <si>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</si>
  <si>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</si>
  <si>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</si>
  <si>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</si>
  <si>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</si>
  <si>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</si>
  <si>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</si>
  <si>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</si>
  <si>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</si>
  <si>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</si>
  <si>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</si>
  <si>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</si>
  <si>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</si>
  <si>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</si>
  <si>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</si>
  <si>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</si>
  <si>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</si>
  <si>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</si>
  <si>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</si>
  <si>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</si>
  <si>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</si>
  <si>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</si>
  <si>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</si>
  <si>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</si>
  <si>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</si>
  <si>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</si>
  <si>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</si>
  <si>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</si>
  <si>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</si>
  <si>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</si>
  <si>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</si>
  <si>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</si>
  <si>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</si>
  <si>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</si>
  <si>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</si>
  <si>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</si>
  <si>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</si>
  <si>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</si>
  <si>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</si>
  <si>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</si>
  <si>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</si>
  <si>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</si>
  <si>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</si>
  <si>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</si>
  <si>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</si>
  <si>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</si>
  <si>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</si>
  <si>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</si>
  <si>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</si>
  <si>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</si>
  <si>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</si>
  <si>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</si>
  <si>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</si>
  <si>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</si>
  <si>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</si>
  <si>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</si>
  <si>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</si>
  <si>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</si>
  <si>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</si>
  <si>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</si>
  <si>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</si>
  <si>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</si>
  <si>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</si>
  <si>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</si>
  <si>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</si>
  <si>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</si>
  <si>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</si>
  <si>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</si>
  <si>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</si>
  <si>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</si>
  <si>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</si>
  <si>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</si>
  <si>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</si>
  <si>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</si>
  <si>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</si>
  <si>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</si>
  <si>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</si>
  <si>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</si>
  <si>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</si>
  <si>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</si>
  <si>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</si>
  <si>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</si>
  <si>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</si>
  <si>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</si>
  <si>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</si>
  <si>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</si>
  <si>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</si>
  <si>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</si>
  <si>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</si>
  <si>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</si>
  <si>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</si>
  <si>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</si>
  <si>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</si>
  <si>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</si>
  <si>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</si>
  <si>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</si>
  <si>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</si>
  <si>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</si>
  <si>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</si>
  <si>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</si>
  <si>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</si>
  <si>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</si>
  <si>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</si>
  <si>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</si>
  <si>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</si>
  <si>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</si>
  <si>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</si>
  <si>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</si>
  <si>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</si>
  <si>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</si>
  <si>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</si>
  <si>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</si>
  <si>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</si>
  <si>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</si>
  <si>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</si>
  <si>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</si>
  <si>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</si>
  <si>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</si>
  <si>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</si>
  <si>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</si>
  <si>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</si>
  <si>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</si>
  <si>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</si>
  <si>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</si>
  <si>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</si>
  <si>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</si>
  <si>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</si>
  <si>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</si>
  <si>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</si>
  <si>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</si>
  <si>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</si>
  <si>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</si>
  <si>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</si>
  <si>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</si>
  <si>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</si>
  <si>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</si>
  <si>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</si>
  <si>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</si>
  <si>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</si>
  <si>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</si>
  <si>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</si>
  <si>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</si>
  <si>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</si>
  <si>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</si>
  <si>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</si>
  <si>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</si>
  <si>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</si>
  <si>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</si>
  <si>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</si>
  <si>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</si>
  <si>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</si>
  <si>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</si>
  <si>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</si>
  <si>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</si>
  <si>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</si>
  <si>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</si>
  <si>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</si>
  <si>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</si>
  <si>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</si>
  <si>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</si>
  <si>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</si>
  <si>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</si>
  <si>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</si>
  <si>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</si>
  <si>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</si>
  <si>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</si>
  <si>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</si>
  <si>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</si>
  <si>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</si>
  <si>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</si>
  <si>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</si>
  <si>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</si>
  <si>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</si>
  <si>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</si>
  <si>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</si>
  <si>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</si>
  <si>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</si>
  <si>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</si>
  <si>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</si>
  <si>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</si>
  <si>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</si>
  <si>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</si>
  <si>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</si>
  <si>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</si>
  <si>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</si>
  <si>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</si>
  <si>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</si>
  <si>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</si>
  <si>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</si>
  <si>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</si>
  <si>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</si>
  <si>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</si>
  <si>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</si>
  <si>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</si>
  <si>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</si>
  <si>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</si>
  <si>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</si>
  <si>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</si>
  <si>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</si>
  <si>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</si>
  <si>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</si>
  <si>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</si>
  <si>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</si>
  <si>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</si>
  <si>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</si>
  <si>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</si>
  <si>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</si>
  <si>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</si>
  <si>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</si>
  <si>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</si>
  <si>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</si>
  <si>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</si>
  <si>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</si>
  <si>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</si>
  <si>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</si>
  <si>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</si>
  <si>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</si>
  <si>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</si>
  <si>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</si>
  <si>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</si>
  <si>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</si>
  <si>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</si>
  <si>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</si>
  <si>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</si>
  <si>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</si>
  <si>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</si>
  <si>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</si>
  <si>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</si>
  <si>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</si>
  <si>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</si>
  <si>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</si>
  <si>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</si>
  <si>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</si>
  <si>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</si>
  <si>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</si>
  <si>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</si>
  <si>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</si>
  <si>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</si>
  <si>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</si>
  <si>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</si>
  <si>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</si>
  <si>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</si>
  <si>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</si>
  <si>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</si>
  <si>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</si>
  <si>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</si>
  <si>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</si>
  <si>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</si>
  <si>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</si>
  <si>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</si>
  <si>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</si>
  <si>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</si>
  <si>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</si>
  <si>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</si>
  <si>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</si>
  <si>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</si>
  <si>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</si>
  <si>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</si>
  <si>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</si>
  <si>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</si>
  <si>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</si>
  <si>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</si>
  <si>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</si>
  <si>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</si>
  <si>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</si>
  <si>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</si>
  <si>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</si>
  <si>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</si>
  <si>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</si>
  <si>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</si>
  <si>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</si>
  <si>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</si>
  <si>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</si>
  <si>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</si>
  <si>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</si>
  <si>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</si>
  <si>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</si>
  <si>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</si>
  <si>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</si>
  <si>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</si>
  <si>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</si>
  <si>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</si>
  <si>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</si>
  <si>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</si>
  <si>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</si>
  <si>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</si>
  <si>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</si>
  <si>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</si>
  <si>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</si>
  <si>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</si>
  <si>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</si>
  <si>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</si>
  <si>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</si>
  <si>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</si>
  <si>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</si>
  <si>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</si>
  <si>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</si>
  <si>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</si>
  <si>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</si>
  <si>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</si>
  <si>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</si>
  <si>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</si>
  <si>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</si>
  <si>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</si>
  <si>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</si>
  <si>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</si>
  <si>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</si>
  <si>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</si>
  <si>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</si>
  <si>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</si>
  <si>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</si>
  <si>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</si>
  <si>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</si>
  <si>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</si>
  <si>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</si>
  <si>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</si>
  <si>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</si>
  <si>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</si>
  <si>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</si>
  <si>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</si>
  <si>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</si>
  <si>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</si>
  <si>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</si>
  <si>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</si>
  <si>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</si>
  <si>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</si>
  <si>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</si>
  <si>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</si>
  <si>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</si>
  <si>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</si>
  <si>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</si>
  <si>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</si>
  <si>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</si>
  <si>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</si>
  <si>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</si>
  <si>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</si>
  <si>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</si>
  <si>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</si>
  <si>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</si>
  <si>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</si>
  <si>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</si>
  <si>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</si>
  <si>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</si>
  <si>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</si>
  <si>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</si>
  <si>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</si>
  <si>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</si>
  <si>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</si>
  <si>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</si>
  <si>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</si>
  <si>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</si>
  <si>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</si>
  <si>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</si>
  <si>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</si>
  <si>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</si>
  <si>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</si>
  <si>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</si>
  <si>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</si>
  <si>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</si>
  <si>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</si>
  <si>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</si>
  <si>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</si>
  <si>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</si>
  <si>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</si>
  <si>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</si>
  <si>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</si>
  <si>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</si>
  <si>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</si>
  <si>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</si>
  <si>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</si>
  <si>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</si>
  <si>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</si>
  <si>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</si>
  <si>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</si>
  <si>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</si>
  <si>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</si>
  <si>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</si>
  <si>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</si>
  <si>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</si>
  <si>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</si>
  <si>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</si>
  <si>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</si>
  <si>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</si>
  <si>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</si>
  <si>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</si>
  <si>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</si>
  <si>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</si>
  <si>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</si>
  <si>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</si>
  <si>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</si>
  <si>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</si>
  <si>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</si>
  <si>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</si>
  <si>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</si>
  <si>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</si>
  <si>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</si>
  <si>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</si>
  <si>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</si>
  <si>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</si>
  <si>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</si>
  <si>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</si>
  <si>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</si>
  <si>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</si>
  <si>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</si>
  <si>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</si>
  <si>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</si>
  <si>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</si>
  <si>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</si>
  <si>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</si>
  <si>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</si>
  <si>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</si>
  <si>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</si>
  <si>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</si>
  <si>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</si>
  <si>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</si>
  <si>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</si>
  <si>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</si>
  <si>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</si>
  <si>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</si>
  <si>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</si>
  <si>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</si>
  <si>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</si>
  <si>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</si>
  <si>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</si>
  <si>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</si>
  <si>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</si>
  <si>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</si>
  <si>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</si>
  <si>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</si>
  <si>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</si>
  <si>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</si>
  <si>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</si>
  <si>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</si>
  <si>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</si>
  <si>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</si>
  <si>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</si>
  <si>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</si>
  <si>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</si>
  <si>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</si>
  <si>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</si>
  <si>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</si>
  <si>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</si>
  <si>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</si>
  <si>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</si>
  <si>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</si>
  <si>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</si>
  <si>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</si>
  <si>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</si>
  <si>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</si>
  <si>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</si>
  <si>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</si>
  <si>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</si>
  <si>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</si>
  <si>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</si>
  <si>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</si>
  <si>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</si>
  <si>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</si>
  <si>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</si>
  <si>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</si>
  <si>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</si>
  <si>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</si>
  <si>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</si>
  <si>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</si>
  <si>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</si>
  <si>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</si>
  <si>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</si>
  <si>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</si>
  <si>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</si>
  <si>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</si>
  <si>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</si>
  <si>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</si>
  <si>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</si>
  <si>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</si>
  <si>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</si>
  <si>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</si>
  <si>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</si>
  <si>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</si>
  <si>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</si>
  <si>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</si>
  <si>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</si>
  <si>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</si>
  <si>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</si>
  <si>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</si>
  <si>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</si>
  <si>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</si>
  <si>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</si>
  <si>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</si>
  <si>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</si>
  <si>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</si>
  <si>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</si>
  <si>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</si>
  <si>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</si>
  <si>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</si>
  <si>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</si>
  <si>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</si>
  <si>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</si>
  <si>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</si>
  <si>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</si>
  <si>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</si>
  <si>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</si>
  <si>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</si>
  <si>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</si>
  <si>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</si>
  <si>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</si>
  <si>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</si>
  <si>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</si>
  <si>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</si>
  <si>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</si>
  <si>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</si>
  <si>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</si>
  <si>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</si>
  <si>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</si>
  <si>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</si>
  <si>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</si>
  <si>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</si>
  <si>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</si>
  <si>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</si>
  <si>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</si>
  <si>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</si>
  <si>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</si>
  <si>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</si>
  <si>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</si>
  <si>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</si>
  <si>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</si>
  <si>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</si>
  <si>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</si>
  <si>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</si>
  <si>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</si>
  <si>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</si>
  <si>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</si>
  <si>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</si>
  <si>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</si>
  <si>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</si>
  <si>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</si>
  <si>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</si>
  <si>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</si>
  <si>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</si>
  <si>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</si>
  <si>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</si>
  <si>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</si>
  <si>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</si>
  <si>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</si>
  <si>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</si>
  <si>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</si>
  <si>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</si>
  <si>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</si>
  <si>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</si>
  <si>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</si>
  <si>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</si>
  <si>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</si>
  <si>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</si>
  <si>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</si>
  <si>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</si>
  <si>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</si>
  <si>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</si>
  <si>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</si>
  <si>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</si>
  <si>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</si>
  <si>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</si>
  <si>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</si>
  <si>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</si>
  <si>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</si>
  <si>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</si>
  <si>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</si>
  <si>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</si>
  <si>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</si>
  <si>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</si>
  <si>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</si>
  <si>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</si>
  <si>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</si>
  <si>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</si>
  <si>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</si>
  <si>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</si>
  <si>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</si>
  <si>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</si>
  <si>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</si>
  <si>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</si>
  <si>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</si>
  <si>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</si>
  <si>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</si>
  <si>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</si>
  <si>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</si>
  <si>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</si>
  <si>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</si>
  <si>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</si>
  <si>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</si>
  <si>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</si>
  <si>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</si>
  <si>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</si>
  <si>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</si>
  <si>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</si>
  <si>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</si>
  <si>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</si>
  <si>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</si>
  <si>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</si>
  <si>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</si>
  <si>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</si>
  <si>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</si>
  <si>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</si>
  <si>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</si>
  <si>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</si>
  <si>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</si>
  <si>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</si>
  <si>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</si>
  <si>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</si>
  <si>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</si>
  <si>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</si>
  <si>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</si>
  <si>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</si>
  <si>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</si>
  <si>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</si>
  <si>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</si>
  <si>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</si>
  <si>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</si>
  <si>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</si>
  <si>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</si>
  <si>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</si>
  <si>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</si>
  <si>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</si>
  <si>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</si>
  <si>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</si>
  <si>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</si>
  <si>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</si>
  <si>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</si>
  <si>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</si>
  <si>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</si>
  <si>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</si>
  <si>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</si>
  <si>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</si>
  <si>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</si>
  <si>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</si>
  <si>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</si>
  <si>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</si>
  <si>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</si>
  <si>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</si>
  <si>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</si>
  <si>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</si>
  <si>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</si>
  <si>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</si>
  <si>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</si>
  <si>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</si>
  <si>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</si>
  <si>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</si>
  <si>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</si>
  <si>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</si>
  <si>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</si>
  <si>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</si>
  <si>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</si>
  <si>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</si>
  <si>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</si>
  <si>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</si>
  <si>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</si>
  <si>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</si>
  <si>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</si>
  <si>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</si>
  <si>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</si>
  <si>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</si>
  <si>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</si>
  <si>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</si>
  <si>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</si>
  <si>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</si>
  <si>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</si>
  <si>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</si>
  <si>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</si>
  <si>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</si>
  <si>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</si>
  <si>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</si>
  <si>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</si>
  <si>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</si>
  <si>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</si>
  <si>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</si>
  <si>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</si>
  <si>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</si>
  <si>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</si>
  <si>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</si>
  <si>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</si>
  <si>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</si>
  <si>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</si>
  <si>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</si>
  <si>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</si>
  <si>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</si>
  <si>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</si>
  <si>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</si>
  <si>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</si>
  <si>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</si>
  <si>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</si>
  <si>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</si>
  <si>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</si>
  <si>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</si>
  <si>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</si>
  <si>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</si>
  <si>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</si>
  <si>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</si>
  <si>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</si>
  <si>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</si>
  <si>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</si>
  <si>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</si>
  <si>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</si>
  <si>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</si>
  <si>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</si>
  <si>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</si>
  <si>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</si>
  <si>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</si>
  <si>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</si>
  <si>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</si>
  <si>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</si>
  <si>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</si>
  <si>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</si>
  <si>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</si>
  <si>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</si>
  <si>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</si>
  <si>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</si>
  <si>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</si>
  <si>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</si>
  <si>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</si>
  <si>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</si>
  <si>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</si>
  <si>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</si>
  <si>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</si>
  <si>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</si>
  <si>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</si>
  <si>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</si>
  <si>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</si>
  <si>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</si>
  <si>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</si>
  <si>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</si>
  <si>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</si>
  <si>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</si>
  <si>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</si>
  <si>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</si>
  <si>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</si>
  <si>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</si>
  <si>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</si>
  <si>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</si>
  <si>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</si>
  <si>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</si>
  <si>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</si>
  <si>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</si>
  <si>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</si>
  <si>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</si>
  <si>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</si>
  <si>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</si>
  <si>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</si>
  <si>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</si>
  <si>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</si>
  <si>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</si>
  <si>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</si>
  <si>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</si>
  <si>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</si>
  <si>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</si>
  <si>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</si>
  <si>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</si>
  <si>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</si>
  <si>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</si>
  <si>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</si>
  <si>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</si>
  <si>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</si>
  <si>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</si>
  <si>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</si>
  <si>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</si>
  <si>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</si>
  <si>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</si>
  <si>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</si>
  <si>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</si>
  <si>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</si>
  <si>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</si>
  <si>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</si>
  <si>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</si>
  <si>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</si>
  <si>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</si>
  <si>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</si>
  <si>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</si>
  <si>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</si>
  <si>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</si>
  <si>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</si>
  <si>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</si>
  <si>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</si>
  <si>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</si>
  <si>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</si>
  <si>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</si>
  <si>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</si>
  <si>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</si>
  <si>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</si>
  <si>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</si>
  <si>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</si>
  <si>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</si>
  <si>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</si>
  <si>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</si>
  <si>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</si>
  <si>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</si>
  <si>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</si>
  <si>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</si>
  <si>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</si>
  <si>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</si>
  <si>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</si>
  <si>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</si>
  <si>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</si>
  <si>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</si>
  <si>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</si>
  <si>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</si>
  <si>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</si>
  <si>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</si>
  <si>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</si>
  <si>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</si>
  <si>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</si>
  <si>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</si>
  <si>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</si>
  <si>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</si>
  <si>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</si>
  <si>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</si>
  <si>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</si>
  <si>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</si>
  <si>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</si>
  <si>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</si>
  <si>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</si>
  <si>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</si>
  <si>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</si>
  <si>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</si>
  <si>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</si>
  <si>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</si>
  <si>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</si>
  <si>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</si>
  <si>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</si>
  <si>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</si>
  <si>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</si>
  <si>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</si>
  <si>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</si>
  <si>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</si>
  <si>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</si>
  <si>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</si>
  <si>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</si>
  <si>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</si>
  <si>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</si>
  <si>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</si>
  <si>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</si>
  <si>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</si>
  <si>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</si>
  <si>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</si>
  <si>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</si>
  <si>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</si>
  <si>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</si>
  <si>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</si>
  <si>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</si>
  <si>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</si>
  <si>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</si>
  <si>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</si>
  <si>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</si>
  <si>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</si>
  <si>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</si>
  <si>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</si>
  <si>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</si>
  <si>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</si>
  <si>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</si>
  <si>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</si>
  <si>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</si>
  <si>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</si>
  <si>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</si>
  <si>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</si>
  <si>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</si>
  <si>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</si>
  <si>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</si>
  <si>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</si>
  <si>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</si>
  <si>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</si>
  <si>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</si>
  <si>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</si>
  <si>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</si>
  <si>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</si>
  <si>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</si>
  <si>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</si>
  <si>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</si>
  <si>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</si>
  <si>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</si>
  <si>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</si>
  <si>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</si>
  <si>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</si>
  <si>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</si>
  <si>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</si>
  <si>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</si>
  <si>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</si>
  <si>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</si>
  <si>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</si>
  <si>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</si>
  <si>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</si>
  <si>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</si>
  <si>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</si>
  <si>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</si>
  <si>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</si>
  <si>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</si>
  <si>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</si>
  <si>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</si>
  <si>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</si>
  <si>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</si>
  <si>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</si>
  <si>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</si>
  <si>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</si>
  <si>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</si>
  <si>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</si>
  <si>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</si>
  <si>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</si>
  <si>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</si>
  <si>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</si>
  <si>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</si>
  <si>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</si>
  <si>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</si>
  <si>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</si>
  <si>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</si>
  <si>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</si>
  <si>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</si>
  <si>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</si>
  <si>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</si>
  <si>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</si>
  <si>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</si>
  <si>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</si>
  <si>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</si>
  <si>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</si>
  <si>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</si>
  <si>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</si>
  <si>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</si>
  <si>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</si>
  <si>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</si>
  <si>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</si>
  <si>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</si>
  <si>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</si>
  <si>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</si>
  <si>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</si>
  <si>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</si>
  <si>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</si>
  <si>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</si>
  <si>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</si>
  <si>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</si>
  <si>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</si>
  <si>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</si>
  <si>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</si>
  <si>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</si>
  <si>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</si>
  <si>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</si>
  <si>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</si>
  <si>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</si>
  <si>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</si>
  <si>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</si>
  <si>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</si>
  <si>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</si>
  <si>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</si>
  <si>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</si>
  <si>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</si>
  <si>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</si>
  <si>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</si>
  <si>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</si>
  <si>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</si>
  <si>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</si>
  <si>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</si>
  <si>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</si>
  <si>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</si>
  <si>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</si>
  <si>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</si>
  <si>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</si>
  <si>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</si>
  <si>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</si>
  <si>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</si>
  <si>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</si>
  <si>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</si>
  <si>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</si>
  <si>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</si>
  <si>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</si>
  <si>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</si>
  <si>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</si>
  <si>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</si>
  <si>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</si>
  <si>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</si>
  <si>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</si>
  <si>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</si>
  <si>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</si>
  <si>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</si>
  <si>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</si>
  <si>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</si>
  <si>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</si>
  <si>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</si>
  <si>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</si>
  <si>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</si>
  <si>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</si>
  <si>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</si>
  <si>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</si>
  <si>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</si>
  <si>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</si>
  <si>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</si>
  <si>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</si>
  <si>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</si>
  <si>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</si>
  <si>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</si>
  <si>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</si>
  <si>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</si>
  <si>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</si>
  <si>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</si>
  <si>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</si>
  <si>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</si>
  <si>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</si>
  <si>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</si>
  <si>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</si>
  <si>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</si>
  <si>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</si>
  <si>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</si>
  <si>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</si>
  <si>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</si>
  <si>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</si>
  <si>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</si>
  <si>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</si>
  <si>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</si>
  <si>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</si>
  <si>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</si>
  <si>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</si>
  <si>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</si>
  <si>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</si>
  <si>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</si>
  <si>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</si>
  <si>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</si>
  <si>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</si>
  <si>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</si>
  <si>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</si>
  <si>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</si>
  <si>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</si>
  <si>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</si>
  <si>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</si>
  <si>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</si>
  <si>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</si>
  <si>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</si>
  <si>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</si>
  <si>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</si>
  <si>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</si>
  <si>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</si>
  <si>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</si>
  <si>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</si>
  <si>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</si>
  <si>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</si>
  <si>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</si>
  <si>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</si>
  <si>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</si>
  <si>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</si>
  <si>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</si>
  <si>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</si>
  <si>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</si>
  <si>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</si>
  <si>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</si>
  <si>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</si>
  <si>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</si>
  <si>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</si>
  <si>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</si>
  <si>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</si>
  <si>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</si>
  <si>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</si>
  <si>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</si>
  <si>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</si>
  <si>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</si>
  <si>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</si>
  <si>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</si>
  <si>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</si>
  <si>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</si>
  <si>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</si>
  <si>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</si>
  <si>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</si>
  <si>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</si>
  <si>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</si>
  <si>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</si>
  <si>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</si>
  <si>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</si>
  <si>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MELI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</si>
  <si>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</si>
  <si>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</si>
  <si>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</si>
  <si>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</si>
  <si>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</si>
  <si>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</si>
  <si>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</si>
  <si>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</si>
  <si>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</si>
  <si>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</si>
  <si>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</si>
  <si>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</si>
  <si>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</si>
  <si>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</si>
  <si>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</si>
  <si>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</si>
  <si>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</si>
  <si>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</si>
  <si>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</si>
  <si>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</si>
  <si>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</si>
  <si>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</si>
  <si>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</si>
  <si>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</si>
  <si>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</si>
  <si>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</si>
  <si>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</si>
  <si>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</si>
  <si>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</si>
  <si>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</si>
  <si>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</si>
  <si>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</si>
  <si>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</si>
  <si>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</si>
  <si>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</si>
  <si>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</si>
  <si>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</si>
  <si>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</si>
  <si>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</si>
  <si>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</si>
  <si>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</si>
  <si>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</si>
  <si>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</si>
  <si>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</si>
  <si>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</si>
  <si>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</si>
  <si>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</si>
  <si>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</si>
  <si>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</si>
  <si>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</si>
  <si>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</si>
  <si>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</si>
  <si>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</si>
  <si>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</si>
  <si>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</si>
  <si>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</si>
  <si>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</si>
  <si>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</si>
  <si>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</si>
  <si>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</si>
  <si>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</si>
  <si>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</si>
  <si>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</si>
  <si>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</si>
  <si>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</si>
  <si>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</si>
  <si>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</si>
  <si>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</si>
  <si>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</si>
  <si>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</si>
  <si>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</si>
  <si>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</si>
  <si>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</si>
  <si>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</si>
  <si>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</si>
  <si>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</si>
  <si>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</si>
  <si>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</si>
  <si>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</si>
  <si>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</si>
  <si>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</si>
  <si>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</si>
  <si>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</si>
  <si>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</si>
  <si>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</si>
  <si>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</si>
  <si>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</si>
  <si>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</si>
  <si>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</si>
  <si>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</si>
  <si>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</si>
  <si>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</si>
  <si>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</si>
  <si>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</si>
  <si>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</si>
  <si>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</si>
  <si>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</si>
  <si>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</si>
  <si>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</si>
  <si>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</si>
  <si>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</si>
  <si>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</si>
  <si>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</si>
  <si>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</si>
  <si>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</si>
  <si>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</si>
  <si>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</si>
  <si>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</si>
  <si>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</si>
  <si>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</si>
  <si>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</si>
  <si>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</si>
  <si>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</si>
  <si>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</si>
  <si>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</si>
  <si>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</si>
  <si>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</si>
  <si>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</si>
  <si>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</si>
  <si>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</si>
  <si>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</si>
  <si>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</si>
  <si>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</si>
  <si>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</si>
  <si>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</si>
  <si>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</si>
  <si>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</si>
  <si>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</si>
  <si>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</si>
  <si>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</si>
  <si>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</si>
  <si>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</si>
  <si>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</si>
  <si>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</si>
  <si>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</si>
  <si>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</si>
  <si>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</si>
  <si>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</si>
  <si>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</si>
  <si>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</si>
  <si>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</si>
  <si>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</si>
  <si>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</si>
  <si>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</si>
  <si>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</si>
  <si>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</si>
  <si>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</si>
  <si>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</si>
  <si>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</si>
  <si>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</si>
  <si>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</si>
  <si>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</si>
  <si>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</si>
  <si>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</si>
  <si>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</si>
  <si>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</si>
  <si>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</si>
  <si>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</si>
  <si>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</si>
  <si>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</si>
  <si>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</si>
  <si>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</si>
  <si>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</si>
  <si>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</si>
  <si>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</si>
  <si>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</si>
  <si>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</si>
  <si>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</si>
  <si>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</si>
  <si>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</si>
  <si>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</si>
  <si>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</si>
  <si>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</si>
  <si>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</si>
  <si>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</si>
  <si>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</si>
  <si>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</si>
  <si>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</si>
  <si>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</si>
  <si>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</si>
  <si>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</si>
  <si>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</si>
  <si>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</si>
  <si>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</si>
  <si>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</si>
  <si>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</si>
  <si>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</si>
  <si>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</si>
  <si>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</si>
  <si>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</si>
  <si>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</si>
  <si>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</si>
  <si>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</si>
  <si>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</si>
  <si>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</si>
  <si>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</si>
  <si>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</si>
  <si>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</si>
  <si>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</si>
  <si>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</si>
  <si>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</si>
  <si>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</si>
  <si>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</si>
  <si>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</si>
  <si>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</si>
  <si>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</si>
  <si>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</si>
  <si>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</si>
  <si>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</si>
  <si>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</si>
  <si>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</si>
  <si>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</si>
  <si>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</si>
  <si>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</si>
  <si>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</si>
  <si>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</si>
  <si>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</si>
  <si>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</si>
  <si>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</si>
  <si>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</si>
  <si>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</si>
  <si>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</si>
  <si>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</si>
  <si>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</si>
  <si>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</si>
  <si>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</si>
  <si>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</si>
  <si>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</si>
  <si>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</si>
  <si>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</si>
  <si>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</si>
  <si>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</si>
  <si>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</si>
  <si>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</si>
  <si>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</si>
  <si>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</si>
  <si>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</si>
  <si>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</si>
  <si>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</si>
  <si>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</si>
  <si>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</si>
  <si>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</si>
  <si>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</si>
  <si>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</si>
  <si>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</si>
  <si>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</si>
  <si>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</si>
  <si>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</si>
  <si>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</si>
  <si>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</si>
  <si>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</si>
  <si>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</si>
  <si>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</si>
  <si>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</si>
  <si>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</si>
  <si>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</si>
  <si>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</si>
  <si>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</si>
  <si>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</si>
  <si>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</si>
  <si>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</si>
  <si>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</si>
  <si>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</si>
  <si>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</si>
  <si>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</si>
  <si>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</si>
  <si>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</si>
  <si>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</si>
  <si>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</si>
  <si>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</si>
  <si>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</si>
  <si>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</si>
  <si>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</si>
  <si>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</si>
  <si>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</si>
  <si>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</si>
  <si>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</si>
  <si>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</si>
  <si>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</si>
  <si>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</si>
  <si>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</si>
  <si>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</si>
  <si>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</si>
  <si>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</si>
  <si>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</si>
  <si>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</si>
  <si>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</si>
  <si>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</si>
  <si>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</si>
  <si>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</si>
  <si>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</si>
  <si>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</si>
  <si>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</si>
  <si>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</si>
  <si>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</si>
  <si>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</si>
  <si>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</si>
  <si>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</si>
  <si>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</si>
  <si>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</si>
  <si>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</si>
  <si>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</si>
  <si>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</si>
  <si>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</si>
  <si>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</si>
  <si>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</si>
  <si>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</si>
  <si>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</si>
  <si>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</si>
  <si>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</si>
  <si>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</si>
  <si>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</si>
  <si>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</si>
  <si>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</si>
  <si>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</si>
  <si>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</si>
  <si>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</si>
  <si>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</si>
  <si>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</si>
  <si>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</si>
  <si>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</si>
  <si>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</si>
  <si>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</si>
  <si>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</si>
  <si>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</si>
  <si>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</si>
  <si>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</si>
  <si>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</si>
  <si>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</si>
  <si>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</si>
  <si>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</si>
  <si>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</si>
  <si>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</si>
  <si>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</si>
  <si>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</si>
  <si>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</si>
  <si>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</si>
  <si>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</si>
  <si>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</si>
  <si>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</si>
  <si>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</si>
  <si>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</si>
  <si>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</si>
  <si>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</si>
  <si>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</si>
  <si>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</si>
  <si>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</si>
  <si>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</si>
  <si>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</si>
  <si>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</si>
  <si>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</si>
  <si>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</si>
  <si>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</si>
  <si>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</si>
  <si>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</si>
  <si>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</si>
  <si>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</si>
  <si>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</si>
  <si>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</si>
  <si>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</si>
  <si>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</si>
  <si>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</si>
  <si>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</si>
  <si>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</si>
  <si>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</si>
  <si>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</si>
  <si>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</si>
  <si>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</si>
  <si>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</si>
  <si>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</si>
  <si>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</si>
  <si>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</si>
  <si>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</si>
  <si>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</si>
  <si>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</si>
  <si>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</si>
  <si>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</si>
  <si>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</si>
  <si>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</si>
  <si>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</si>
  <si>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</si>
  <si>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</si>
  <si>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</si>
  <si>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</si>
  <si>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</si>
  <si>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</si>
  <si>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</si>
  <si>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</si>
  <si>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</si>
  <si>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</si>
  <si>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</si>
  <si>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</si>
  <si>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</si>
  <si>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</si>
  <si>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</si>
  <si>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</si>
  <si>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</si>
  <si>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</si>
  <si>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</si>
  <si>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</si>
  <si>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</si>
  <si>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</si>
  <si>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</si>
  <si>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</si>
  <si>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</si>
  <si>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</si>
  <si>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</si>
  <si>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</si>
  <si>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</si>
  <si>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</si>
  <si>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</si>
  <si>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</si>
  <si>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NUÃ‘EZ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</si>
  <si>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</si>
  <si>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</si>
  <si>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</si>
  <si>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</si>
  <si>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</si>
  <si>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</si>
  <si>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</si>
  <si>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</si>
  <si>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</si>
  <si>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</si>
  <si>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</si>
  <si>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</si>
  <si>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</si>
  <si>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</si>
  <si>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</si>
  <si>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</si>
  <si>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</si>
  <si>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</si>
  <si>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</si>
  <si>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</si>
  <si>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</si>
  <si>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</si>
  <si>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</si>
  <si>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</si>
  <si>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</si>
  <si>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</si>
  <si>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</si>
  <si>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</si>
  <si>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</si>
  <si>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</si>
  <si>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</si>
  <si>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</si>
  <si>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</si>
  <si>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</si>
  <si>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</si>
  <si>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</si>
  <si>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</si>
  <si>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</si>
  <si>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</si>
  <si>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</si>
  <si>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</si>
  <si>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</si>
  <si>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</si>
  <si>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</si>
  <si>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</si>
  <si>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</si>
  <si>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</si>
  <si>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</si>
  <si>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</si>
  <si>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</si>
  <si>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</si>
  <si>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</si>
  <si>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</si>
  <si>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</si>
  <si>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</si>
  <si>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</si>
  <si>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</si>
  <si>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</si>
  <si>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</si>
  <si>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</si>
  <si>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</si>
  <si>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</si>
  <si>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</si>
  <si>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</si>
  <si>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</si>
  <si>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</si>
  <si>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</si>
  <si>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</si>
  <si>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</si>
  <si>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</si>
  <si>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</si>
  <si>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</si>
  <si>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</si>
  <si>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</si>
  <si>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</si>
  <si>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</si>
  <si>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</si>
  <si>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</si>
  <si>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</si>
  <si>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</si>
  <si>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</si>
  <si>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</si>
  <si>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</si>
  <si>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</si>
  <si>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</si>
  <si>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</si>
  <si>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</si>
  <si>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</si>
  <si>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</si>
  <si>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</si>
  <si>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</si>
  <si>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</si>
  <si>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</si>
  <si>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</si>
  <si>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</si>
  <si>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</si>
  <si>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</si>
  <si>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</si>
  <si>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</si>
  <si>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</si>
  <si>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</si>
  <si>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</si>
  <si>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</si>
  <si>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</si>
  <si>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</si>
  <si>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</si>
  <si>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</si>
  <si>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</si>
  <si>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</si>
  <si>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</si>
  <si>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</si>
  <si>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</si>
  <si>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</si>
  <si>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</si>
  <si>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</si>
  <si>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</si>
  <si>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</si>
  <si>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</si>
  <si>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</si>
  <si>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</si>
  <si>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</si>
  <si>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</si>
  <si>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</si>
  <si>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</si>
  <si>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</si>
  <si>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</si>
  <si>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</si>
  <si>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</si>
  <si>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</si>
  <si>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</si>
  <si>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</si>
  <si>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</si>
  <si>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</si>
  <si>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</si>
  <si>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</si>
  <si>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</si>
  <si>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</si>
  <si>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</si>
  <si>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</si>
  <si>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</si>
  <si>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</si>
  <si>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</si>
  <si>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</si>
  <si>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</si>
  <si>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</si>
  <si>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</si>
  <si>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</si>
  <si>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</si>
  <si>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</si>
  <si>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</si>
  <si>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</si>
  <si>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</si>
  <si>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</si>
  <si>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</si>
  <si>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</si>
  <si>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</si>
  <si>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</si>
  <si>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</si>
  <si>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</si>
  <si>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</si>
  <si>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</si>
  <si>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</si>
  <si>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</si>
  <si>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</si>
  <si>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</si>
  <si>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</si>
  <si>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</si>
  <si>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</si>
  <si>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</si>
  <si>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</si>
  <si>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</si>
  <si>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</si>
  <si>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</si>
  <si>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</si>
  <si>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</si>
  <si>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</si>
  <si>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</si>
  <si>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</si>
  <si>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</si>
  <si>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</si>
  <si>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</si>
  <si>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</si>
  <si>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</si>
  <si>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</si>
  <si>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</si>
  <si>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</si>
  <si>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</si>
  <si>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</si>
  <si>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</si>
  <si>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</si>
  <si>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</si>
  <si>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</si>
  <si>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</si>
  <si>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</si>
  <si>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</si>
  <si>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</si>
  <si>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</si>
  <si>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</si>
  <si>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</si>
  <si>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</si>
  <si>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</si>
  <si>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</si>
  <si>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</si>
  <si>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</si>
  <si>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</si>
  <si>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</si>
  <si>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</si>
  <si>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</si>
  <si>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</si>
  <si>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</si>
  <si>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</si>
  <si>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</si>
  <si>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</si>
  <si>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</si>
  <si>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</si>
  <si>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</si>
  <si>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</si>
  <si>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</si>
  <si>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</si>
  <si>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</si>
  <si>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</si>
  <si>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</si>
  <si>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</si>
  <si>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</si>
  <si>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</si>
  <si>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</si>
  <si>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</si>
  <si>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</si>
  <si>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</si>
  <si>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</si>
  <si>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</si>
  <si>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</si>
  <si>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</si>
  <si>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</si>
  <si>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</si>
  <si>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</si>
  <si>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</si>
  <si>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</si>
  <si>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</si>
  <si>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</si>
  <si>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</si>
  <si>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</si>
  <si>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</si>
  <si>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</si>
  <si>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</si>
  <si>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</si>
  <si>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</si>
  <si>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</si>
  <si>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</si>
  <si>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</si>
  <si>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</si>
  <si>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</si>
  <si>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</si>
  <si>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</si>
  <si>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</si>
  <si>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</si>
  <si>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</si>
  <si>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</si>
  <si>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</si>
  <si>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</si>
  <si>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</si>
  <si>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</si>
  <si>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</si>
  <si>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</si>
  <si>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</si>
  <si>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</si>
  <si>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</si>
  <si>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</si>
  <si>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</si>
  <si>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</si>
  <si>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</si>
  <si>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</si>
  <si>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</si>
  <si>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</si>
  <si>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</si>
  <si>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</si>
  <si>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</si>
  <si>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</si>
  <si>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</si>
  <si>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</si>
  <si>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</si>
  <si>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</si>
  <si>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</si>
  <si>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</si>
  <si>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</si>
  <si>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</si>
  <si>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</si>
  <si>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</si>
  <si>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</si>
  <si>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</si>
  <si>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</si>
  <si>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</si>
  <si>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</si>
  <si>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</si>
  <si>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</si>
  <si>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</si>
  <si>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</si>
  <si>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</si>
  <si>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</si>
  <si>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</si>
  <si>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</si>
  <si>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</si>
  <si>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</si>
  <si>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</si>
  <si>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</si>
  <si>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</si>
  <si>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</si>
  <si>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</si>
  <si>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</si>
  <si>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</si>
  <si>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</si>
  <si>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</si>
  <si>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</si>
  <si>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</si>
  <si>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</si>
  <si>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</si>
  <si>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</si>
  <si>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</si>
  <si>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</si>
  <si>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</si>
  <si>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</si>
  <si>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</si>
  <si>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</si>
  <si>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</si>
  <si>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</si>
  <si>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</si>
  <si>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</si>
  <si>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</si>
  <si>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</si>
  <si>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</si>
  <si>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</si>
  <si>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</si>
  <si>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</si>
  <si>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</si>
  <si>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</si>
  <si>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</si>
  <si>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</si>
  <si>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</si>
  <si>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</si>
  <si>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</si>
  <si>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</si>
  <si>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</si>
  <si>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</si>
  <si>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</si>
  <si>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</si>
  <si>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</si>
  <si>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</si>
  <si>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</si>
  <si>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</si>
  <si>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</si>
  <si>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</si>
  <si>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</si>
  <si>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</si>
  <si>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</si>
  <si>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</si>
  <si>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</si>
  <si>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</si>
  <si>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</si>
  <si>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</si>
  <si>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</si>
  <si>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</si>
  <si>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</si>
  <si>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</si>
  <si>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</si>
  <si>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</si>
  <si>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</si>
  <si>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</si>
  <si>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</si>
  <si>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</si>
  <si>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</si>
  <si>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</si>
  <si>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</si>
  <si>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</si>
  <si>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</si>
  <si>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</si>
  <si>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</si>
  <si>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</si>
  <si>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</si>
  <si>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</si>
  <si>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</si>
  <si>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</si>
  <si>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</si>
  <si>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</si>
  <si>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</si>
  <si>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</si>
  <si>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</si>
  <si>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</si>
  <si>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</si>
  <si>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</si>
  <si>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</si>
  <si>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</si>
  <si>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</si>
  <si>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</si>
  <si>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</si>
  <si>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</si>
  <si>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</si>
  <si>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</si>
  <si>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</si>
  <si>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</si>
  <si>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</si>
  <si>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</si>
  <si>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</si>
  <si>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</si>
  <si>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</si>
  <si>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</si>
  <si>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</si>
  <si>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</si>
  <si>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</si>
  <si>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</si>
  <si>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</si>
  <si>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</si>
  <si>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</si>
  <si>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</si>
  <si>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</si>
  <si>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</si>
  <si>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</si>
  <si>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</si>
  <si>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</si>
  <si>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</si>
  <si>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</si>
  <si>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</si>
  <si>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</si>
  <si>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</si>
  <si>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</si>
  <si>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</si>
  <si>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</si>
  <si>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</si>
  <si>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</si>
  <si>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</si>
  <si>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</si>
  <si>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</si>
  <si>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</si>
  <si>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</si>
  <si>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</si>
  <si>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</si>
  <si>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</si>
  <si>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</si>
  <si>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</si>
  <si>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</si>
  <si>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</si>
  <si>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</si>
  <si>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</si>
  <si>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</si>
  <si>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</si>
  <si>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</si>
  <si>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</si>
  <si>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</si>
  <si>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</si>
  <si>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</si>
  <si>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</si>
  <si>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</si>
  <si>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</si>
  <si>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</si>
  <si>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</si>
  <si>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</si>
  <si>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</si>
  <si>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</si>
  <si>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</si>
  <si>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</si>
  <si>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</si>
  <si>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</si>
  <si>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</si>
  <si>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</si>
  <si>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</si>
  <si>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</si>
  <si>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</si>
  <si>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</si>
  <si>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</si>
  <si>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</si>
  <si>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</si>
  <si>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</si>
  <si>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</si>
  <si>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</si>
  <si>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</si>
  <si>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</si>
  <si>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</si>
  <si>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</si>
  <si>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</si>
  <si>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</si>
  <si>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</si>
  <si>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</si>
  <si>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</si>
  <si>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</si>
  <si>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</si>
  <si>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</si>
  <si>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</si>
  <si>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</si>
  <si>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</si>
  <si>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</si>
  <si>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</si>
  <si>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</si>
  <si>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</si>
  <si>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</si>
  <si>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</si>
  <si>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</si>
  <si>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</si>
  <si>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</si>
  <si>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</si>
  <si>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</si>
  <si>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</si>
  <si>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</si>
  <si>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</si>
  <si>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</si>
  <si>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</si>
  <si>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</si>
  <si>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</si>
  <si>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</si>
  <si>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</si>
  <si>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</si>
  <si>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</si>
  <si>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</si>
  <si>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</si>
  <si>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</si>
  <si>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</si>
  <si>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</si>
  <si>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</si>
  <si>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</si>
  <si>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</si>
  <si>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</si>
  <si>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</si>
  <si>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</si>
  <si>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</si>
  <si>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</si>
  <si>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</si>
  <si>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</si>
  <si>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</si>
  <si>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</si>
  <si>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</si>
  <si>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</si>
  <si>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</si>
  <si>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</si>
  <si>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</si>
  <si>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</si>
  <si>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</si>
  <si>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</si>
  <si>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</si>
  <si>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</si>
  <si>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</si>
  <si>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</si>
  <si>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</si>
  <si>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</si>
  <si>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</si>
  <si>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</si>
  <si>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</si>
  <si>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</si>
  <si>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</si>
  <si>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</si>
  <si>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</si>
  <si>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</si>
  <si>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</si>
  <si>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</si>
  <si>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</si>
  <si>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</si>
  <si>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</si>
  <si>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</si>
  <si>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</si>
  <si>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</si>
  <si>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</si>
  <si>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</si>
  <si>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</si>
  <si>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</si>
  <si>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</si>
  <si>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</si>
  <si>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</si>
  <si>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</si>
  <si>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</si>
  <si>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</si>
  <si>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</si>
  <si>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</si>
  <si>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</si>
  <si>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</si>
  <si>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</si>
  <si>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</si>
  <si>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</si>
  <si>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</si>
  <si>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</si>
  <si>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</si>
  <si>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</si>
  <si>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</si>
  <si>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</si>
  <si>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</si>
  <si>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</si>
  <si>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</si>
  <si>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</si>
  <si>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</si>
  <si>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</si>
  <si>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</si>
  <si>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</si>
  <si>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</si>
  <si>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</si>
  <si>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</si>
  <si>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</si>
  <si>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</si>
  <si>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</si>
  <si>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</si>
  <si>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</si>
  <si>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</si>
  <si>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</si>
  <si>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</si>
  <si>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</si>
  <si>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</si>
  <si>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</si>
  <si>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</si>
  <si>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</si>
  <si>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</si>
  <si>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</si>
  <si>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</si>
  <si>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</si>
  <si>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</si>
  <si>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</si>
  <si>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</si>
  <si>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</si>
  <si>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</si>
  <si>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</si>
  <si>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</si>
  <si>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</si>
  <si>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</si>
  <si>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</si>
  <si>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</si>
  <si>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</si>
  <si>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</si>
  <si>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</si>
  <si>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</si>
  <si>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</si>
  <si>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</si>
  <si>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</si>
  <si>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</si>
  <si>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</si>
  <si>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</si>
  <si>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</si>
  <si>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</si>
  <si>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</si>
  <si>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</si>
  <si>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</si>
  <si>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</si>
  <si>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</si>
  <si>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</si>
  <si>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</si>
  <si>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</si>
  <si>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</si>
  <si>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</si>
  <si>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</si>
  <si>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</si>
  <si>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</si>
  <si>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</si>
  <si>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</si>
  <si>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</si>
  <si>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</si>
  <si>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</si>
  <si>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</si>
  <si>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</si>
  <si>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</si>
  <si>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</si>
  <si>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</si>
  <si>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</si>
  <si>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</si>
  <si>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</si>
  <si>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</si>
  <si>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</si>
  <si>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</si>
  <si>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</si>
  <si>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</si>
  <si>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</si>
  <si>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</si>
  <si>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</si>
  <si>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</si>
  <si>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</si>
  <si>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</si>
  <si>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</si>
  <si>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</si>
  <si>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</si>
  <si>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</si>
  <si>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</si>
  <si>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</si>
  <si>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</si>
  <si>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</si>
  <si>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</si>
  <si>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</si>
  <si>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</si>
  <si>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</si>
  <si>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</si>
  <si>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</si>
  <si>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</si>
  <si>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</si>
  <si>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</si>
  <si>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</si>
  <si>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</si>
  <si>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</si>
  <si>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</si>
  <si>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</si>
  <si>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</si>
  <si>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</si>
  <si>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</si>
  <si>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</si>
  <si>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</si>
  <si>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</si>
  <si>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</si>
  <si>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</si>
  <si>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</si>
  <si>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</si>
  <si>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</si>
  <si>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</si>
  <si>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</si>
  <si>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</si>
  <si>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</si>
  <si>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</si>
  <si>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</si>
  <si>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</si>
  <si>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</si>
  <si>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</si>
  <si>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</si>
  <si>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</si>
  <si>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</si>
  <si>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</si>
  <si>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</si>
  <si>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</si>
  <si>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</si>
  <si>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</si>
  <si>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</si>
  <si>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</si>
  <si>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</si>
  <si>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</si>
  <si>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</si>
  <si>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</si>
  <si>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</si>
  <si>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</si>
  <si>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</si>
  <si>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</si>
  <si>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</si>
  <si>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</si>
  <si>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</si>
  <si>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</si>
  <si>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</si>
  <si>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</si>
  <si>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</si>
  <si>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</si>
  <si>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</si>
  <si>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</si>
  <si>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</si>
  <si>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</si>
  <si>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</si>
  <si>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</si>
  <si>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</si>
  <si>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</si>
  <si>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</si>
  <si>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</si>
  <si>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</si>
  <si>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</si>
  <si>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</si>
  <si>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</si>
  <si>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</si>
  <si>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</si>
  <si>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</si>
  <si>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</si>
  <si>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</si>
  <si>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</si>
  <si>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</si>
  <si>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</si>
  <si>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</si>
  <si>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</si>
  <si>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</si>
  <si>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</si>
  <si>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</si>
  <si>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</si>
  <si>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</si>
  <si>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</si>
  <si>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</si>
  <si>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</si>
  <si>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</si>
  <si>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</si>
  <si>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</si>
  <si>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</si>
  <si>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</si>
  <si>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</si>
  <si>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</si>
  <si>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</si>
  <si>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</si>
  <si>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</si>
  <si>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</si>
  <si>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</si>
  <si>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</si>
  <si>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</si>
  <si>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</si>
  <si>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</si>
  <si>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</si>
  <si>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</si>
  <si>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</si>
  <si>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</si>
  <si>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</si>
  <si>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</si>
  <si>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</si>
  <si>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</si>
  <si>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</si>
  <si>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</si>
  <si>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</si>
  <si>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</si>
  <si>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</si>
  <si>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</si>
  <si>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</si>
  <si>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</si>
  <si>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</si>
  <si>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</si>
  <si>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</si>
  <si>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</si>
  <si>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</si>
  <si>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</si>
  <si>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</si>
  <si>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</si>
  <si>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</si>
  <si>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</si>
  <si>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</si>
  <si>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</si>
  <si>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</si>
  <si>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</si>
  <si>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</si>
  <si>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</si>
  <si>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</si>
  <si>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</si>
  <si>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</si>
  <si>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</si>
  <si>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</si>
  <si>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</si>
  <si>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</si>
  <si>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</si>
  <si>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</si>
  <si>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</si>
  <si>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</si>
  <si>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</si>
  <si>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</si>
  <si>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</si>
  <si>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</si>
  <si>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</si>
  <si>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</si>
  <si>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</si>
  <si>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</si>
  <si>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</si>
  <si>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</si>
  <si>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</si>
  <si>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</si>
  <si>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</si>
  <si>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</si>
  <si>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</si>
  <si>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</si>
  <si>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</si>
  <si>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</si>
  <si>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</si>
  <si>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</si>
  <si>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</si>
  <si>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</si>
  <si>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</si>
  <si>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</si>
  <si>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</si>
  <si>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</si>
  <si>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</si>
  <si>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</si>
  <si>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</si>
  <si>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</si>
  <si>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</si>
  <si>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</si>
  <si>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</si>
  <si>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</si>
  <si>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</si>
  <si>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</si>
  <si>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</si>
  <si>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</si>
  <si>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</si>
  <si>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</si>
  <si>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</si>
  <si>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</si>
  <si>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</si>
  <si>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</si>
  <si>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</si>
  <si>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</si>
  <si>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</si>
  <si>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</si>
  <si>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</si>
  <si>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</si>
  <si>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</si>
  <si>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</si>
  <si>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</si>
  <si>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</si>
  <si>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</si>
  <si>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</si>
  <si>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</si>
  <si>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</si>
  <si>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</si>
  <si>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</si>
  <si>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</si>
  <si>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</si>
  <si>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</si>
  <si>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</si>
  <si>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</si>
  <si>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</si>
  <si>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</si>
  <si>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</si>
  <si>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</si>
  <si>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</si>
  <si>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</si>
  <si>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</si>
  <si>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</si>
  <si>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</si>
  <si>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</si>
  <si>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</si>
  <si>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</si>
  <si>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</si>
  <si>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</si>
  <si>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</si>
  <si>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</si>
  <si>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</si>
  <si>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</si>
  <si>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</si>
  <si>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</si>
  <si>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</si>
  <si>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</si>
  <si>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</si>
  <si>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</si>
  <si>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</si>
  <si>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</si>
  <si>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</si>
  <si>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</si>
  <si>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</si>
  <si>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</si>
  <si>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</si>
  <si>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</si>
  <si>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</si>
  <si>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</si>
  <si>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</si>
  <si>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</si>
  <si>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</si>
  <si>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</si>
  <si>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</si>
  <si>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</si>
  <si>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</si>
  <si>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</si>
  <si>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</si>
  <si>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</si>
  <si>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</si>
  <si>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</si>
  <si>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</si>
  <si>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</si>
  <si>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</si>
  <si>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</si>
  <si>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</si>
  <si>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</si>
  <si>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</si>
  <si>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</si>
  <si>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</si>
  <si>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</si>
  <si>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</si>
  <si>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</si>
  <si>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</si>
  <si>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</si>
  <si>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</si>
  <si>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</si>
  <si>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</si>
  <si>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</si>
  <si>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</si>
  <si>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</si>
  <si>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</si>
  <si>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</si>
  <si>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</si>
  <si>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</si>
  <si>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</si>
  <si>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</si>
  <si>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</si>
  <si>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</si>
  <si>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</si>
  <si>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</si>
  <si>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</si>
  <si>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</si>
  <si>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</si>
  <si>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</si>
  <si>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</si>
  <si>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</si>
  <si>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</si>
  <si>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</si>
  <si>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</si>
  <si>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</si>
  <si>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</si>
  <si>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</si>
  <si>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</si>
  <si>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</si>
  <si>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</si>
  <si>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</si>
  <si>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</si>
  <si>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</si>
  <si>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</si>
  <si>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</si>
  <si>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</si>
  <si>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</si>
  <si>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</si>
  <si>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</si>
  <si>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</si>
  <si>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</si>
  <si>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</si>
  <si>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</si>
  <si>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GUAL WALTER NICOLAS</t>
  </si>
  <si>
    <t>OSKY</t>
  </si>
  <si>
    <t>MEXICO 520</t>
  </si>
  <si>
    <t>RÍO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</si>
</sst>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3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3" fillId="0" borderId="11" xfId="0" applyFont="1" applyBorder="1"/>
    <xf numFmtId="0" fontId="36" fillId="0" borderId="6" xfId="0" applyFont="1" applyBorder="1" applyProtection="1">
      <protection locked="0"/>
    </xf>
    <xf numFmtId="0" fontId="33" fillId="0" borderId="16" xfId="0" applyFont="1" applyBorder="1"/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3" fillId="0" borderId="0" xfId="0" applyFont="1" applyBorder="1" applyAlignment="1" applyProtection="1">
      <alignment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0" fontId="26" fillId="0" borderId="33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35" fillId="0" borderId="33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3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</xf>
    <xf numFmtId="0" fontId="25" fillId="0" borderId="3" xfId="0" applyFont="1" applyBorder="1" applyAlignment="1" applyProtection="1">
      <alignment horizontal="center" vertical="center" shrinkToFit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25" fillId="0" borderId="0" xfId="0" applyFont="1" applyBorder="1" applyAlignment="1" applyProtection="1">
      <alignment horizontal="center" vertical="center" wrapText="1"/>
    </xf>
    <xf numFmtId="0" fontId="25" fillId="0" borderId="3" xfId="0" applyFont="1" applyBorder="1" applyAlignment="1" applyProtection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zoomScaleSheetLayoutView="98" workbookViewId="0">
      <selection activeCell="C16" sqref="C16:T1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15530</v>
      </c>
      <c r="Y1" s="103"/>
      <c r="Z1" s="154">
        <f ca="1">TODAY()</f>
        <v>44694</v>
      </c>
      <c r="AA1" s="155"/>
    </row>
    <row r="2" spans="1:27" ht="14.1" customHeight="1" x14ac:dyDescent="0.2">
      <c r="A2" s="130" t="s">
        <v>2474</v>
      </c>
      <c r="B2" s="165" t="str">
        <f>+Datos!B4</f>
        <v>RERDA S.A.</v>
      </c>
      <c r="C2" s="166"/>
      <c r="D2" s="166"/>
      <c r="E2" s="166"/>
      <c r="F2" s="166"/>
      <c r="G2" s="166"/>
      <c r="H2" s="166"/>
      <c r="I2" s="73"/>
      <c r="J2" s="73"/>
      <c r="K2" s="73"/>
      <c r="L2" s="73"/>
      <c r="M2" s="73"/>
      <c r="N2" s="73"/>
      <c r="O2" s="74"/>
      <c r="P2" s="177"/>
      <c r="Q2" s="178"/>
      <c r="R2" s="178"/>
      <c r="S2" s="178"/>
      <c r="T2" s="178"/>
      <c r="U2" s="179"/>
      <c r="W2" s="104" t="s">
        <v>13591</v>
      </c>
      <c r="X2" s="159" t="s">
        <v>15529</v>
      </c>
      <c r="Y2" s="159"/>
      <c r="Z2" s="159"/>
      <c r="AA2" s="159"/>
    </row>
    <row r="3" spans="1:27" ht="14.1" customHeight="1" x14ac:dyDescent="0.2">
      <c r="A3" s="131"/>
      <c r="B3" s="187" t="str">
        <f>+Datos!B6</f>
        <v>San Martín</v>
      </c>
      <c r="C3" s="188"/>
      <c r="D3" s="188"/>
      <c r="E3" s="188"/>
      <c r="F3" s="188"/>
      <c r="G3" s="188">
        <f>+Datos!B7</f>
        <v>1665</v>
      </c>
      <c r="H3" s="188"/>
      <c r="I3" s="188"/>
      <c r="J3" s="75"/>
      <c r="K3" s="12"/>
      <c r="L3" s="76"/>
      <c r="M3" s="133" t="str">
        <f>+Datos!B8</f>
        <v>Mendoza</v>
      </c>
      <c r="N3" s="133"/>
      <c r="O3" s="186"/>
      <c r="P3" s="180"/>
      <c r="Q3" s="181"/>
      <c r="R3" s="181"/>
      <c r="S3" s="181"/>
      <c r="T3" s="181"/>
      <c r="U3" s="182"/>
      <c r="W3" s="104" t="s">
        <v>13586</v>
      </c>
      <c r="X3" s="160" t="s">
        <v>15531</v>
      </c>
      <c r="Y3" s="160"/>
      <c r="Z3" s="160"/>
      <c r="AA3" s="160"/>
    </row>
    <row r="4" spans="1:27" ht="14.1" customHeight="1" x14ac:dyDescent="0.2">
      <c r="A4" s="131"/>
      <c r="B4" s="150" t="str">
        <f>+Datos!B9</f>
        <v>Mendoza</v>
      </c>
      <c r="C4" s="133"/>
      <c r="D4" s="133"/>
      <c r="E4" s="133"/>
      <c r="F4" s="133"/>
      <c r="G4" s="133">
        <f>+Datos!B10</f>
        <v>5500</v>
      </c>
      <c r="H4" s="133"/>
      <c r="I4" s="133"/>
      <c r="J4" s="75"/>
      <c r="K4" s="75"/>
      <c r="L4" s="75"/>
      <c r="M4" s="75"/>
      <c r="N4" s="75"/>
      <c r="O4" s="77"/>
      <c r="P4" s="180"/>
      <c r="Q4" s="181"/>
      <c r="R4" s="181"/>
      <c r="S4" s="181"/>
      <c r="T4" s="181"/>
      <c r="U4" s="182"/>
      <c r="W4" s="105"/>
      <c r="X4" s="161"/>
      <c r="Y4" s="161"/>
      <c r="Z4" s="161"/>
      <c r="AA4" s="161"/>
    </row>
    <row r="5" spans="1:27" ht="14.1" customHeight="1" x14ac:dyDescent="0.2">
      <c r="A5" s="131"/>
      <c r="B5" s="134" t="str">
        <f>+Datos!B11</f>
        <v>ventas@rerda.com</v>
      </c>
      <c r="C5" s="135"/>
      <c r="D5" s="135"/>
      <c r="E5" s="135"/>
      <c r="F5" s="135"/>
      <c r="G5" s="135"/>
      <c r="H5" s="135"/>
      <c r="I5" s="78"/>
      <c r="J5" s="78"/>
      <c r="K5" s="79" t="s">
        <v>13582</v>
      </c>
      <c r="L5" s="152">
        <f>+Datos!B5</f>
        <v>30535195869</v>
      </c>
      <c r="M5" s="152"/>
      <c r="N5" s="152"/>
      <c r="O5" s="153"/>
      <c r="P5" s="180"/>
      <c r="Q5" s="181"/>
      <c r="R5" s="181"/>
      <c r="S5" s="181"/>
      <c r="T5" s="181"/>
      <c r="U5" s="182"/>
      <c r="W5" s="104" t="s">
        <v>13585</v>
      </c>
      <c r="X5" s="162">
        <v>8138</v>
      </c>
      <c r="Y5" s="162"/>
      <c r="Z5" s="162"/>
      <c r="AA5" s="162"/>
    </row>
    <row r="6" spans="1:27" ht="14.1" customHeight="1" x14ac:dyDescent="0.2">
      <c r="A6" s="132"/>
      <c r="B6" s="167" t="str">
        <f>+Datos!B12</f>
        <v>0261-4256567 | +549 2615117948</v>
      </c>
      <c r="C6" s="168"/>
      <c r="D6" s="168"/>
      <c r="E6" s="168"/>
      <c r="F6" s="168"/>
      <c r="G6" s="168"/>
      <c r="H6" s="168"/>
      <c r="I6" s="80"/>
      <c r="J6" s="80"/>
      <c r="K6" s="81" t="s">
        <v>13583</v>
      </c>
      <c r="L6" s="148">
        <f>+Datos!B3</f>
        <v>20355</v>
      </c>
      <c r="M6" s="148"/>
      <c r="N6" s="148"/>
      <c r="O6" s="149"/>
      <c r="P6" s="183"/>
      <c r="Q6" s="184"/>
      <c r="R6" s="184"/>
      <c r="S6" s="184"/>
      <c r="T6" s="184"/>
      <c r="U6" s="185"/>
      <c r="W6" s="104" t="s">
        <v>13595</v>
      </c>
      <c r="X6" s="171">
        <v>35599462</v>
      </c>
      <c r="Y6" s="172"/>
      <c r="Z6" s="172"/>
      <c r="AA6" s="172"/>
    </row>
    <row r="7" spans="1:27" ht="14.1" customHeight="1" x14ac:dyDescent="0.2">
      <c r="A7" s="82"/>
      <c r="B7" s="151" t="s">
        <v>13597</v>
      </c>
      <c r="C7" s="151"/>
      <c r="D7" s="151" t="str">
        <f>IF(X1="", "¿Y EL NOMBRE DE VIAJANTE, SUCURSAL O VENDEDOR?",X1)</f>
        <v>OSKY</v>
      </c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83"/>
      <c r="W7" s="104" t="s">
        <v>13587</v>
      </c>
      <c r="X7" s="162">
        <v>2920660492</v>
      </c>
      <c r="Y7" s="162"/>
      <c r="Z7" s="162"/>
      <c r="AA7" s="162"/>
    </row>
    <row r="8" spans="1:27" ht="14.1" customHeight="1" x14ac:dyDescent="0.2">
      <c r="A8" s="139" t="s">
        <v>2483</v>
      </c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1"/>
      <c r="W8" s="104" t="s">
        <v>13589</v>
      </c>
      <c r="X8" s="159" t="s">
        <v>15532</v>
      </c>
      <c r="Y8" s="159"/>
      <c r="Z8" s="159"/>
      <c r="AA8" s="159"/>
    </row>
    <row r="9" spans="1:27" ht="14.1" customHeight="1" x14ac:dyDescent="0.2">
      <c r="A9" s="142"/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4"/>
      <c r="W9" s="104" t="s">
        <v>13588</v>
      </c>
      <c r="X9" s="159" t="s">
        <v>14117</v>
      </c>
      <c r="Y9" s="159"/>
      <c r="Z9" s="159"/>
      <c r="AA9" s="159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105"/>
      <c r="X10" s="105"/>
      <c r="Y10" s="105"/>
      <c r="Z10" s="105"/>
      <c r="AA10" s="105"/>
    </row>
    <row r="11" spans="1:27" ht="14.1" customHeight="1" x14ac:dyDescent="0.2">
      <c r="A11" s="84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36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1120004</v>
      </c>
      <c r="X12" s="109" t="str">
        <f>IFERROR(VLOOKUP(Tabla2[[#This Row],[CODIGO]],Lince!$A$2:$E10000,3,FALSE),"")</f>
        <v>BOMB AMER GAB AZUL 50/54 RER</v>
      </c>
      <c r="Y12" s="115"/>
      <c r="Z12" s="116">
        <v>52</v>
      </c>
      <c r="AA12" s="116">
        <v>1</v>
      </c>
    </row>
    <row r="13" spans="1:27" ht="14.1" customHeight="1" x14ac:dyDescent="0.2">
      <c r="A13" s="137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76" t="s">
        <v>13596</v>
      </c>
      <c r="M13" s="176"/>
      <c r="N13" s="176"/>
      <c r="O13" s="176"/>
      <c r="P13" s="174">
        <f>IF(X6="", "¿Y el DNI o CUIL/CUIT?",X6)</f>
        <v>35599462</v>
      </c>
      <c r="Q13" s="175"/>
      <c r="R13" s="175"/>
      <c r="S13" s="175"/>
      <c r="T13" s="175"/>
      <c r="U13" s="92"/>
      <c r="W13" s="108"/>
      <c r="X13" s="109" t="str">
        <f>IFERROR(VLOOKUP(Tabla2[[#This Row],[CODIGO]],Lince!$A$2:$E10001,3,FALSE),"")</f>
        <v/>
      </c>
      <c r="Y13" s="115"/>
      <c r="Z13" s="116"/>
      <c r="AA13" s="116"/>
    </row>
    <row r="14" spans="1:27" ht="14.1" customHeight="1" x14ac:dyDescent="0.2">
      <c r="A14" s="137"/>
      <c r="B14" s="93"/>
      <c r="C14" s="158" t="str">
        <f>IF(X2="", "Falta Apellido, nombre o razón social del cliente",X2)</f>
        <v>GUAL WALTER NICOLAS</v>
      </c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83"/>
      <c r="W14" s="108"/>
      <c r="X14" s="109" t="str">
        <f>IFERROR(VLOOKUP(Tabla2[[#This Row],[CODIGO]],Lince!$A$2:$E10002,3,FALSE),"")</f>
        <v/>
      </c>
      <c r="Y14" s="115"/>
      <c r="Z14" s="116"/>
      <c r="AA14" s="116"/>
    </row>
    <row r="15" spans="1:27" ht="14.1" customHeight="1" x14ac:dyDescent="0.2">
      <c r="A15" s="137"/>
      <c r="B15" s="93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83"/>
      <c r="W15" s="108"/>
      <c r="X15" s="109" t="str">
        <f>IFERROR(VLOOKUP(Tabla2[[#This Row],[CODIGO]],Lince!$A$2:$E10003,3,FALSE),"")</f>
        <v/>
      </c>
      <c r="Y15" s="115"/>
      <c r="Z15" s="116"/>
      <c r="AA15" s="116"/>
    </row>
    <row r="16" spans="1:27" ht="14.1" customHeight="1" x14ac:dyDescent="0.2">
      <c r="A16" s="137"/>
      <c r="B16" s="86"/>
      <c r="C16" s="173" t="str">
        <f>IF(X3="", "¿Y la dirección?",X3)</f>
        <v>MEXICO 520</v>
      </c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83"/>
      <c r="W16" s="108"/>
      <c r="X16" s="109" t="str">
        <f>IFERROR(VLOOKUP(Tabla2[[#This Row],[CODIGO]],Lince!$A$2:$E10004,3,FALSE),"")</f>
        <v/>
      </c>
      <c r="Y16" s="115"/>
      <c r="Z16" s="116"/>
      <c r="AA16" s="116"/>
    </row>
    <row r="17" spans="1:27" ht="14.1" customHeight="1" x14ac:dyDescent="0.2">
      <c r="A17" s="137"/>
      <c r="B17" s="86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83"/>
      <c r="W17" s="108"/>
      <c r="X17" s="109" t="str">
        <f>IFERROR(VLOOKUP(Tabla2[[#This Row],[CODIGO]],Lince!$A$2:$E10005,3,FALSE),"")</f>
        <v/>
      </c>
      <c r="Y17" s="115"/>
      <c r="Z17" s="116"/>
      <c r="AA17" s="116"/>
    </row>
    <row r="18" spans="1:27" ht="14.1" customHeight="1" x14ac:dyDescent="0.2">
      <c r="A18" s="137"/>
      <c r="B18" s="86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83"/>
      <c r="W18" s="108"/>
      <c r="X18" s="109" t="str">
        <f>IFERROR(VLOOKUP(Tabla2[[#This Row],[CODIGO]],Lince!$A$2:$E10006,3,FALSE),"")</f>
        <v/>
      </c>
      <c r="Y18" s="115"/>
      <c r="Z18" s="116"/>
      <c r="AA18" s="116"/>
    </row>
    <row r="19" spans="1:27" ht="14.1" customHeight="1" x14ac:dyDescent="0.2">
      <c r="A19" s="137"/>
      <c r="B19" s="94"/>
      <c r="C19" s="164" t="s">
        <v>13585</v>
      </c>
      <c r="D19" s="164"/>
      <c r="E19" s="163">
        <f>IF(X5="", "¿Y el CP?",X5)</f>
        <v>8138</v>
      </c>
      <c r="F19" s="158"/>
      <c r="G19" s="170" t="str">
        <f>IF(X8="", "Falta Ciudad o Pueblo",X8)</f>
        <v>RÍO COLORADO</v>
      </c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83"/>
      <c r="W19" s="108"/>
      <c r="X19" s="109" t="str">
        <f>IFERROR(VLOOKUP(Tabla2[[#This Row],[CODIGO]],Lince!$A$2:$E10007,3,FALSE),"")</f>
        <v/>
      </c>
      <c r="Y19" s="115"/>
      <c r="Z19" s="116"/>
      <c r="AA19" s="116"/>
    </row>
    <row r="20" spans="1:27" ht="14.1" customHeight="1" x14ac:dyDescent="0.2">
      <c r="A20" s="137"/>
      <c r="B20" s="94"/>
      <c r="C20" s="164"/>
      <c r="D20" s="164"/>
      <c r="E20" s="158"/>
      <c r="F20" s="158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83"/>
      <c r="W20" s="108"/>
      <c r="X20" s="109" t="str">
        <f>IFERROR(VLOOKUP(Tabla2[[#This Row],[CODIGO]],Lince!$A$2:$E10008,3,FALSE),"")</f>
        <v/>
      </c>
      <c r="Y20" s="115"/>
      <c r="Z20" s="116"/>
      <c r="AA20" s="116"/>
    </row>
    <row r="21" spans="1:27" ht="14.1" customHeight="1" x14ac:dyDescent="0.2">
      <c r="A21" s="137"/>
      <c r="B21" s="95"/>
      <c r="C21" s="169" t="str">
        <f>IF(X9="", "FALTA LA PROVINCIA",X9)</f>
        <v>RÍO NEGRO</v>
      </c>
      <c r="D21" s="169"/>
      <c r="E21" s="169"/>
      <c r="F21" s="169"/>
      <c r="G21" s="169"/>
      <c r="H21" s="169"/>
      <c r="I21" s="169"/>
      <c r="J21" s="169"/>
      <c r="K21" s="96"/>
      <c r="L21" s="156" t="s">
        <v>13584</v>
      </c>
      <c r="M21" s="156"/>
      <c r="N21" s="156"/>
      <c r="O21" s="156"/>
      <c r="P21" s="157">
        <f>IF(X7="", "Falta teléfono",X7)</f>
        <v>2920660492</v>
      </c>
      <c r="Q21" s="157"/>
      <c r="R21" s="157"/>
      <c r="S21" s="157"/>
      <c r="T21" s="157"/>
      <c r="U21" s="83"/>
      <c r="W21" s="108"/>
      <c r="X21" s="109" t="str">
        <f>IFERROR(VLOOKUP(Tabla2[[#This Row],[CODIGO]],Lince!$A$2:$E10009,3,FALSE),"")</f>
        <v/>
      </c>
      <c r="Y21" s="115"/>
      <c r="Z21" s="116"/>
      <c r="AA21" s="116"/>
    </row>
    <row r="22" spans="1:27" ht="14.1" customHeight="1" x14ac:dyDescent="0.2">
      <c r="A22" s="137"/>
      <c r="B22" s="95"/>
      <c r="C22" s="169"/>
      <c r="D22" s="169"/>
      <c r="E22" s="169"/>
      <c r="F22" s="169"/>
      <c r="G22" s="169"/>
      <c r="H22" s="169"/>
      <c r="I22" s="169"/>
      <c r="J22" s="169"/>
      <c r="K22" s="96"/>
      <c r="L22" s="156"/>
      <c r="M22" s="156"/>
      <c r="N22" s="156"/>
      <c r="O22" s="156"/>
      <c r="P22" s="157"/>
      <c r="Q22" s="157"/>
      <c r="R22" s="157"/>
      <c r="S22" s="157"/>
      <c r="T22" s="157"/>
      <c r="U22" s="83"/>
      <c r="W22" s="108"/>
      <c r="X22" s="109" t="str">
        <f>IFERROR(VLOOKUP(Tabla2[[#This Row],[CODIGO]],Lince!$A$2:$E10010,3,FALSE),"")</f>
        <v/>
      </c>
      <c r="Y22" s="115"/>
      <c r="Z22" s="116"/>
      <c r="AA22" s="116"/>
    </row>
    <row r="23" spans="1:27" ht="14.1" customHeight="1" thickBot="1" x14ac:dyDescent="0.25">
      <c r="A23" s="13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09" t="str">
        <f>IFERROR(VLOOKUP(Tabla2[[#This Row],[CODIGO]],Lince!$A$2:$E10011,3,FALSE),"")</f>
        <v/>
      </c>
      <c r="Y23" s="115"/>
      <c r="Z23" s="116"/>
      <c r="AA23" s="116"/>
    </row>
    <row r="24" spans="1:27" ht="14.1" customHeight="1" x14ac:dyDescent="0.2">
      <c r="W24" s="108"/>
      <c r="X24" s="109" t="str">
        <f>IFERROR(VLOOKUP(Tabla2[[#This Row],[CODIGO]],Lince!$A$2:$E10012,3,FALSE),"")</f>
        <v/>
      </c>
      <c r="Y24" s="115"/>
      <c r="Z24" s="116"/>
      <c r="AA24" s="116"/>
    </row>
    <row r="25" spans="1:27" ht="14.1" customHeight="1" x14ac:dyDescent="0.2">
      <c r="W25" s="108"/>
      <c r="X25" s="109" t="str">
        <f>IFERROR(VLOOKUP(Tabla2[[#This Row],[CODIGO]],Lince!$A$2:$E10013,3,FALSE),"")</f>
        <v/>
      </c>
      <c r="Y25" s="115"/>
      <c r="Z25" s="116"/>
      <c r="AA25" s="116"/>
    </row>
    <row r="26" spans="1:27" ht="14.1" customHeight="1" x14ac:dyDescent="0.2">
      <c r="W26" s="108"/>
      <c r="X26" s="109" t="str">
        <f>IFERROR(VLOOKUP(Tabla2[[#This Row],[CODIGO]],Lince!$A$2:$E10014,3,FALSE),"")</f>
        <v/>
      </c>
      <c r="Y26" s="115"/>
      <c r="Z26" s="116"/>
      <c r="AA26" s="116"/>
    </row>
    <row r="27" spans="1:27" ht="14.1" customHeight="1" x14ac:dyDescent="0.2">
      <c r="W27" s="108"/>
      <c r="X27" s="109" t="str">
        <f>IFERROR(VLOOKUP(Tabla2[[#This Row],[CODIGO]],Lince!$A$2:$E10015,3,FALSE),"")</f>
        <v/>
      </c>
      <c r="Y27" s="115"/>
      <c r="Z27" s="116"/>
      <c r="AA27" s="116"/>
    </row>
    <row r="28" spans="1:27" ht="14.1" customHeight="1" x14ac:dyDescent="0.2">
      <c r="W28" s="108"/>
      <c r="X28" s="109" t="str">
        <f>IFERROR(VLOOKUP(Tabla2[[#This Row],[CODIGO]],Lince!$A$2:$E10016,3,FALSE),"")</f>
        <v/>
      </c>
      <c r="Y28" s="115"/>
      <c r="Z28" s="116"/>
      <c r="AA28" s="116"/>
    </row>
    <row r="29" spans="1:27" ht="14.1" customHeight="1" x14ac:dyDescent="0.2">
      <c r="W29" s="110"/>
      <c r="X29" s="109" t="str">
        <f>IFERROR(VLOOKUP(Tabla2[[#This Row],[CODIGO]],Lince!$A$2:$E10017,3,FALSE),"")</f>
        <v/>
      </c>
      <c r="Y29" s="117"/>
      <c r="Z29" s="118"/>
      <c r="AA29" s="118"/>
    </row>
    <row r="30" spans="1:27" ht="14.1" customHeight="1" x14ac:dyDescent="0.2">
      <c r="W30" s="108"/>
      <c r="X30" s="109" t="str">
        <f>IFERROR(VLOOKUP(Tabla2[[#This Row],[CODIGO]],Lince!$A$2:$E10018,3,FALSE),"")</f>
        <v/>
      </c>
      <c r="Y30" s="115"/>
      <c r="Z30" s="116"/>
      <c r="AA30" s="116"/>
    </row>
    <row r="31" spans="1:27" ht="14.1" customHeight="1" x14ac:dyDescent="0.2">
      <c r="W31" s="110"/>
      <c r="X31" s="109" t="str">
        <f>IFERROR(VLOOKUP(Tabla2[[#This Row],[CODIGO]],Lince!$A$2:$E10019,3,FALSE),"")</f>
        <v/>
      </c>
      <c r="Y31" s="117"/>
      <c r="Z31" s="118"/>
      <c r="AA31" s="118"/>
    </row>
    <row r="32" spans="1:27" ht="14.1" customHeight="1" x14ac:dyDescent="0.2">
      <c r="W32" s="108"/>
      <c r="X32" s="109" t="str">
        <f>IFERROR(VLOOKUP(Tabla2[[#This Row],[CODIGO]],Lince!$A$2:$E10020,3,FALSE),"")</f>
        <v/>
      </c>
      <c r="Y32" s="115"/>
      <c r="Z32" s="116"/>
      <c r="AA32" s="116"/>
    </row>
    <row r="33" spans="23:27" ht="14.1" customHeight="1" x14ac:dyDescent="0.2">
      <c r="W33" s="112" t="s">
        <v>13581</v>
      </c>
      <c r="X33" s="112"/>
      <c r="Y33" s="112"/>
      <c r="Z33" s="112"/>
      <c r="AA33" s="113">
        <f>SUBTOTAL(109,Tabla2[CANT])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ageMargins left="0.25" right="0.25" top="0.75" bottom="0.75" header="0.3" footer="0.3"/>
  <pageSetup paperSize="9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tabSelected="1" zoomScale="120" zoomScaleNormal="120" workbookViewId="0">
      <selection activeCell="X5" sqref="X5:AA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14119</v>
      </c>
      <c r="Y1" s="103"/>
      <c r="Z1" s="154">
        <f ca="1">TODAY()</f>
        <v>44694</v>
      </c>
      <c r="AA1" s="155"/>
    </row>
    <row r="2" spans="1:27" ht="14.1" customHeight="1" x14ac:dyDescent="0.2">
      <c r="A2" s="189" t="s">
        <v>2474</v>
      </c>
      <c r="B2" s="192" t="str">
        <f>+Datos!B4</f>
        <v>RERDA S.A.</v>
      </c>
      <c r="C2" s="193"/>
      <c r="D2" s="193"/>
      <c r="E2" s="193"/>
      <c r="F2" s="193"/>
      <c r="G2" s="193"/>
      <c r="H2" s="193"/>
      <c r="I2" s="27"/>
      <c r="J2" s="27"/>
      <c r="K2" s="27"/>
      <c r="L2" s="27"/>
      <c r="M2" s="27"/>
      <c r="N2" s="27"/>
      <c r="O2" s="30"/>
      <c r="P2" s="194"/>
      <c r="Q2" s="195"/>
      <c r="R2" s="195"/>
      <c r="S2" s="195"/>
      <c r="T2" s="195"/>
      <c r="U2" s="196"/>
      <c r="W2" s="104" t="s">
        <v>13591</v>
      </c>
      <c r="X2" s="159" t="s">
        <v>14119</v>
      </c>
      <c r="Y2" s="159"/>
      <c r="Z2" s="159"/>
      <c r="AA2" s="159"/>
    </row>
    <row r="3" spans="1:27" ht="14.1" customHeight="1" x14ac:dyDescent="0.2">
      <c r="A3" s="190"/>
      <c r="B3" s="203" t="str">
        <f>+Datos!B6</f>
        <v>San Martín</v>
      </c>
      <c r="C3" s="204"/>
      <c r="D3" s="204"/>
      <c r="E3" s="204"/>
      <c r="F3" s="204"/>
      <c r="G3" s="204">
        <f>+Datos!B7</f>
        <v>1665</v>
      </c>
      <c r="H3" s="204"/>
      <c r="I3" s="204"/>
      <c r="J3" s="31"/>
      <c r="L3" s="33"/>
      <c r="M3" s="205" t="str">
        <f>+Datos!B8</f>
        <v>Mendoza</v>
      </c>
      <c r="N3" s="205"/>
      <c r="O3" s="206"/>
      <c r="P3" s="197"/>
      <c r="Q3" s="198"/>
      <c r="R3" s="198"/>
      <c r="S3" s="198"/>
      <c r="T3" s="198"/>
      <c r="U3" s="199"/>
      <c r="W3" s="104" t="s">
        <v>13586</v>
      </c>
      <c r="X3" s="160" t="s">
        <v>14119</v>
      </c>
      <c r="Y3" s="160"/>
      <c r="Z3" s="160"/>
      <c r="AA3" s="160"/>
    </row>
    <row r="4" spans="1:27" ht="14.1" customHeight="1" x14ac:dyDescent="0.2">
      <c r="A4" s="190"/>
      <c r="B4" s="207" t="str">
        <f>+Datos!B9</f>
        <v>Mendoza</v>
      </c>
      <c r="C4" s="205"/>
      <c r="D4" s="205"/>
      <c r="E4" s="205"/>
      <c r="F4" s="205"/>
      <c r="G4" s="205">
        <f>+Datos!B10</f>
        <v>5500</v>
      </c>
      <c r="H4" s="205"/>
      <c r="I4" s="205"/>
      <c r="J4" s="31"/>
      <c r="K4" s="31"/>
      <c r="L4" s="31"/>
      <c r="M4" s="31"/>
      <c r="N4" s="31"/>
      <c r="O4" s="32"/>
      <c r="P4" s="197"/>
      <c r="Q4" s="198"/>
      <c r="R4" s="198"/>
      <c r="S4" s="198"/>
      <c r="T4" s="198"/>
      <c r="U4" s="199"/>
      <c r="W4" s="105"/>
      <c r="X4" s="161"/>
      <c r="Y4" s="161"/>
      <c r="Z4" s="161"/>
      <c r="AA4" s="161"/>
    </row>
    <row r="5" spans="1:27" ht="14.1" customHeight="1" x14ac:dyDescent="0.2">
      <c r="A5" s="190"/>
      <c r="B5" s="208" t="str">
        <f>+Datos!B11</f>
        <v>ventas@rerda.com</v>
      </c>
      <c r="C5" s="209"/>
      <c r="D5" s="209"/>
      <c r="E5" s="209"/>
      <c r="F5" s="209"/>
      <c r="G5" s="209"/>
      <c r="H5" s="209"/>
      <c r="I5" s="34"/>
      <c r="J5" s="34"/>
      <c r="K5" s="36" t="s">
        <v>13582</v>
      </c>
      <c r="L5" s="210">
        <f>+Datos!B5</f>
        <v>30535195869</v>
      </c>
      <c r="M5" s="210"/>
      <c r="N5" s="210"/>
      <c r="O5" s="211"/>
      <c r="P5" s="197"/>
      <c r="Q5" s="198"/>
      <c r="R5" s="198"/>
      <c r="S5" s="198"/>
      <c r="T5" s="198"/>
      <c r="U5" s="199"/>
      <c r="W5" s="104" t="s">
        <v>13585</v>
      </c>
      <c r="X5" s="162" t="s">
        <v>246</v>
      </c>
      <c r="Y5" s="162"/>
      <c r="Z5" s="162"/>
      <c r="AA5" s="162"/>
    </row>
    <row r="6" spans="1:27" ht="14.1" customHeight="1" x14ac:dyDescent="0.2">
      <c r="A6" s="191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35"/>
      <c r="J6" s="35"/>
      <c r="K6" s="37" t="s">
        <v>13583</v>
      </c>
      <c r="L6" s="214">
        <f>+Datos!B3</f>
        <v>20355</v>
      </c>
      <c r="M6" s="214"/>
      <c r="N6" s="214"/>
      <c r="O6" s="215"/>
      <c r="P6" s="200"/>
      <c r="Q6" s="201"/>
      <c r="R6" s="201"/>
      <c r="S6" s="201"/>
      <c r="T6" s="201"/>
      <c r="U6" s="202"/>
      <c r="W6" s="104" t="s">
        <v>13595</v>
      </c>
      <c r="X6" s="162"/>
      <c r="Y6" s="162"/>
      <c r="Z6" s="162"/>
      <c r="AA6" s="162"/>
    </row>
    <row r="7" spans="1:27" ht="14.1" customHeight="1" x14ac:dyDescent="0.2">
      <c r="A7" s="28"/>
      <c r="B7" s="226" t="s">
        <v>13597</v>
      </c>
      <c r="C7" s="226"/>
      <c r="D7" s="226" t="str">
        <f>IF(X1="", "¿Y EL NOMBRE DE VIAJANTE, SUCURSAL O VENDEDOR?",X1)</f>
        <v>MELI</v>
      </c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9"/>
      <c r="W7" s="104" t="s">
        <v>13587</v>
      </c>
      <c r="X7" s="162"/>
      <c r="Y7" s="162"/>
      <c r="Z7" s="162"/>
      <c r="AA7" s="162"/>
    </row>
    <row r="8" spans="1:27" ht="14.1" customHeight="1" x14ac:dyDescent="0.2">
      <c r="A8" s="233" t="s">
        <v>2487</v>
      </c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5"/>
      <c r="W8" s="104" t="s">
        <v>13589</v>
      </c>
      <c r="X8" s="251"/>
      <c r="Y8" s="251"/>
      <c r="Z8" s="251"/>
      <c r="AA8" s="251"/>
    </row>
    <row r="9" spans="1:27" ht="14.1" customHeight="1" x14ac:dyDescent="0.2">
      <c r="A9" s="236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8"/>
      <c r="W9" s="104" t="s">
        <v>13588</v>
      </c>
      <c r="X9" s="251"/>
      <c r="Y9" s="251"/>
      <c r="Z9" s="251"/>
      <c r="AA9" s="251"/>
    </row>
    <row r="10" spans="1:27" ht="14.1" customHeight="1" x14ac:dyDescent="0.2">
      <c r="A10" s="239"/>
      <c r="B10" s="240"/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1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4" t="s">
        <v>13592</v>
      </c>
    </row>
    <row r="12" spans="1:27" ht="14.1" customHeight="1" x14ac:dyDescent="0.2">
      <c r="A12" s="54"/>
      <c r="B12" s="258" t="s">
        <v>2484</v>
      </c>
      <c r="C12" s="258"/>
      <c r="D12" s="258"/>
      <c r="E12" s="258"/>
      <c r="F12" s="258"/>
      <c r="G12" s="258"/>
      <c r="H12" s="258"/>
      <c r="I12" s="258"/>
      <c r="J12" s="258"/>
      <c r="K12" s="258"/>
      <c r="L12" s="258"/>
      <c r="M12" s="55"/>
      <c r="N12" s="67"/>
      <c r="O12" s="257" t="s">
        <v>13598</v>
      </c>
      <c r="P12" s="257"/>
      <c r="Q12" s="257"/>
      <c r="R12" s="257"/>
      <c r="S12" s="257"/>
      <c r="T12" s="257"/>
      <c r="U12" s="58"/>
      <c r="W12" s="108"/>
      <c r="X12" s="109" t="str">
        <f>IFERROR(VLOOKUP(Tabla24[[#This Row],[CODIGO]],Lince!$A$2:$E10000,3,FALSE),"")</f>
        <v/>
      </c>
      <c r="Y12" s="115"/>
      <c r="Z12" s="116"/>
      <c r="AA12" s="119"/>
    </row>
    <row r="13" spans="1:27" ht="14.1" customHeight="1" x14ac:dyDescent="0.2">
      <c r="A13" s="56"/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57"/>
      <c r="N13" s="67"/>
      <c r="O13" s="257"/>
      <c r="P13" s="257"/>
      <c r="Q13" s="257"/>
      <c r="R13" s="257"/>
      <c r="S13" s="257"/>
      <c r="T13" s="257"/>
      <c r="U13" s="58"/>
      <c r="W13" s="108"/>
      <c r="X13" s="109" t="str">
        <f>IFERROR(VLOOKUP(Tabla24[[#This Row],[CODIGO]],Lince!$A$2:$E10001,3,FALSE),"")</f>
        <v/>
      </c>
      <c r="Y13" s="115"/>
      <c r="Z13" s="116"/>
      <c r="AA13" s="119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09" t="str">
        <f>IFERROR(VLOOKUP(Tabla24[[#This Row],[CODIGO]],Lince!$A$2:$E10002,3,FALSE),"")</f>
        <v/>
      </c>
      <c r="Y14" s="115"/>
      <c r="Z14" s="116"/>
      <c r="AA14" s="119"/>
    </row>
    <row r="15" spans="1:27" ht="14.1" customHeight="1" x14ac:dyDescent="0.2">
      <c r="A15" s="216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09" t="str">
        <f>IFERROR(VLOOKUP(Tabla24[[#This Row],[CODIGO]],Lince!$A$2:$E10003,3,FALSE),"")</f>
        <v/>
      </c>
      <c r="Y15" s="115"/>
      <c r="Z15" s="116"/>
      <c r="AA15" s="119"/>
    </row>
    <row r="16" spans="1:27" ht="14.1" customHeight="1" x14ac:dyDescent="0.2">
      <c r="A16" s="217"/>
      <c r="B16" s="227" t="str">
        <f>IF(X2="", "Falta Apellido, nombre o razón social del cliente",X2)</f>
        <v>MELI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19" t="s">
        <v>13596</v>
      </c>
      <c r="O16" s="219"/>
      <c r="P16" s="219"/>
      <c r="Q16" s="220" t="str">
        <f>IF(X6="", "¿Y el DNI o CUIL/CUIT?",X6)</f>
        <v>¿Y el DNI o CUIL/CUIT?</v>
      </c>
      <c r="R16" s="221"/>
      <c r="S16" s="221"/>
      <c r="T16" s="222"/>
      <c r="U16" s="61"/>
      <c r="W16" s="108"/>
      <c r="X16" s="109" t="str">
        <f>IFERROR(VLOOKUP(Tabla24[[#This Row],[CODIGO]],Lince!$A$2:$E10004,3,FALSE),"")</f>
        <v/>
      </c>
      <c r="Y16" s="115"/>
      <c r="Z16" s="116"/>
      <c r="AA16" s="119"/>
    </row>
    <row r="17" spans="1:27" ht="14.1" customHeight="1" x14ac:dyDescent="0.2">
      <c r="A17" s="217"/>
      <c r="B17" s="229"/>
      <c r="C17" s="230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41"/>
      <c r="O17" s="42"/>
      <c r="P17" s="42"/>
      <c r="Q17" s="42"/>
      <c r="R17" s="42"/>
      <c r="S17" s="42"/>
      <c r="T17" s="64"/>
      <c r="U17" s="61"/>
      <c r="W17" s="108"/>
      <c r="X17" s="109" t="str">
        <f>IFERROR(VLOOKUP(Tabla24[[#This Row],[CODIGO]],Lince!$A$2:$E10005,3,FALSE),"")</f>
        <v/>
      </c>
      <c r="Y17" s="115"/>
      <c r="Z17" s="116"/>
      <c r="AA17" s="119"/>
    </row>
    <row r="18" spans="1:27" ht="14.1" customHeight="1" x14ac:dyDescent="0.2">
      <c r="A18" s="217"/>
      <c r="B18" s="231" t="s">
        <v>1282</v>
      </c>
      <c r="C18" s="232"/>
      <c r="D18" s="232"/>
      <c r="E18" s="243" t="e">
        <f>VLOOKUP(R18,Sucursales!A:B,2,FALSE)</f>
        <v>#N/A</v>
      </c>
      <c r="F18" s="243"/>
      <c r="G18" s="243"/>
      <c r="H18" s="243"/>
      <c r="I18" s="243"/>
      <c r="J18" s="243"/>
      <c r="K18" s="243"/>
      <c r="L18" s="243"/>
      <c r="M18" s="41"/>
      <c r="N18" s="256" t="s">
        <v>2489</v>
      </c>
      <c r="O18" s="256"/>
      <c r="P18" s="256"/>
      <c r="Q18" s="256"/>
      <c r="R18" s="254" t="e">
        <f>VLOOKUP(X5,Sucursales!$E$4:$J$5000,6,FALSE)</f>
        <v>#N/A</v>
      </c>
      <c r="S18" s="254"/>
      <c r="T18" s="255"/>
      <c r="U18" s="61"/>
      <c r="W18" s="108"/>
      <c r="X18" s="109" t="str">
        <f>IFERROR(VLOOKUP(Tabla24[[#This Row],[CODIGO]],Lince!$A$2:$E10006,3,FALSE),"")</f>
        <v/>
      </c>
      <c r="Y18" s="115"/>
      <c r="Z18" s="116"/>
      <c r="AA18" s="119"/>
    </row>
    <row r="19" spans="1:27" ht="14.1" customHeight="1" x14ac:dyDescent="0.2">
      <c r="A19" s="217"/>
      <c r="B19" s="252" t="s">
        <v>1283</v>
      </c>
      <c r="C19" s="253"/>
      <c r="D19" s="253"/>
      <c r="E19" s="243"/>
      <c r="F19" s="243"/>
      <c r="G19" s="243"/>
      <c r="H19" s="243"/>
      <c r="I19" s="243"/>
      <c r="J19" s="243"/>
      <c r="K19" s="243"/>
      <c r="L19" s="243"/>
      <c r="M19" s="40"/>
      <c r="N19" s="256"/>
      <c r="O19" s="256"/>
      <c r="P19" s="256"/>
      <c r="Q19" s="256"/>
      <c r="R19" s="254"/>
      <c r="S19" s="254"/>
      <c r="T19" s="255"/>
      <c r="U19" s="61"/>
      <c r="W19" s="108"/>
      <c r="X19" s="109" t="str">
        <f>IFERROR(VLOOKUP(Tabla24[[#This Row],[CODIGO]],Lince!$A$2:$E10007,3,FALSE),"")</f>
        <v/>
      </c>
      <c r="Y19" s="115"/>
      <c r="Z19" s="116"/>
      <c r="AA19" s="119"/>
    </row>
    <row r="20" spans="1:27" ht="14.1" customHeight="1" x14ac:dyDescent="0.2">
      <c r="A20" s="217"/>
      <c r="B20" s="247" t="e">
        <f>VLOOKUP(R18,Sucursales!A:G,6,FALSE)</f>
        <v>#N/A</v>
      </c>
      <c r="C20" s="248"/>
      <c r="D20" s="248"/>
      <c r="E20" s="248"/>
      <c r="G20" s="249" t="e">
        <f>VLOOKUP(R18,Sucursales!A:H,7,FALSE)</f>
        <v>#N/A</v>
      </c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50"/>
      <c r="U20" s="61"/>
      <c r="W20" s="108"/>
      <c r="X20" s="109" t="str">
        <f>IFERROR(VLOOKUP(Tabla24[[#This Row],[CODIGO]],Lince!$A$2:$E10008,3,FALSE),"")</f>
        <v/>
      </c>
      <c r="Y20" s="115"/>
      <c r="Z20" s="116"/>
      <c r="AA20" s="119"/>
    </row>
    <row r="21" spans="1:27" ht="14.1" customHeight="1" x14ac:dyDescent="0.2">
      <c r="A21" s="217"/>
      <c r="B21" s="242" t="e">
        <f>VLOOKUP(R18,Sucursales!A:H,8,FALSE)</f>
        <v>#N/A</v>
      </c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09" t="str">
        <f>IFERROR(VLOOKUP(Tabla24[[#This Row],[CODIGO]],Lince!$A$2:$E10009,3,FALSE),"")</f>
        <v/>
      </c>
      <c r="Y21" s="115"/>
      <c r="Z21" s="116"/>
      <c r="AA21" s="119"/>
    </row>
    <row r="22" spans="1:27" ht="14.1" customHeight="1" x14ac:dyDescent="0.2">
      <c r="A22" s="217"/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6" t="s">
        <v>13599</v>
      </c>
      <c r="N22" s="246"/>
      <c r="O22" s="246"/>
      <c r="P22" s="246"/>
      <c r="Q22" s="223" t="str">
        <f>IF(X7="", "Falta teléfono",X7)</f>
        <v>Falta teléfono</v>
      </c>
      <c r="R22" s="224"/>
      <c r="S22" s="224"/>
      <c r="T22" s="225"/>
      <c r="U22" s="61"/>
      <c r="W22" s="108"/>
      <c r="X22" s="109" t="str">
        <f>IFERROR(VLOOKUP(Tabla24[[#This Row],[CODIGO]],Lince!$A$2:$E10010,3,FALSE),"")</f>
        <v/>
      </c>
      <c r="Y22" s="115"/>
      <c r="Z22" s="116"/>
      <c r="AA22" s="119"/>
    </row>
    <row r="23" spans="1:27" ht="14.1" customHeight="1" thickBot="1" x14ac:dyDescent="0.25">
      <c r="A23" s="218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09" t="str">
        <f>IFERROR(VLOOKUP(Tabla24[[#This Row],[CODIGO]],Lince!$A$2:$E10011,3,FALSE),"")</f>
        <v/>
      </c>
      <c r="Y23" s="115"/>
      <c r="Z23" s="116"/>
      <c r="AA23" s="119"/>
    </row>
    <row r="24" spans="1:27" ht="14.1" customHeight="1" x14ac:dyDescent="0.2">
      <c r="W24" s="108"/>
      <c r="X24" s="109" t="str">
        <f>IFERROR(VLOOKUP(Tabla24[[#This Row],[CODIGO]],Lince!$A$2:$E10012,3,FALSE),"")</f>
        <v/>
      </c>
      <c r="Y24" s="115"/>
      <c r="Z24" s="116"/>
      <c r="AA24" s="119"/>
    </row>
    <row r="25" spans="1:27" ht="14.1" customHeight="1" x14ac:dyDescent="0.2">
      <c r="W25" s="108"/>
      <c r="X25" s="109" t="str">
        <f>IFERROR(VLOOKUP(Tabla24[[#This Row],[CODIGO]],Lince!$A$2:$E10013,3,FALSE),"")</f>
        <v/>
      </c>
      <c r="Y25" s="115"/>
      <c r="Z25" s="116"/>
      <c r="AA25" s="119"/>
    </row>
    <row r="26" spans="1:27" ht="14.1" customHeight="1" x14ac:dyDescent="0.2">
      <c r="W26" s="108"/>
      <c r="X26" s="109" t="str">
        <f>IFERROR(VLOOKUP(Tabla24[[#This Row],[CODIGO]],Lince!$A$2:$E10014,3,FALSE),"")</f>
        <v/>
      </c>
      <c r="Y26" s="115"/>
      <c r="Z26" s="116"/>
      <c r="AA26" s="119"/>
    </row>
    <row r="27" spans="1:27" ht="14.1" customHeight="1" x14ac:dyDescent="0.2">
      <c r="W27" s="108"/>
      <c r="X27" s="109" t="str">
        <f>IFERROR(VLOOKUP(Tabla24[[#This Row],[CODIGO]],Lince!$A$2:$E10015,3,FALSE),"")</f>
        <v/>
      </c>
      <c r="Y27" s="115"/>
      <c r="Z27" s="116"/>
      <c r="AA27" s="119"/>
    </row>
    <row r="28" spans="1:27" ht="14.1" customHeight="1" x14ac:dyDescent="0.2">
      <c r="W28" s="108"/>
      <c r="X28" s="109" t="str">
        <f>IFERROR(VLOOKUP(Tabla24[[#This Row],[CODIGO]],Lince!$A$2:$E10016,3,FALSE),"")</f>
        <v/>
      </c>
      <c r="Y28" s="115"/>
      <c r="Z28" s="116"/>
      <c r="AA28" s="119"/>
    </row>
    <row r="29" spans="1:27" ht="14.1" customHeight="1" x14ac:dyDescent="0.2">
      <c r="W29" s="110"/>
      <c r="X29" s="109" t="str">
        <f>IFERROR(VLOOKUP(Tabla24[[#This Row],[CODIGO]],Lince!$A$2:$E10017,3,FALSE),"")</f>
        <v/>
      </c>
      <c r="Y29" s="117"/>
      <c r="Z29" s="118"/>
      <c r="AA29" s="120"/>
    </row>
    <row r="30" spans="1:27" ht="14.1" customHeight="1" x14ac:dyDescent="0.2">
      <c r="W30" s="108"/>
      <c r="X30" s="109" t="str">
        <f>IFERROR(VLOOKUP(Tabla24[[#This Row],[CODIGO]],Lince!$A$2:$E10018,3,FALSE),"")</f>
        <v/>
      </c>
      <c r="Y30" s="115"/>
      <c r="Z30" s="116"/>
      <c r="AA30" s="119"/>
    </row>
    <row r="31" spans="1:27" ht="14.1" customHeight="1" x14ac:dyDescent="0.2">
      <c r="W31" s="110"/>
      <c r="X31" s="109" t="str">
        <f>IFERROR(VLOOKUP(Tabla24[[#This Row],[CODIGO]],Lince!$A$2:$E10019,3,FALSE),"")</f>
        <v/>
      </c>
      <c r="Y31" s="117"/>
      <c r="Z31" s="118"/>
      <c r="AA31" s="120"/>
    </row>
    <row r="32" spans="1:27" ht="14.1" customHeight="1" x14ac:dyDescent="0.2">
      <c r="W32" s="110"/>
      <c r="X32" s="111" t="str">
        <f>IFERROR(VLOOKUP(Tabla24[[#This Row],[CODIGO]],Lince!$A$2:$E10020,3,FALSE),"")</f>
        <v/>
      </c>
      <c r="Y32" s="115"/>
      <c r="Z32" s="116"/>
      <c r="AA32" s="120"/>
    </row>
    <row r="33" spans="23:27" ht="14.1" customHeight="1" x14ac:dyDescent="0.2">
      <c r="W33" s="121" t="s">
        <v>13581</v>
      </c>
      <c r="X33" s="112"/>
      <c r="Y33" s="112"/>
      <c r="Z33" s="112"/>
      <c r="AA33" s="113">
        <f>SUBTOTAL(109,Tabla24[CANT])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>
          <x14:formula1>
            <xm:f>Sucursales!$F$4:$F$1575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R18" sqref="R18:T19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4"/>
      <c r="AA1" s="155"/>
    </row>
    <row r="2" spans="1:27" ht="14.1" customHeight="1" x14ac:dyDescent="0.2">
      <c r="A2" s="189" t="s">
        <v>2474</v>
      </c>
      <c r="B2" s="260" t="str">
        <f>+Datos!B4</f>
        <v>RERDA S.A.</v>
      </c>
      <c r="C2" s="261"/>
      <c r="D2" s="261"/>
      <c r="E2" s="261"/>
      <c r="F2" s="261"/>
      <c r="G2" s="262" t="s">
        <v>13600</v>
      </c>
      <c r="H2" s="262"/>
      <c r="I2" s="262"/>
      <c r="J2" s="262"/>
      <c r="K2" s="262"/>
      <c r="L2" s="262"/>
      <c r="M2" s="262"/>
      <c r="N2" s="262"/>
      <c r="O2" s="263"/>
      <c r="P2" s="194"/>
      <c r="Q2" s="195"/>
      <c r="R2" s="195"/>
      <c r="S2" s="195"/>
      <c r="T2" s="195"/>
      <c r="U2" s="196"/>
      <c r="W2" s="104" t="s">
        <v>13591</v>
      </c>
      <c r="X2" s="159"/>
      <c r="Y2" s="159"/>
      <c r="Z2" s="159"/>
      <c r="AA2" s="159"/>
    </row>
    <row r="3" spans="1:27" ht="14.1" customHeight="1" x14ac:dyDescent="0.2">
      <c r="A3" s="190"/>
      <c r="B3" s="203" t="str">
        <f>+Datos!B6</f>
        <v>San Martín</v>
      </c>
      <c r="C3" s="204"/>
      <c r="D3" s="204"/>
      <c r="E3" s="204"/>
      <c r="F3" s="204"/>
      <c r="G3" s="204">
        <f>+Datos!B7</f>
        <v>1665</v>
      </c>
      <c r="H3" s="204"/>
      <c r="I3" s="204"/>
      <c r="J3" s="31"/>
      <c r="L3" s="33"/>
      <c r="M3" s="205" t="str">
        <f>+Datos!B8</f>
        <v>Mendoza</v>
      </c>
      <c r="N3" s="205"/>
      <c r="O3" s="206"/>
      <c r="P3" s="197"/>
      <c r="Q3" s="198"/>
      <c r="R3" s="198"/>
      <c r="S3" s="198"/>
      <c r="T3" s="198"/>
      <c r="U3" s="199"/>
      <c r="W3" s="104" t="s">
        <v>13586</v>
      </c>
      <c r="X3" s="160"/>
      <c r="Y3" s="160"/>
      <c r="Z3" s="160"/>
      <c r="AA3" s="160"/>
    </row>
    <row r="4" spans="1:27" ht="14.1" customHeight="1" x14ac:dyDescent="0.2">
      <c r="A4" s="190"/>
      <c r="B4" s="207" t="str">
        <f>+Datos!B9</f>
        <v>Mendoza</v>
      </c>
      <c r="C4" s="205"/>
      <c r="D4" s="205"/>
      <c r="E4" s="205"/>
      <c r="F4" s="205"/>
      <c r="G4" s="205">
        <f>+Datos!B10</f>
        <v>5500</v>
      </c>
      <c r="H4" s="205"/>
      <c r="I4" s="205"/>
      <c r="J4" s="31"/>
      <c r="K4" s="31"/>
      <c r="L4" s="31"/>
      <c r="M4" s="31"/>
      <c r="N4" s="31"/>
      <c r="O4" s="32"/>
      <c r="P4" s="197"/>
      <c r="Q4" s="198"/>
      <c r="R4" s="198"/>
      <c r="S4" s="198"/>
      <c r="T4" s="198"/>
      <c r="U4" s="199"/>
      <c r="W4" s="105"/>
      <c r="X4" s="161"/>
      <c r="Y4" s="161"/>
      <c r="Z4" s="161"/>
      <c r="AA4" s="161"/>
    </row>
    <row r="5" spans="1:27" ht="14.1" customHeight="1" x14ac:dyDescent="0.2">
      <c r="A5" s="190"/>
      <c r="B5" s="208" t="str">
        <f>+Datos!B11</f>
        <v>ventas@rerda.com</v>
      </c>
      <c r="C5" s="209"/>
      <c r="D5" s="209"/>
      <c r="E5" s="209"/>
      <c r="F5" s="209"/>
      <c r="G5" s="209"/>
      <c r="H5" s="209"/>
      <c r="I5" s="34"/>
      <c r="J5" s="34"/>
      <c r="K5" s="36" t="s">
        <v>13582</v>
      </c>
      <c r="L5" s="210">
        <f>+Datos!B5</f>
        <v>30535195869</v>
      </c>
      <c r="M5" s="210"/>
      <c r="N5" s="210"/>
      <c r="O5" s="211"/>
      <c r="P5" s="197"/>
      <c r="Q5" s="198"/>
      <c r="R5" s="198"/>
      <c r="S5" s="198"/>
      <c r="T5" s="198"/>
      <c r="U5" s="199"/>
      <c r="W5" s="104" t="s">
        <v>13585</v>
      </c>
      <c r="X5" s="162"/>
      <c r="Y5" s="162"/>
      <c r="Z5" s="162"/>
      <c r="AA5" s="162"/>
    </row>
    <row r="6" spans="1:27" ht="14.1" customHeight="1" x14ac:dyDescent="0.2">
      <c r="A6" s="191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35"/>
      <c r="J6" s="35"/>
      <c r="K6" s="37" t="s">
        <v>13583</v>
      </c>
      <c r="L6" s="214">
        <f>+Datos!B3</f>
        <v>20355</v>
      </c>
      <c r="M6" s="214"/>
      <c r="N6" s="214"/>
      <c r="O6" s="215"/>
      <c r="P6" s="200"/>
      <c r="Q6" s="201"/>
      <c r="R6" s="201"/>
      <c r="S6" s="201"/>
      <c r="T6" s="201"/>
      <c r="U6" s="202"/>
      <c r="W6" s="104" t="s">
        <v>13595</v>
      </c>
      <c r="X6" s="162"/>
      <c r="Y6" s="162"/>
      <c r="Z6" s="162"/>
      <c r="AA6" s="162"/>
    </row>
    <row r="7" spans="1:27" ht="14.1" customHeight="1" x14ac:dyDescent="0.2">
      <c r="A7" s="28"/>
      <c r="B7" s="226" t="s">
        <v>13597</v>
      </c>
      <c r="C7" s="226"/>
      <c r="D7" s="226" t="str">
        <f>IF(X1="", "¿Y EL NOMBRE DE VIAJANTE, SUCURSAL O VENDEDOR?",X1)</f>
        <v>¿Y EL NOMBRE DE VIAJANTE, SUCURSAL O VENDEDOR?</v>
      </c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9"/>
      <c r="W7" s="104" t="s">
        <v>13587</v>
      </c>
      <c r="X7" s="162"/>
      <c r="Y7" s="162"/>
      <c r="Z7" s="162"/>
      <c r="AA7" s="162"/>
    </row>
    <row r="8" spans="1:27" ht="14.1" customHeight="1" x14ac:dyDescent="0.2">
      <c r="A8" s="264" t="s">
        <v>2477</v>
      </c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6"/>
      <c r="W8" s="104" t="s">
        <v>13589</v>
      </c>
      <c r="X8" s="159"/>
      <c r="Y8" s="159"/>
      <c r="Z8" s="159"/>
      <c r="AA8" s="159"/>
    </row>
    <row r="9" spans="1:27" ht="14.1" customHeight="1" x14ac:dyDescent="0.2">
      <c r="A9" s="267"/>
      <c r="B9" s="268"/>
      <c r="C9" s="268"/>
      <c r="D9" s="268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9"/>
      <c r="W9" s="104" t="s">
        <v>13588</v>
      </c>
      <c r="X9" s="251"/>
      <c r="Y9" s="251"/>
      <c r="Z9" s="251"/>
      <c r="AA9" s="251"/>
    </row>
    <row r="10" spans="1:27" ht="14.1" customHeight="1" x14ac:dyDescent="0.2">
      <c r="A10" s="270"/>
      <c r="B10" s="271"/>
      <c r="C10" s="271"/>
      <c r="D10" s="271"/>
      <c r="E10" s="271"/>
      <c r="F10" s="271"/>
      <c r="G10" s="271"/>
      <c r="H10" s="271"/>
      <c r="I10" s="271"/>
      <c r="J10" s="271"/>
      <c r="K10" s="271"/>
      <c r="L10" s="271"/>
      <c r="M10" s="271"/>
      <c r="N10" s="271"/>
      <c r="O10" s="271"/>
      <c r="P10" s="271"/>
      <c r="Q10" s="271"/>
      <c r="R10" s="271"/>
      <c r="S10" s="271"/>
      <c r="T10" s="271"/>
      <c r="U10" s="272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4" t="s">
        <v>13592</v>
      </c>
    </row>
    <row r="12" spans="1:27" ht="14.1" customHeight="1" x14ac:dyDescent="0.2">
      <c r="A12" s="65"/>
      <c r="B12" s="278" t="s">
        <v>2478</v>
      </c>
      <c r="C12" s="278"/>
      <c r="D12" s="278"/>
      <c r="E12" s="278"/>
      <c r="F12" s="278"/>
      <c r="G12" s="278"/>
      <c r="H12" s="278"/>
      <c r="I12" s="278"/>
      <c r="J12" s="278"/>
      <c r="K12" s="278"/>
      <c r="L12" s="278"/>
      <c r="M12" s="279"/>
      <c r="N12" s="67"/>
      <c r="O12" s="257" t="s">
        <v>13598</v>
      </c>
      <c r="P12" s="257"/>
      <c r="Q12" s="257"/>
      <c r="R12" s="257"/>
      <c r="S12" s="257"/>
      <c r="T12" s="257"/>
      <c r="U12" s="58"/>
      <c r="W12" s="108"/>
      <c r="X12" s="109" t="str">
        <f>IFERROR(VLOOKUP(Tabla245[[#This Row],[CODIGO]],Lince!$A$2:$E10000,3,FALSE),"")</f>
        <v/>
      </c>
      <c r="Y12" s="115"/>
      <c r="Z12" s="116"/>
      <c r="AA12" s="119"/>
    </row>
    <row r="13" spans="1:27" ht="14.1" customHeight="1" x14ac:dyDescent="0.2">
      <c r="A13" s="66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1"/>
      <c r="N13" s="67"/>
      <c r="O13" s="257"/>
      <c r="P13" s="257"/>
      <c r="Q13" s="257"/>
      <c r="R13" s="257"/>
      <c r="S13" s="257"/>
      <c r="T13" s="257"/>
      <c r="U13" s="58"/>
      <c r="W13" s="108"/>
      <c r="X13" s="109" t="str">
        <f>IFERROR(VLOOKUP(Tabla245[[#This Row],[CODIGO]],Lince!$A$2:$E10001,3,FALSE),"")</f>
        <v/>
      </c>
      <c r="Y13" s="115"/>
      <c r="Z13" s="116"/>
      <c r="AA13" s="119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09" t="str">
        <f>IFERROR(VLOOKUP(Tabla245[[#This Row],[CODIGO]],Lince!$A$2:$E10002,3,FALSE),"")</f>
        <v/>
      </c>
      <c r="Y14" s="115"/>
      <c r="Z14" s="116"/>
      <c r="AA14" s="119"/>
    </row>
    <row r="15" spans="1:27" ht="14.1" customHeight="1" x14ac:dyDescent="0.2">
      <c r="A15" s="273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09" t="str">
        <f>IFERROR(VLOOKUP(Tabla245[[#This Row],[CODIGO]],Lince!$A$2:$E10003,3,FALSE),"")</f>
        <v/>
      </c>
      <c r="Y15" s="115"/>
      <c r="Z15" s="116"/>
      <c r="AA15" s="119"/>
    </row>
    <row r="16" spans="1:27" ht="14.1" customHeight="1" x14ac:dyDescent="0.2">
      <c r="A16" s="274"/>
      <c r="B16" s="227" t="str">
        <f>IF(X2="", "Falta Apellido, nombre o razón social del cliente",X2)</f>
        <v>Falta Apellido, nombre o razón social del cliente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19" t="s">
        <v>13596</v>
      </c>
      <c r="O16" s="219"/>
      <c r="P16" s="219"/>
      <c r="Q16" s="220" t="str">
        <f>IF(X6="", "¿Y el DNI o CUIL/CUIT?",X6)</f>
        <v>¿Y el DNI o CUIL/CUIT?</v>
      </c>
      <c r="R16" s="221"/>
      <c r="S16" s="221"/>
      <c r="T16" s="222"/>
      <c r="U16" s="70"/>
      <c r="W16" s="108"/>
      <c r="X16" s="109" t="str">
        <f>IFERROR(VLOOKUP(Tabla245[[#This Row],[CODIGO]],Lince!$A$2:$E10004,3,FALSE),"")</f>
        <v/>
      </c>
      <c r="Y16" s="115"/>
      <c r="Z16" s="116"/>
      <c r="AA16" s="119"/>
    </row>
    <row r="17" spans="1:27" ht="14.1" customHeight="1" x14ac:dyDescent="0.2">
      <c r="A17" s="274"/>
      <c r="B17" s="229"/>
      <c r="C17" s="230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41"/>
      <c r="O17" s="42"/>
      <c r="P17" s="42"/>
      <c r="Q17" s="42"/>
      <c r="R17" s="42"/>
      <c r="S17" s="42"/>
      <c r="T17" s="64"/>
      <c r="U17" s="70"/>
      <c r="W17" s="108"/>
      <c r="X17" s="109" t="str">
        <f>IFERROR(VLOOKUP(Tabla245[[#This Row],[CODIGO]],Lince!$A$2:$E10005,3,FALSE),"")</f>
        <v/>
      </c>
      <c r="Y17" s="115"/>
      <c r="Z17" s="116"/>
      <c r="AA17" s="119"/>
    </row>
    <row r="18" spans="1:27" ht="14.1" customHeight="1" x14ac:dyDescent="0.2">
      <c r="A18" s="274"/>
      <c r="B18" s="242" t="s">
        <v>2554</v>
      </c>
      <c r="C18" s="243"/>
      <c r="D18" s="243"/>
      <c r="E18" s="243" t="str">
        <f>VLOOKUP(R18,Sucursales!A:B,2,FALSE)</f>
        <v>AEROPUERTO EZEIZA</v>
      </c>
      <c r="F18" s="243"/>
      <c r="G18" s="243"/>
      <c r="H18" s="243"/>
      <c r="I18" s="243"/>
      <c r="J18" s="243"/>
      <c r="K18" s="243"/>
      <c r="L18" s="243"/>
      <c r="M18" s="41"/>
      <c r="N18" s="256" t="s">
        <v>2489</v>
      </c>
      <c r="O18" s="256"/>
      <c r="P18" s="256"/>
      <c r="Q18" s="256"/>
      <c r="R18" s="276" t="str">
        <f>VLOOKUP(X5,Sucursales!$E$4:$J$5000,6,FALSE)</f>
        <v>B0061</v>
      </c>
      <c r="S18" s="276"/>
      <c r="T18" s="277"/>
      <c r="U18" s="70"/>
      <c r="W18" s="108"/>
      <c r="X18" s="109" t="str">
        <f>IFERROR(VLOOKUP(Tabla245[[#This Row],[CODIGO]],Lince!$A$2:$E10006,3,FALSE),"")</f>
        <v/>
      </c>
      <c r="Y18" s="115"/>
      <c r="Z18" s="116"/>
      <c r="AA18" s="119"/>
    </row>
    <row r="19" spans="1:27" ht="14.1" customHeight="1" x14ac:dyDescent="0.2">
      <c r="A19" s="274"/>
      <c r="B19" s="242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40"/>
      <c r="N19" s="256"/>
      <c r="O19" s="256"/>
      <c r="P19" s="256"/>
      <c r="Q19" s="256"/>
      <c r="R19" s="276"/>
      <c r="S19" s="276"/>
      <c r="T19" s="277"/>
      <c r="U19" s="70"/>
      <c r="W19" s="108"/>
      <c r="X19" s="109" t="str">
        <f>IFERROR(VLOOKUP(Tabla245[[#This Row],[CODIGO]],Lince!$A$2:$E10007,3,FALSE),"")</f>
        <v/>
      </c>
      <c r="Y19" s="115"/>
      <c r="Z19" s="116"/>
      <c r="AA19" s="119"/>
    </row>
    <row r="20" spans="1:27" ht="14.1" customHeight="1" x14ac:dyDescent="0.2">
      <c r="A20" s="274"/>
      <c r="B20" s="247" t="str">
        <f>VLOOKUP(R18,Sucursales!A:G,6,FALSE)</f>
        <v>B1802ZAA</v>
      </c>
      <c r="C20" s="248"/>
      <c r="D20" s="248"/>
      <c r="E20" s="248"/>
      <c r="G20" s="249" t="str">
        <f>VLOOKUP(R18,Sucursales!A:H,7,FALSE)</f>
        <v>AEROPUERTO EZEIZA</v>
      </c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50"/>
      <c r="U20" s="70"/>
      <c r="W20" s="108"/>
      <c r="X20" s="109" t="str">
        <f>IFERROR(VLOOKUP(Tabla245[[#This Row],[CODIGO]],Lince!$A$2:$E10008,3,FALSE),"")</f>
        <v/>
      </c>
      <c r="Y20" s="115"/>
      <c r="Z20" s="116"/>
      <c r="AA20" s="119"/>
    </row>
    <row r="21" spans="1:27" ht="14.1" customHeight="1" x14ac:dyDescent="0.2">
      <c r="A21" s="274"/>
      <c r="B21" s="242" t="str">
        <f>VLOOKUP(R18,Sucursales!A:H,8,FALSE)</f>
        <v>BUENOS AIRES</v>
      </c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09" t="str">
        <f>IFERROR(VLOOKUP(Tabla245[[#This Row],[CODIGO]],Lince!$A$2:$E10009,3,FALSE),"")</f>
        <v/>
      </c>
      <c r="Y21" s="115"/>
      <c r="Z21" s="116"/>
      <c r="AA21" s="119"/>
    </row>
    <row r="22" spans="1:27" ht="14.1" customHeight="1" x14ac:dyDescent="0.2">
      <c r="A22" s="274"/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6" t="s">
        <v>13599</v>
      </c>
      <c r="N22" s="246"/>
      <c r="O22" s="246"/>
      <c r="P22" s="246"/>
      <c r="Q22" s="223" t="str">
        <f>IF(X7="", "Falta teléfono",X7)</f>
        <v>Falta teléfono</v>
      </c>
      <c r="R22" s="224"/>
      <c r="S22" s="224"/>
      <c r="T22" s="225"/>
      <c r="U22" s="70"/>
      <c r="W22" s="108"/>
      <c r="X22" s="109" t="str">
        <f>IFERROR(VLOOKUP(Tabla245[[#This Row],[CODIGO]],Lince!$A$2:$E10010,3,FALSE),"")</f>
        <v/>
      </c>
      <c r="Y22" s="115"/>
      <c r="Z22" s="116"/>
      <c r="AA22" s="119"/>
    </row>
    <row r="23" spans="1:27" ht="14.1" customHeight="1" thickBot="1" x14ac:dyDescent="0.25">
      <c r="A23" s="275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09" t="str">
        <f>IFERROR(VLOOKUP(Tabla245[[#This Row],[CODIGO]],Lince!$A$2:$E10011,3,FALSE),"")</f>
        <v/>
      </c>
      <c r="Y23" s="115"/>
      <c r="Z23" s="116"/>
      <c r="AA23" s="119"/>
    </row>
    <row r="24" spans="1:27" ht="14.1" customHeight="1" x14ac:dyDescent="0.2">
      <c r="W24" s="108"/>
      <c r="X24" s="109" t="str">
        <f>IFERROR(VLOOKUP(Tabla245[[#This Row],[CODIGO]],Lince!$A$2:$E10012,3,FALSE),"")</f>
        <v/>
      </c>
      <c r="Y24" s="115"/>
      <c r="Z24" s="116"/>
      <c r="AA24" s="119"/>
    </row>
    <row r="25" spans="1:27" ht="14.1" customHeight="1" x14ac:dyDescent="0.2">
      <c r="W25" s="108"/>
      <c r="X25" s="109" t="str">
        <f>IFERROR(VLOOKUP(Tabla245[[#This Row],[CODIGO]],Lince!$A$2:$E10013,3,FALSE),"")</f>
        <v/>
      </c>
      <c r="Y25" s="115"/>
      <c r="Z25" s="116"/>
      <c r="AA25" s="119"/>
    </row>
    <row r="26" spans="1:27" ht="14.1" customHeight="1" x14ac:dyDescent="0.2">
      <c r="W26" s="108"/>
      <c r="X26" s="109" t="str">
        <f>IFERROR(VLOOKUP(Tabla245[[#This Row],[CODIGO]],Lince!$A$2:$E10014,3,FALSE),"")</f>
        <v/>
      </c>
      <c r="Y26" s="115"/>
      <c r="Z26" s="116"/>
      <c r="AA26" s="119"/>
    </row>
    <row r="27" spans="1:27" ht="14.1" customHeight="1" x14ac:dyDescent="0.2">
      <c r="W27" s="108"/>
      <c r="X27" s="109" t="str">
        <f>IFERROR(VLOOKUP(Tabla245[[#This Row],[CODIGO]],Lince!$A$2:$E10015,3,FALSE),"")</f>
        <v/>
      </c>
      <c r="Y27" s="115"/>
      <c r="Z27" s="116"/>
      <c r="AA27" s="119"/>
    </row>
    <row r="28" spans="1:27" ht="14.1" customHeight="1" x14ac:dyDescent="0.2">
      <c r="W28" s="108"/>
      <c r="X28" s="109" t="str">
        <f>IFERROR(VLOOKUP(Tabla245[[#This Row],[CODIGO]],Lince!$A$2:$E10016,3,FALSE),"")</f>
        <v/>
      </c>
      <c r="Y28" s="115"/>
      <c r="Z28" s="116"/>
      <c r="AA28" s="119"/>
    </row>
    <row r="29" spans="1:27" ht="14.1" customHeight="1" x14ac:dyDescent="0.2">
      <c r="W29" s="110"/>
      <c r="X29" s="109" t="str">
        <f>IFERROR(VLOOKUP(Tabla245[[#This Row],[CODIGO]],Lince!$A$2:$E10017,3,FALSE),"")</f>
        <v/>
      </c>
      <c r="Y29" s="117"/>
      <c r="Z29" s="118"/>
      <c r="AA29" s="120"/>
    </row>
    <row r="30" spans="1:27" ht="14.1" customHeight="1" x14ac:dyDescent="0.2">
      <c r="W30" s="108"/>
      <c r="X30" s="109" t="str">
        <f>IFERROR(VLOOKUP(Tabla245[[#This Row],[CODIGO]],Lince!$A$2:$E10018,3,FALSE),"")</f>
        <v/>
      </c>
      <c r="Y30" s="115"/>
      <c r="Z30" s="116"/>
      <c r="AA30" s="119"/>
    </row>
    <row r="31" spans="1:27" ht="14.1" customHeight="1" x14ac:dyDescent="0.2">
      <c r="W31" s="110"/>
      <c r="X31" s="109" t="str">
        <f>IFERROR(VLOOKUP(Tabla245[[#This Row],[CODIGO]],Lince!$A$2:$E10019,3,FALSE),"")</f>
        <v/>
      </c>
      <c r="Y31" s="117"/>
      <c r="Z31" s="118"/>
      <c r="AA31" s="120"/>
    </row>
    <row r="32" spans="1:27" ht="14.1" customHeight="1" x14ac:dyDescent="0.2">
      <c r="W32" s="110"/>
      <c r="X32" s="111" t="str">
        <f>IFERROR(VLOOKUP(Tabla245[[#This Row],[CODIGO]],Lince!$A$2:$E10020,3,FALSE),"")</f>
        <v/>
      </c>
      <c r="Y32" s="115"/>
      <c r="Z32" s="116"/>
      <c r="AA32" s="120"/>
    </row>
    <row r="33" spans="23:27" ht="14.1" customHeight="1" x14ac:dyDescent="0.2">
      <c r="W33" s="112" t="s">
        <v>13581</v>
      </c>
      <c r="X33" s="112"/>
      <c r="Y33" s="112"/>
      <c r="Z33" s="112"/>
      <c r="AA33" s="113">
        <f>SUBTOTAL(109,Tabla245[CANT])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B2824"/>
  <sheetViews>
    <sheetView zoomScaleNormal="100" workbookViewId="0">
      <pane ySplit="3" topLeftCell="A26" activePane="bottomLeft" state="frozen"/>
      <selection pane="bottomLeft" activeCell="A38" sqref="A38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12.28515625" style="13" customWidth="1"/>
    <col min="11" max="11" width="3.140625" style="1" bestFit="1" customWidth="1"/>
    <col min="12" max="16384" width="29.42578125" style="1"/>
  </cols>
  <sheetData>
    <row r="1" spans="1:11" ht="18.75" x14ac:dyDescent="0.3">
      <c r="A1" s="15" t="s">
        <v>2488</v>
      </c>
      <c r="J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2541</v>
      </c>
      <c r="G3" s="5" t="s">
        <v>2494</v>
      </c>
      <c r="H3" s="6" t="s">
        <v>2495</v>
      </c>
      <c r="I3" s="5" t="s">
        <v>14111</v>
      </c>
      <c r="J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14120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4" t="s">
        <v>1931</v>
      </c>
      <c r="K4" s="10"/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14121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4" t="s">
        <v>4268</v>
      </c>
      <c r="K5" s="10"/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14122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4" t="s">
        <v>4271</v>
      </c>
      <c r="K6" s="10"/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14123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4" t="s">
        <v>4274</v>
      </c>
      <c r="K7" s="10"/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4" t="s">
        <v>4278</v>
      </c>
      <c r="K8" s="10"/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4" t="s">
        <v>4281</v>
      </c>
      <c r="K9" s="10"/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4" t="s">
        <v>4284</v>
      </c>
      <c r="K10" s="10"/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14124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14125</v>
      </c>
      <c r="J11" s="14" t="s">
        <v>4206</v>
      </c>
      <c r="K11" s="10"/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14126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4" t="s">
        <v>4209</v>
      </c>
      <c r="K12" s="10"/>
    </row>
    <row r="13" spans="1:11" x14ac:dyDescent="0.25">
      <c r="A13" s="14" t="s">
        <v>14127</v>
      </c>
      <c r="B13" s="8" t="s">
        <v>14128</v>
      </c>
      <c r="C13" s="7" t="s">
        <v>2501</v>
      </c>
      <c r="D13" s="9" t="s">
        <v>14129</v>
      </c>
      <c r="E13" s="7">
        <v>2647</v>
      </c>
      <c r="F13" s="14" t="s">
        <v>14130</v>
      </c>
      <c r="G13" s="7" t="s">
        <v>1952</v>
      </c>
      <c r="H13" s="7" t="s">
        <v>2481</v>
      </c>
      <c r="I13" s="8" t="s">
        <v>1942</v>
      </c>
      <c r="J13" s="14" t="s">
        <v>14127</v>
      </c>
      <c r="K13" s="10"/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14123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4" t="s">
        <v>4212</v>
      </c>
      <c r="K14" s="10"/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4" t="s">
        <v>4216</v>
      </c>
      <c r="K15" s="10"/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14131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4" t="s">
        <v>4220</v>
      </c>
      <c r="K16" s="10"/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14132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4" t="s">
        <v>4223</v>
      </c>
      <c r="K17" s="10"/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14133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4" t="s">
        <v>4224</v>
      </c>
      <c r="K18" s="10"/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4" t="s">
        <v>4227</v>
      </c>
      <c r="K19" s="10"/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14134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4" t="s">
        <v>4231</v>
      </c>
      <c r="K20" s="10"/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14134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4" t="s">
        <v>4235</v>
      </c>
      <c r="K21" s="10"/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14135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4" t="s">
        <v>2044</v>
      </c>
      <c r="K22" s="10"/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4" t="s">
        <v>3631</v>
      </c>
      <c r="K23" s="10"/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4" t="s">
        <v>1941</v>
      </c>
      <c r="K24" s="10"/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14136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4" t="s">
        <v>1945</v>
      </c>
      <c r="K25" s="10"/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14137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4" t="s">
        <v>1948</v>
      </c>
      <c r="K26" s="10"/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14138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4" t="s">
        <v>1951</v>
      </c>
      <c r="K27" s="10"/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14139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4" t="s">
        <v>1954</v>
      </c>
      <c r="K28" s="10"/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14140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4" t="s">
        <v>1957</v>
      </c>
      <c r="K29" s="10"/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14141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4" t="s">
        <v>1961</v>
      </c>
      <c r="K30" s="10"/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14142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4" t="s">
        <v>1964</v>
      </c>
      <c r="K31" s="10"/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14143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4" t="s">
        <v>1967</v>
      </c>
      <c r="K32" s="10"/>
    </row>
    <row r="33" spans="1:28" x14ac:dyDescent="0.25">
      <c r="A33" s="14" t="s">
        <v>1970</v>
      </c>
      <c r="B33" s="8" t="s">
        <v>1971</v>
      </c>
      <c r="C33" s="7" t="s">
        <v>2501</v>
      </c>
      <c r="D33" s="9" t="s">
        <v>14144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4" t="s">
        <v>1970</v>
      </c>
      <c r="K33" s="10"/>
    </row>
    <row r="34" spans="1:28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4" t="s">
        <v>1973</v>
      </c>
      <c r="K34" s="10"/>
    </row>
    <row r="35" spans="1:28" x14ac:dyDescent="0.25">
      <c r="A35" s="14" t="s">
        <v>1977</v>
      </c>
      <c r="B35" s="8" t="s">
        <v>1978</v>
      </c>
      <c r="C35" s="7" t="s">
        <v>2501</v>
      </c>
      <c r="D35" s="9" t="s">
        <v>14145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4" t="s">
        <v>1977</v>
      </c>
      <c r="K35" s="10"/>
    </row>
    <row r="36" spans="1:28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4" t="s">
        <v>1981</v>
      </c>
      <c r="K36" s="10"/>
    </row>
    <row r="37" spans="1:28" s="10" customFormat="1" x14ac:dyDescent="0.25">
      <c r="A37" s="14" t="s">
        <v>1985</v>
      </c>
      <c r="B37" s="8" t="s">
        <v>1986</v>
      </c>
      <c r="C37" s="7" t="s">
        <v>2501</v>
      </c>
      <c r="D37" s="9" t="s">
        <v>14146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4" t="s">
        <v>1985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x14ac:dyDescent="0.25">
      <c r="A38" s="14" t="s">
        <v>14147</v>
      </c>
      <c r="B38" s="8" t="s">
        <v>14148</v>
      </c>
      <c r="C38" s="7" t="s">
        <v>2501</v>
      </c>
      <c r="D38" s="9" t="s">
        <v>14149</v>
      </c>
      <c r="E38" s="7">
        <v>0</v>
      </c>
      <c r="F38" s="14" t="s">
        <v>14150</v>
      </c>
      <c r="G38" s="7" t="s">
        <v>14148</v>
      </c>
      <c r="H38" s="7" t="s">
        <v>2481</v>
      </c>
      <c r="I38" s="8" t="s">
        <v>1304</v>
      </c>
      <c r="J38" s="14" t="s">
        <v>14147</v>
      </c>
      <c r="K38" s="10"/>
    </row>
    <row r="39" spans="1:28" x14ac:dyDescent="0.25">
      <c r="A39" s="14" t="s">
        <v>1989</v>
      </c>
      <c r="B39" s="8" t="s">
        <v>1990</v>
      </c>
      <c r="C39" s="7" t="s">
        <v>2501</v>
      </c>
      <c r="D39" s="9" t="s">
        <v>14151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4" t="s">
        <v>1989</v>
      </c>
      <c r="K39" s="10"/>
    </row>
    <row r="40" spans="1:28" x14ac:dyDescent="0.25">
      <c r="A40" s="14" t="s">
        <v>1993</v>
      </c>
      <c r="B40" s="8" t="s">
        <v>1994</v>
      </c>
      <c r="C40" s="7" t="s">
        <v>2501</v>
      </c>
      <c r="D40" s="9" t="s">
        <v>14152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4" t="s">
        <v>1993</v>
      </c>
      <c r="K40" s="10"/>
    </row>
    <row r="41" spans="1:28" x14ac:dyDescent="0.25">
      <c r="A41" s="14" t="s">
        <v>1996</v>
      </c>
      <c r="B41" s="8" t="s">
        <v>1997</v>
      </c>
      <c r="C41" s="7" t="s">
        <v>2501</v>
      </c>
      <c r="D41" s="9" t="s">
        <v>14153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4" t="s">
        <v>1996</v>
      </c>
      <c r="K41" s="10"/>
    </row>
    <row r="42" spans="1:28" x14ac:dyDescent="0.25">
      <c r="A42" s="14" t="s">
        <v>1999</v>
      </c>
      <c r="B42" s="8" t="s">
        <v>2000</v>
      </c>
      <c r="C42" s="7" t="s">
        <v>2501</v>
      </c>
      <c r="D42" s="9" t="s">
        <v>14154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14155</v>
      </c>
      <c r="J42" s="14" t="s">
        <v>1999</v>
      </c>
      <c r="K42" s="10"/>
    </row>
    <row r="43" spans="1:28" x14ac:dyDescent="0.25">
      <c r="A43" s="14" t="s">
        <v>2002</v>
      </c>
      <c r="B43" s="8" t="s">
        <v>2003</v>
      </c>
      <c r="C43" s="7" t="s">
        <v>2501</v>
      </c>
      <c r="D43" s="9" t="s">
        <v>14156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4" t="s">
        <v>2002</v>
      </c>
      <c r="K43" s="10"/>
    </row>
    <row r="44" spans="1:28" x14ac:dyDescent="0.25">
      <c r="A44" s="14" t="s">
        <v>2005</v>
      </c>
      <c r="B44" s="8" t="s">
        <v>2006</v>
      </c>
      <c r="C44" s="7" t="s">
        <v>2501</v>
      </c>
      <c r="D44" s="9" t="s">
        <v>14157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4" t="s">
        <v>2005</v>
      </c>
      <c r="K44" s="10"/>
    </row>
    <row r="45" spans="1:28" x14ac:dyDescent="0.25">
      <c r="A45" s="14" t="s">
        <v>2008</v>
      </c>
      <c r="B45" s="8" t="s">
        <v>2009</v>
      </c>
      <c r="C45" s="7" t="s">
        <v>2501</v>
      </c>
      <c r="D45" s="9" t="s">
        <v>14158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14155</v>
      </c>
      <c r="J45" s="14" t="s">
        <v>2008</v>
      </c>
      <c r="K45" s="10"/>
    </row>
    <row r="46" spans="1:28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4" t="s">
        <v>2011</v>
      </c>
      <c r="K46" s="10"/>
    </row>
    <row r="47" spans="1:28" x14ac:dyDescent="0.25">
      <c r="A47" s="14" t="s">
        <v>2015</v>
      </c>
      <c r="B47" s="8" t="s">
        <v>2016</v>
      </c>
      <c r="C47" s="7" t="s">
        <v>2501</v>
      </c>
      <c r="D47" s="9" t="s">
        <v>14159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4" t="s">
        <v>2015</v>
      </c>
      <c r="K47" s="10"/>
    </row>
    <row r="48" spans="1:28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14155</v>
      </c>
      <c r="J48" s="14" t="s">
        <v>2019</v>
      </c>
      <c r="K48" s="10"/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14158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14155</v>
      </c>
      <c r="J49" s="14" t="s">
        <v>2024</v>
      </c>
      <c r="K49" s="10"/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14157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4" t="s">
        <v>2027</v>
      </c>
      <c r="K50" s="10"/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14155</v>
      </c>
      <c r="J51" s="14" t="s">
        <v>2030</v>
      </c>
      <c r="K51" s="10"/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14160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14155</v>
      </c>
      <c r="J52" s="14" t="s">
        <v>2034</v>
      </c>
      <c r="K52" s="10"/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14155</v>
      </c>
      <c r="J53" s="14" t="s">
        <v>2037</v>
      </c>
      <c r="K53" s="10"/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14161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4" t="s">
        <v>2041</v>
      </c>
      <c r="K54" s="10"/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14162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4" t="s">
        <v>1315</v>
      </c>
      <c r="K55" s="10"/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4" t="s">
        <v>1318</v>
      </c>
      <c r="K56" s="10"/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4" t="s">
        <v>1322</v>
      </c>
      <c r="K57" s="10"/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14146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4" t="s">
        <v>1326</v>
      </c>
      <c r="K58" s="10"/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14163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4" t="s">
        <v>1329</v>
      </c>
      <c r="K59" s="10"/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14164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14155</v>
      </c>
      <c r="J60" s="14" t="s">
        <v>1333</v>
      </c>
      <c r="K60" s="10"/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14165</v>
      </c>
      <c r="E61" s="7">
        <v>635</v>
      </c>
      <c r="F61" s="14" t="s">
        <v>1338</v>
      </c>
      <c r="G61" s="7" t="s">
        <v>14166</v>
      </c>
      <c r="H61" s="7" t="s">
        <v>2481</v>
      </c>
      <c r="I61" s="8" t="s">
        <v>1994</v>
      </c>
      <c r="J61" s="14" t="s">
        <v>1336</v>
      </c>
      <c r="K61" s="10"/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4" t="s">
        <v>1339</v>
      </c>
      <c r="K62" s="10"/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14167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4" t="s">
        <v>1343</v>
      </c>
      <c r="K63" s="10"/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4" t="s">
        <v>3624</v>
      </c>
      <c r="K64" s="10"/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14168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4" t="s">
        <v>3629</v>
      </c>
      <c r="K65" s="10"/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14169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4" t="s">
        <v>1285</v>
      </c>
      <c r="K66" s="10"/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14170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14155</v>
      </c>
      <c r="J67" s="14" t="s">
        <v>1288</v>
      </c>
      <c r="K67" s="10"/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14171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4" t="s">
        <v>1292</v>
      </c>
      <c r="K68" s="10"/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14155</v>
      </c>
      <c r="J69" s="14" t="s">
        <v>1295</v>
      </c>
      <c r="K69" s="10"/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4" t="s">
        <v>1299</v>
      </c>
      <c r="K70" s="10"/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4" t="s">
        <v>1303</v>
      </c>
      <c r="K71" s="10"/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4" t="s">
        <v>1307</v>
      </c>
      <c r="K72" s="10"/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14172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14155</v>
      </c>
      <c r="J73" s="14" t="s">
        <v>1310</v>
      </c>
      <c r="K73" s="10"/>
    </row>
    <row r="74" spans="1:11" x14ac:dyDescent="0.25">
      <c r="A74" s="14" t="s">
        <v>1313</v>
      </c>
      <c r="B74" s="8" t="s">
        <v>14173</v>
      </c>
      <c r="C74" s="7" t="s">
        <v>2501</v>
      </c>
      <c r="D74" s="9" t="s">
        <v>14174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4" t="s">
        <v>1313</v>
      </c>
      <c r="K74" s="10"/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14168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4" t="s">
        <v>1465</v>
      </c>
      <c r="K75" s="10"/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14175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4" t="s">
        <v>1468</v>
      </c>
      <c r="K76" s="10"/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14176</v>
      </c>
      <c r="J77" s="14" t="s">
        <v>1471</v>
      </c>
      <c r="K77" s="10"/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14176</v>
      </c>
      <c r="J78" s="14" t="s">
        <v>1474</v>
      </c>
      <c r="K78" s="10"/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4" t="s">
        <v>1477</v>
      </c>
      <c r="K79" s="10"/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14177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4" t="s">
        <v>3045</v>
      </c>
      <c r="K80" s="10"/>
    </row>
    <row r="81" spans="1:11" x14ac:dyDescent="0.25">
      <c r="A81" s="14" t="s">
        <v>14178</v>
      </c>
      <c r="B81" s="8" t="s">
        <v>14179</v>
      </c>
      <c r="C81" s="7" t="s">
        <v>2501</v>
      </c>
      <c r="D81" s="9" t="s">
        <v>14180</v>
      </c>
      <c r="E81" s="7">
        <v>0</v>
      </c>
      <c r="F81" s="14" t="s">
        <v>14181</v>
      </c>
      <c r="G81" s="7" t="s">
        <v>2038</v>
      </c>
      <c r="H81" s="7" t="s">
        <v>2481</v>
      </c>
      <c r="I81" s="8" t="s">
        <v>14155</v>
      </c>
      <c r="J81" s="14" t="s">
        <v>14178</v>
      </c>
      <c r="K81" s="10"/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14182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4" t="s">
        <v>3796</v>
      </c>
      <c r="K82" s="10"/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14183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14125</v>
      </c>
      <c r="J83" s="14" t="s">
        <v>1483</v>
      </c>
      <c r="K83" s="10"/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14184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4" t="s">
        <v>1486</v>
      </c>
      <c r="K84" s="10"/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14185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14125</v>
      </c>
      <c r="J85" s="14" t="s">
        <v>1489</v>
      </c>
      <c r="K85" s="10"/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14186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14125</v>
      </c>
      <c r="J86" s="14" t="s">
        <v>1493</v>
      </c>
      <c r="K86" s="10"/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14187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4" t="s">
        <v>1497</v>
      </c>
      <c r="K87" s="10"/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14188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4" t="s">
        <v>3839</v>
      </c>
      <c r="K88" s="10"/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14185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4" t="s">
        <v>3842</v>
      </c>
      <c r="K89" s="10"/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14122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4" t="s">
        <v>3845</v>
      </c>
      <c r="K90" s="10"/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14189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4" t="s">
        <v>3848</v>
      </c>
      <c r="K91" s="10"/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14185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14155</v>
      </c>
      <c r="J92" s="14" t="s">
        <v>3851</v>
      </c>
      <c r="K92" s="10"/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14190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14125</v>
      </c>
      <c r="J93" s="14" t="s">
        <v>3854</v>
      </c>
      <c r="K93" s="10"/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4" t="s">
        <v>3857</v>
      </c>
      <c r="K94" s="10"/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14125</v>
      </c>
      <c r="J95" s="14" t="s">
        <v>3860</v>
      </c>
      <c r="K95" s="10"/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14191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4" t="s">
        <v>3864</v>
      </c>
      <c r="K96" s="10"/>
    </row>
    <row r="97" spans="1:28" x14ac:dyDescent="0.25">
      <c r="A97" s="14" t="s">
        <v>3867</v>
      </c>
      <c r="B97" s="8" t="s">
        <v>3868</v>
      </c>
      <c r="C97" s="7" t="s">
        <v>2501</v>
      </c>
      <c r="D97" s="9" t="s">
        <v>14192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4" t="s">
        <v>3867</v>
      </c>
      <c r="K97" s="10"/>
    </row>
    <row r="98" spans="1:28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4" t="s">
        <v>3870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</row>
    <row r="99" spans="1:28" x14ac:dyDescent="0.25">
      <c r="A99" s="14" t="s">
        <v>1563</v>
      </c>
      <c r="B99" s="8" t="s">
        <v>1564</v>
      </c>
      <c r="C99" s="7" t="s">
        <v>2501</v>
      </c>
      <c r="D99" s="9" t="s">
        <v>14193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4" t="s">
        <v>1563</v>
      </c>
      <c r="K99" s="10"/>
    </row>
    <row r="100" spans="1:28" x14ac:dyDescent="0.25">
      <c r="A100" s="14" t="s">
        <v>14194</v>
      </c>
      <c r="B100" s="8" t="s">
        <v>14195</v>
      </c>
      <c r="C100" s="7" t="s">
        <v>2501</v>
      </c>
      <c r="D100" s="9" t="s">
        <v>14196</v>
      </c>
      <c r="E100" s="7">
        <v>915</v>
      </c>
      <c r="F100" s="14" t="s">
        <v>14197</v>
      </c>
      <c r="G100" s="7" t="s">
        <v>1564</v>
      </c>
      <c r="H100" s="7" t="s">
        <v>2481</v>
      </c>
      <c r="I100" s="8" t="s">
        <v>1564</v>
      </c>
      <c r="J100" s="14" t="s">
        <v>14194</v>
      </c>
      <c r="K100" s="10"/>
    </row>
    <row r="101" spans="1:28" x14ac:dyDescent="0.25">
      <c r="A101" s="14" t="s">
        <v>14198</v>
      </c>
      <c r="B101" s="8" t="s">
        <v>14199</v>
      </c>
      <c r="C101" s="7" t="s">
        <v>2501</v>
      </c>
      <c r="D101" s="9" t="s">
        <v>14200</v>
      </c>
      <c r="E101" s="7">
        <v>443</v>
      </c>
      <c r="F101" s="14" t="s">
        <v>14201</v>
      </c>
      <c r="G101" s="7" t="s">
        <v>1564</v>
      </c>
      <c r="H101" s="7" t="s">
        <v>2481</v>
      </c>
      <c r="I101" s="8" t="s">
        <v>1564</v>
      </c>
      <c r="J101" s="14" t="s">
        <v>14198</v>
      </c>
      <c r="K101" s="10"/>
    </row>
    <row r="102" spans="1:28" x14ac:dyDescent="0.25">
      <c r="A102" s="14" t="s">
        <v>1566</v>
      </c>
      <c r="B102" s="8" t="s">
        <v>14202</v>
      </c>
      <c r="C102" s="7" t="s">
        <v>2501</v>
      </c>
      <c r="D102" s="9" t="s">
        <v>14203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4" t="s">
        <v>1566</v>
      </c>
      <c r="K102" s="10"/>
    </row>
    <row r="103" spans="1:28" x14ac:dyDescent="0.25">
      <c r="A103" s="14" t="s">
        <v>1568</v>
      </c>
      <c r="B103" s="8" t="s">
        <v>14204</v>
      </c>
      <c r="C103" s="7" t="s">
        <v>2501</v>
      </c>
      <c r="D103" s="9" t="s">
        <v>14205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4" t="s">
        <v>1568</v>
      </c>
      <c r="K103" s="10"/>
    </row>
    <row r="104" spans="1:28" x14ac:dyDescent="0.25">
      <c r="A104" s="14" t="s">
        <v>1570</v>
      </c>
      <c r="B104" s="8" t="s">
        <v>14206</v>
      </c>
      <c r="C104" s="7" t="s">
        <v>2501</v>
      </c>
      <c r="D104" s="9" t="s">
        <v>14207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4" t="s">
        <v>1570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</row>
    <row r="105" spans="1:28" x14ac:dyDescent="0.25">
      <c r="A105" s="14" t="s">
        <v>1572</v>
      </c>
      <c r="B105" s="8" t="s">
        <v>14208</v>
      </c>
      <c r="C105" s="7" t="s">
        <v>2501</v>
      </c>
      <c r="D105" s="9" t="s">
        <v>14209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4" t="s">
        <v>1572</v>
      </c>
      <c r="K105" s="10"/>
    </row>
    <row r="106" spans="1:28" x14ac:dyDescent="0.25">
      <c r="A106" s="14" t="s">
        <v>1574</v>
      </c>
      <c r="B106" s="8" t="s">
        <v>14210</v>
      </c>
      <c r="C106" s="7" t="s">
        <v>2501</v>
      </c>
      <c r="D106" s="9" t="s">
        <v>14211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4" t="s">
        <v>1574</v>
      </c>
      <c r="K106" s="10"/>
    </row>
    <row r="107" spans="1:28" x14ac:dyDescent="0.25">
      <c r="A107" s="14" t="s">
        <v>1576</v>
      </c>
      <c r="B107" s="8" t="s">
        <v>1577</v>
      </c>
      <c r="C107" s="7" t="s">
        <v>2501</v>
      </c>
      <c r="D107" s="9" t="s">
        <v>14212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4" t="s">
        <v>1576</v>
      </c>
      <c r="K107" s="10"/>
    </row>
    <row r="108" spans="1:28" x14ac:dyDescent="0.25">
      <c r="A108" s="14" t="s">
        <v>1579</v>
      </c>
      <c r="B108" s="8" t="s">
        <v>1580</v>
      </c>
      <c r="C108" s="7" t="s">
        <v>2501</v>
      </c>
      <c r="D108" s="9" t="s">
        <v>14213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4" t="s">
        <v>1579</v>
      </c>
      <c r="K108" s="10"/>
    </row>
    <row r="109" spans="1:28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4" t="s">
        <v>1582</v>
      </c>
      <c r="K109" s="10"/>
    </row>
    <row r="110" spans="1:28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4" t="s">
        <v>1586</v>
      </c>
      <c r="K110" s="10"/>
    </row>
    <row r="111" spans="1:28" x14ac:dyDescent="0.25">
      <c r="A111" s="14" t="s">
        <v>1590</v>
      </c>
      <c r="B111" s="8" t="s">
        <v>14214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14214</v>
      </c>
      <c r="H111" s="7" t="s">
        <v>2481</v>
      </c>
      <c r="I111" s="8" t="s">
        <v>14214</v>
      </c>
      <c r="J111" s="14" t="s">
        <v>1590</v>
      </c>
      <c r="K111" s="10"/>
    </row>
    <row r="112" spans="1:28" x14ac:dyDescent="0.25">
      <c r="A112" s="14" t="s">
        <v>1592</v>
      </c>
      <c r="B112" s="8" t="s">
        <v>1593</v>
      </c>
      <c r="C112" s="7" t="s">
        <v>2501</v>
      </c>
      <c r="D112" s="9" t="s">
        <v>14136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4" t="s">
        <v>1592</v>
      </c>
      <c r="K112" s="10"/>
    </row>
    <row r="113" spans="1:28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4" t="s">
        <v>3879</v>
      </c>
      <c r="K113" s="10"/>
    </row>
    <row r="114" spans="1:28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4" t="s">
        <v>3882</v>
      </c>
      <c r="K114" s="10"/>
    </row>
    <row r="115" spans="1:28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14215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4" t="s">
        <v>3886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x14ac:dyDescent="0.25">
      <c r="A116" s="14" t="s">
        <v>3889</v>
      </c>
      <c r="B116" s="8" t="s">
        <v>3890</v>
      </c>
      <c r="C116" s="7" t="s">
        <v>2501</v>
      </c>
      <c r="D116" s="9" t="s">
        <v>14216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4" t="s">
        <v>3889</v>
      </c>
      <c r="K116" s="10"/>
    </row>
    <row r="117" spans="1:28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4" t="s">
        <v>3893</v>
      </c>
      <c r="K117" s="10"/>
    </row>
    <row r="118" spans="1:28" x14ac:dyDescent="0.25">
      <c r="A118" s="14" t="s">
        <v>3896</v>
      </c>
      <c r="B118" s="8" t="s">
        <v>3897</v>
      </c>
      <c r="C118" s="7" t="s">
        <v>2501</v>
      </c>
      <c r="D118" s="9" t="s">
        <v>14217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4" t="s">
        <v>3896</v>
      </c>
      <c r="K118" s="10"/>
    </row>
    <row r="119" spans="1:28" x14ac:dyDescent="0.25">
      <c r="A119" s="14" t="s">
        <v>14218</v>
      </c>
      <c r="B119" s="8" t="s">
        <v>14219</v>
      </c>
      <c r="C119" s="7" t="s">
        <v>2501</v>
      </c>
      <c r="D119" s="9" t="s">
        <v>14219</v>
      </c>
      <c r="E119" s="7">
        <v>0</v>
      </c>
      <c r="F119" s="14" t="s">
        <v>14220</v>
      </c>
      <c r="G119" s="7" t="s">
        <v>14221</v>
      </c>
      <c r="H119" s="7" t="s">
        <v>2481</v>
      </c>
      <c r="I119" s="8" t="s">
        <v>3897</v>
      </c>
      <c r="J119" s="14" t="s">
        <v>14218</v>
      </c>
      <c r="K119" s="10"/>
    </row>
    <row r="120" spans="1:28" x14ac:dyDescent="0.25">
      <c r="A120" s="14" t="s">
        <v>3899</v>
      </c>
      <c r="B120" s="8" t="s">
        <v>3900</v>
      </c>
      <c r="C120" s="7" t="s">
        <v>2501</v>
      </c>
      <c r="D120" s="9" t="s">
        <v>14132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4" t="s">
        <v>3899</v>
      </c>
      <c r="K120" s="10"/>
    </row>
    <row r="121" spans="1:28" x14ac:dyDescent="0.25">
      <c r="A121" s="14" t="s">
        <v>3902</v>
      </c>
      <c r="B121" s="8" t="s">
        <v>3903</v>
      </c>
      <c r="C121" s="7" t="s">
        <v>2501</v>
      </c>
      <c r="D121" s="9" t="s">
        <v>14222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4" t="s">
        <v>3902</v>
      </c>
      <c r="K121" s="10"/>
    </row>
    <row r="122" spans="1:28" x14ac:dyDescent="0.25">
      <c r="A122" s="14" t="s">
        <v>3906</v>
      </c>
      <c r="B122" s="8" t="s">
        <v>3907</v>
      </c>
      <c r="C122" s="7" t="s">
        <v>2501</v>
      </c>
      <c r="D122" s="9" t="s">
        <v>14223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14224</v>
      </c>
      <c r="J122" s="14" t="s">
        <v>3906</v>
      </c>
      <c r="K122" s="10"/>
    </row>
    <row r="123" spans="1:28" x14ac:dyDescent="0.25">
      <c r="A123" s="14" t="s">
        <v>3910</v>
      </c>
      <c r="B123" s="8" t="s">
        <v>3911</v>
      </c>
      <c r="C123" s="7" t="s">
        <v>2501</v>
      </c>
      <c r="D123" s="9" t="s">
        <v>14225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14226</v>
      </c>
      <c r="J123" s="14" t="s">
        <v>3910</v>
      </c>
      <c r="K123" s="10"/>
    </row>
    <row r="124" spans="1:28" x14ac:dyDescent="0.25">
      <c r="A124" s="14" t="s">
        <v>14227</v>
      </c>
      <c r="B124" s="8" t="s">
        <v>14228</v>
      </c>
      <c r="C124" s="7" t="s">
        <v>2501</v>
      </c>
      <c r="D124" s="9" t="s">
        <v>14229</v>
      </c>
      <c r="E124" s="7">
        <v>562</v>
      </c>
      <c r="F124" s="14" t="s">
        <v>14230</v>
      </c>
      <c r="G124" s="7" t="s">
        <v>14228</v>
      </c>
      <c r="H124" s="7" t="s">
        <v>2481</v>
      </c>
      <c r="I124" s="8" t="s">
        <v>3892</v>
      </c>
      <c r="J124" s="14" t="s">
        <v>14227</v>
      </c>
      <c r="K124" s="10"/>
    </row>
    <row r="125" spans="1:28" x14ac:dyDescent="0.25">
      <c r="A125" s="14" t="s">
        <v>3913</v>
      </c>
      <c r="B125" s="8" t="s">
        <v>3914</v>
      </c>
      <c r="C125" s="7" t="s">
        <v>2501</v>
      </c>
      <c r="D125" s="9" t="s">
        <v>14231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14232</v>
      </c>
      <c r="J125" s="14" t="s">
        <v>3913</v>
      </c>
      <c r="K125" s="10"/>
    </row>
    <row r="126" spans="1:28" x14ac:dyDescent="0.25">
      <c r="A126" s="14" t="s">
        <v>3916</v>
      </c>
      <c r="B126" s="8" t="s">
        <v>3917</v>
      </c>
      <c r="C126" s="7" t="s">
        <v>2501</v>
      </c>
      <c r="D126" s="9" t="s">
        <v>14233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4" t="s">
        <v>3916</v>
      </c>
      <c r="K126" s="10"/>
    </row>
    <row r="127" spans="1:28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4" t="s">
        <v>3919</v>
      </c>
      <c r="K127" s="10"/>
    </row>
    <row r="128" spans="1:28" x14ac:dyDescent="0.25">
      <c r="A128" s="14" t="s">
        <v>3932</v>
      </c>
      <c r="B128" s="8" t="s">
        <v>3933</v>
      </c>
      <c r="C128" s="7" t="s">
        <v>2501</v>
      </c>
      <c r="D128" s="9" t="s">
        <v>14234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4" t="s">
        <v>3932</v>
      </c>
      <c r="K128" s="10"/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14203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4" t="s">
        <v>3935</v>
      </c>
      <c r="K129" s="10"/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4" t="s">
        <v>3939</v>
      </c>
      <c r="K130" s="10"/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14235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4" t="s">
        <v>3943</v>
      </c>
      <c r="K131" s="10"/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14236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4" t="s">
        <v>3946</v>
      </c>
      <c r="K132" s="10"/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14175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4" t="s">
        <v>3997</v>
      </c>
      <c r="K133" s="10"/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14237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14238</v>
      </c>
      <c r="J134" s="14" t="s">
        <v>4000</v>
      </c>
      <c r="K134" s="10"/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14239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4" t="s">
        <v>4003</v>
      </c>
      <c r="K135" s="10"/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14240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4" t="s">
        <v>9</v>
      </c>
      <c r="K136" s="10"/>
    </row>
    <row r="137" spans="1:11" x14ac:dyDescent="0.25">
      <c r="A137" s="14" t="s">
        <v>14241</v>
      </c>
      <c r="B137" s="8" t="s">
        <v>14242</v>
      </c>
      <c r="C137" s="7" t="s">
        <v>2501</v>
      </c>
      <c r="D137" s="9" t="s">
        <v>1703</v>
      </c>
      <c r="E137" s="7">
        <v>187</v>
      </c>
      <c r="F137" s="14" t="s">
        <v>14243</v>
      </c>
      <c r="G137" s="7" t="s">
        <v>14242</v>
      </c>
      <c r="H137" s="7" t="s">
        <v>2481</v>
      </c>
      <c r="I137" s="8" t="s">
        <v>2364</v>
      </c>
      <c r="J137" s="14" t="s">
        <v>14241</v>
      </c>
      <c r="K137" s="10"/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4" t="s">
        <v>3949</v>
      </c>
      <c r="K138" s="10"/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14244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4" t="s">
        <v>3952</v>
      </c>
      <c r="K139" s="10"/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4" t="s">
        <v>3956</v>
      </c>
      <c r="K140" s="10"/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4" t="s">
        <v>3960</v>
      </c>
      <c r="K141" s="10"/>
    </row>
    <row r="142" spans="1:11" x14ac:dyDescent="0.25">
      <c r="A142" s="14" t="s">
        <v>3964</v>
      </c>
      <c r="B142" s="8" t="s">
        <v>14245</v>
      </c>
      <c r="C142" s="7" t="s">
        <v>2501</v>
      </c>
      <c r="D142" s="9" t="s">
        <v>14246</v>
      </c>
      <c r="E142" s="7">
        <v>30</v>
      </c>
      <c r="F142" s="14" t="s">
        <v>3965</v>
      </c>
      <c r="G142" s="7" t="s">
        <v>14245</v>
      </c>
      <c r="H142" s="7" t="s">
        <v>2481</v>
      </c>
      <c r="I142" s="8" t="s">
        <v>64</v>
      </c>
      <c r="J142" s="14" t="s">
        <v>3964</v>
      </c>
      <c r="K142" s="10"/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14185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4" t="s">
        <v>3966</v>
      </c>
      <c r="K143" s="10"/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14247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4" t="s">
        <v>3969</v>
      </c>
      <c r="K144" s="10"/>
    </row>
    <row r="145" spans="1:11" x14ac:dyDescent="0.25">
      <c r="A145" s="14" t="s">
        <v>14248</v>
      </c>
      <c r="B145" s="8" t="s">
        <v>14249</v>
      </c>
      <c r="C145" s="7" t="s">
        <v>2501</v>
      </c>
      <c r="D145" s="9" t="s">
        <v>14229</v>
      </c>
      <c r="E145" s="7">
        <v>206</v>
      </c>
      <c r="F145" s="14" t="s">
        <v>14250</v>
      </c>
      <c r="G145" s="7" t="s">
        <v>14249</v>
      </c>
      <c r="H145" s="7" t="s">
        <v>2481</v>
      </c>
      <c r="I145" s="8" t="s">
        <v>14251</v>
      </c>
      <c r="J145" s="14" t="s">
        <v>14248</v>
      </c>
      <c r="K145" s="10"/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4" t="s">
        <v>3973</v>
      </c>
      <c r="K146" s="10"/>
    </row>
    <row r="147" spans="1:11" x14ac:dyDescent="0.25">
      <c r="A147" s="14" t="s">
        <v>14252</v>
      </c>
      <c r="B147" s="8" t="s">
        <v>14253</v>
      </c>
      <c r="C147" s="7" t="s">
        <v>2501</v>
      </c>
      <c r="D147" s="9" t="s">
        <v>14254</v>
      </c>
      <c r="E147" s="7">
        <v>0</v>
      </c>
      <c r="F147" s="14" t="s">
        <v>14255</v>
      </c>
      <c r="G147" s="7" t="s">
        <v>14253</v>
      </c>
      <c r="H147" s="7" t="s">
        <v>2481</v>
      </c>
      <c r="I147" s="8" t="s">
        <v>834</v>
      </c>
      <c r="J147" s="14" t="s">
        <v>14252</v>
      </c>
      <c r="K147" s="10"/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14256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4" t="s">
        <v>3977</v>
      </c>
      <c r="K148" s="10"/>
    </row>
    <row r="149" spans="1:11" x14ac:dyDescent="0.25">
      <c r="A149" s="14" t="s">
        <v>14257</v>
      </c>
      <c r="B149" s="8" t="s">
        <v>14258</v>
      </c>
      <c r="C149" s="7" t="s">
        <v>2501</v>
      </c>
      <c r="D149" s="9" t="s">
        <v>1703</v>
      </c>
      <c r="E149" s="7">
        <v>174</v>
      </c>
      <c r="F149" s="14" t="s">
        <v>14259</v>
      </c>
      <c r="G149" s="7" t="s">
        <v>14258</v>
      </c>
      <c r="H149" s="7" t="s">
        <v>2481</v>
      </c>
      <c r="I149" s="8" t="s">
        <v>3955</v>
      </c>
      <c r="J149" s="14" t="s">
        <v>14257</v>
      </c>
      <c r="K149" s="10"/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14260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4" t="s">
        <v>3981</v>
      </c>
      <c r="K150" s="10"/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14175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4" t="s">
        <v>3984</v>
      </c>
      <c r="K151" s="10"/>
    </row>
    <row r="152" spans="1:11" x14ac:dyDescent="0.25">
      <c r="A152" s="14" t="s">
        <v>3986</v>
      </c>
      <c r="B152" s="8" t="s">
        <v>14261</v>
      </c>
      <c r="C152" s="7" t="s">
        <v>2501</v>
      </c>
      <c r="D152" s="9" t="s">
        <v>14262</v>
      </c>
      <c r="E152" s="7">
        <v>317</v>
      </c>
      <c r="F152" s="14" t="s">
        <v>78</v>
      </c>
      <c r="G152" s="7" t="s">
        <v>14261</v>
      </c>
      <c r="H152" s="7" t="s">
        <v>2481</v>
      </c>
      <c r="I152" s="8" t="s">
        <v>2364</v>
      </c>
      <c r="J152" s="14" t="s">
        <v>3986</v>
      </c>
      <c r="K152" s="10"/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14263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4" t="s">
        <v>79</v>
      </c>
      <c r="K153" s="10"/>
    </row>
    <row r="154" spans="1:11" x14ac:dyDescent="0.25">
      <c r="A154" s="14" t="s">
        <v>14264</v>
      </c>
      <c r="B154" s="8" t="s">
        <v>14265</v>
      </c>
      <c r="C154" s="7" t="s">
        <v>2501</v>
      </c>
      <c r="D154" s="9" t="s">
        <v>14266</v>
      </c>
      <c r="E154" s="7">
        <v>0</v>
      </c>
      <c r="F154" s="14" t="s">
        <v>14267</v>
      </c>
      <c r="G154" s="7" t="s">
        <v>14268</v>
      </c>
      <c r="H154" s="7" t="s">
        <v>2481</v>
      </c>
      <c r="I154" s="8" t="s">
        <v>208</v>
      </c>
      <c r="J154" s="14" t="s">
        <v>14264</v>
      </c>
      <c r="K154" s="10"/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14269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4" t="s">
        <v>82</v>
      </c>
      <c r="K155" s="10"/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14270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4" t="s">
        <v>85</v>
      </c>
      <c r="K156" s="10"/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14262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4" t="s">
        <v>88</v>
      </c>
      <c r="K157" s="10"/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14136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4" t="s">
        <v>90</v>
      </c>
      <c r="K158" s="10"/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14271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4" t="s">
        <v>93</v>
      </c>
      <c r="K159" s="10"/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4" t="s">
        <v>97</v>
      </c>
      <c r="K160" s="10"/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4" t="s">
        <v>101</v>
      </c>
      <c r="K161" s="10"/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14272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4" t="s">
        <v>105</v>
      </c>
      <c r="K162" s="10"/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14273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4" t="s">
        <v>108</v>
      </c>
      <c r="K163" s="10"/>
    </row>
    <row r="164" spans="1:11" x14ac:dyDescent="0.25">
      <c r="A164" s="14" t="s">
        <v>14274</v>
      </c>
      <c r="B164" s="8" t="s">
        <v>14275</v>
      </c>
      <c r="C164" s="7" t="s">
        <v>2501</v>
      </c>
      <c r="D164" s="9" t="s">
        <v>14132</v>
      </c>
      <c r="E164" s="7">
        <v>129</v>
      </c>
      <c r="F164" s="14" t="s">
        <v>14276</v>
      </c>
      <c r="G164" s="7" t="s">
        <v>14275</v>
      </c>
      <c r="H164" s="7" t="s">
        <v>2481</v>
      </c>
      <c r="I164" s="8" t="s">
        <v>834</v>
      </c>
      <c r="J164" s="14" t="s">
        <v>14274</v>
      </c>
      <c r="K164" s="10"/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14277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4" t="s">
        <v>111</v>
      </c>
      <c r="K165" s="10"/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4" t="s">
        <v>55</v>
      </c>
      <c r="K166" s="10"/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4" t="s">
        <v>58</v>
      </c>
      <c r="K167" s="10"/>
    </row>
    <row r="168" spans="1:11" x14ac:dyDescent="0.25">
      <c r="A168" s="14" t="s">
        <v>14278</v>
      </c>
      <c r="B168" s="8" t="s">
        <v>14279</v>
      </c>
      <c r="C168" s="7" t="s">
        <v>2501</v>
      </c>
      <c r="D168" s="9" t="s">
        <v>14213</v>
      </c>
      <c r="E168" s="7">
        <v>1</v>
      </c>
      <c r="F168" s="14" t="s">
        <v>14280</v>
      </c>
      <c r="G168" s="7" t="s">
        <v>14279</v>
      </c>
      <c r="H168" s="7" t="s">
        <v>2481</v>
      </c>
      <c r="I168" s="8" t="s">
        <v>868</v>
      </c>
      <c r="J168" s="14" t="s">
        <v>14278</v>
      </c>
      <c r="K168" s="10"/>
    </row>
    <row r="169" spans="1:11" x14ac:dyDescent="0.25">
      <c r="A169" s="14" t="s">
        <v>14281</v>
      </c>
      <c r="B169" s="8" t="s">
        <v>1305</v>
      </c>
      <c r="C169" s="7" t="s">
        <v>2501</v>
      </c>
      <c r="D169" s="9" t="s">
        <v>14229</v>
      </c>
      <c r="E169" s="7">
        <v>0</v>
      </c>
      <c r="F169" s="14" t="s">
        <v>14282</v>
      </c>
      <c r="G169" s="7" t="s">
        <v>1305</v>
      </c>
      <c r="H169" s="7" t="s">
        <v>2481</v>
      </c>
      <c r="I169" s="8" t="s">
        <v>208</v>
      </c>
      <c r="J169" s="14" t="s">
        <v>14281</v>
      </c>
      <c r="K169" s="10"/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14283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4" t="s">
        <v>61</v>
      </c>
      <c r="K170" s="10"/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4" t="s">
        <v>65</v>
      </c>
      <c r="K171" s="10"/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14132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4" t="s">
        <v>68</v>
      </c>
      <c r="K172" s="10"/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14284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4" t="s">
        <v>72</v>
      </c>
      <c r="K173" s="10"/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14229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4" t="s">
        <v>76</v>
      </c>
      <c r="K174" s="10"/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4" t="s">
        <v>2365</v>
      </c>
      <c r="K175" s="10"/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14285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4" t="s">
        <v>2368</v>
      </c>
      <c r="K176" s="10"/>
    </row>
    <row r="177" spans="1:28" x14ac:dyDescent="0.25">
      <c r="A177" s="14" t="s">
        <v>2372</v>
      </c>
      <c r="B177" s="8" t="s">
        <v>2373</v>
      </c>
      <c r="C177" s="7" t="s">
        <v>2501</v>
      </c>
      <c r="D177" s="9" t="s">
        <v>14286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4" t="s">
        <v>2372</v>
      </c>
      <c r="K177" s="10"/>
    </row>
    <row r="178" spans="1:28" x14ac:dyDescent="0.25">
      <c r="A178" s="14" t="s">
        <v>14287</v>
      </c>
      <c r="B178" s="8" t="s">
        <v>2961</v>
      </c>
      <c r="C178" s="7" t="s">
        <v>2501</v>
      </c>
      <c r="D178" s="9" t="s">
        <v>14139</v>
      </c>
      <c r="E178" s="7">
        <v>0</v>
      </c>
      <c r="F178" s="14" t="s">
        <v>14288</v>
      </c>
      <c r="G178" s="7" t="s">
        <v>2961</v>
      </c>
      <c r="H178" s="7" t="s">
        <v>2481</v>
      </c>
      <c r="I178" s="8" t="s">
        <v>868</v>
      </c>
      <c r="J178" s="14" t="s">
        <v>14287</v>
      </c>
      <c r="K178" s="10"/>
    </row>
    <row r="179" spans="1:28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4" t="s">
        <v>2375</v>
      </c>
      <c r="K179" s="10"/>
    </row>
    <row r="180" spans="1:28" x14ac:dyDescent="0.25">
      <c r="A180" s="14" t="s">
        <v>2378</v>
      </c>
      <c r="B180" s="8" t="s">
        <v>2379</v>
      </c>
      <c r="C180" s="7" t="s">
        <v>2501</v>
      </c>
      <c r="D180" s="9" t="s">
        <v>14289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4" t="s">
        <v>2378</v>
      </c>
      <c r="K180" s="10"/>
    </row>
    <row r="181" spans="1:28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4" t="s">
        <v>2381</v>
      </c>
      <c r="K181" s="10"/>
    </row>
    <row r="182" spans="1:28" x14ac:dyDescent="0.25">
      <c r="A182" s="14" t="s">
        <v>2386</v>
      </c>
      <c r="B182" s="8" t="s">
        <v>2387</v>
      </c>
      <c r="C182" s="7" t="s">
        <v>2501</v>
      </c>
      <c r="D182" s="9" t="s">
        <v>14290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4" t="s">
        <v>2386</v>
      </c>
      <c r="K182" s="10"/>
    </row>
    <row r="183" spans="1:28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4" t="s">
        <v>2390</v>
      </c>
      <c r="K183" s="10"/>
    </row>
    <row r="184" spans="1:28" x14ac:dyDescent="0.25">
      <c r="A184" s="14" t="s">
        <v>2395</v>
      </c>
      <c r="B184" s="8" t="s">
        <v>2396</v>
      </c>
      <c r="C184" s="7" t="s">
        <v>2501</v>
      </c>
      <c r="D184" s="9" t="s">
        <v>14185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4" t="s">
        <v>2395</v>
      </c>
      <c r="K184" s="10"/>
    </row>
    <row r="185" spans="1:28" x14ac:dyDescent="0.25">
      <c r="A185" s="14" t="s">
        <v>2398</v>
      </c>
      <c r="B185" s="8" t="s">
        <v>2399</v>
      </c>
      <c r="C185" s="7" t="s">
        <v>2501</v>
      </c>
      <c r="D185" s="9" t="s">
        <v>14291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4" t="s">
        <v>2398</v>
      </c>
      <c r="K185" s="10"/>
    </row>
    <row r="186" spans="1:28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14292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4" t="s">
        <v>833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14251</v>
      </c>
      <c r="J187" s="14" t="s">
        <v>836</v>
      </c>
      <c r="K187" s="10"/>
    </row>
    <row r="188" spans="1:28" x14ac:dyDescent="0.25">
      <c r="A188" s="14" t="s">
        <v>839</v>
      </c>
      <c r="B188" s="8" t="s">
        <v>840</v>
      </c>
      <c r="C188" s="7" t="s">
        <v>2501</v>
      </c>
      <c r="D188" s="9" t="s">
        <v>14293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4" t="s">
        <v>839</v>
      </c>
      <c r="K188" s="10"/>
    </row>
    <row r="189" spans="1:28" x14ac:dyDescent="0.25">
      <c r="A189" s="14" t="s">
        <v>842</v>
      </c>
      <c r="B189" s="8" t="s">
        <v>843</v>
      </c>
      <c r="C189" s="7" t="s">
        <v>2501</v>
      </c>
      <c r="D189" s="9" t="s">
        <v>14294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4" t="s">
        <v>842</v>
      </c>
      <c r="K189" s="10"/>
    </row>
    <row r="190" spans="1:28" x14ac:dyDescent="0.25">
      <c r="A190" s="14" t="s">
        <v>14295</v>
      </c>
      <c r="B190" s="8" t="s">
        <v>14296</v>
      </c>
      <c r="C190" s="7" t="s">
        <v>2501</v>
      </c>
      <c r="D190" s="9" t="s">
        <v>14297</v>
      </c>
      <c r="E190" s="7">
        <v>0</v>
      </c>
      <c r="F190" s="14" t="s">
        <v>14298</v>
      </c>
      <c r="G190" s="7" t="s">
        <v>14296</v>
      </c>
      <c r="H190" s="7" t="s">
        <v>2481</v>
      </c>
      <c r="I190" s="8" t="s">
        <v>80</v>
      </c>
      <c r="J190" s="14" t="s">
        <v>14295</v>
      </c>
      <c r="K190" s="10"/>
    </row>
    <row r="191" spans="1:28" x14ac:dyDescent="0.25">
      <c r="A191" s="14" t="s">
        <v>846</v>
      </c>
      <c r="B191" s="8" t="s">
        <v>847</v>
      </c>
      <c r="C191" s="7" t="s">
        <v>2501</v>
      </c>
      <c r="D191" s="9" t="s">
        <v>14299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4" t="s">
        <v>846</v>
      </c>
      <c r="K191" s="10"/>
    </row>
    <row r="192" spans="1:28" x14ac:dyDescent="0.25">
      <c r="A192" s="14" t="s">
        <v>14300</v>
      </c>
      <c r="B192" s="8" t="s">
        <v>14301</v>
      </c>
      <c r="C192" s="7" t="s">
        <v>2501</v>
      </c>
      <c r="D192" s="9" t="s">
        <v>14302</v>
      </c>
      <c r="E192" s="7">
        <v>53</v>
      </c>
      <c r="F192" s="14" t="s">
        <v>14303</v>
      </c>
      <c r="G192" s="7" t="s">
        <v>14301</v>
      </c>
      <c r="H192" s="7" t="s">
        <v>2481</v>
      </c>
      <c r="I192" s="8" t="s">
        <v>2396</v>
      </c>
      <c r="J192" s="14" t="s">
        <v>14300</v>
      </c>
      <c r="K192" s="10"/>
    </row>
    <row r="193" spans="1:28" x14ac:dyDescent="0.25">
      <c r="A193" s="14" t="s">
        <v>849</v>
      </c>
      <c r="B193" s="8" t="s">
        <v>850</v>
      </c>
      <c r="C193" s="7" t="s">
        <v>2501</v>
      </c>
      <c r="D193" s="9" t="s">
        <v>14304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4" t="s">
        <v>849</v>
      </c>
      <c r="K193" s="10"/>
    </row>
    <row r="194" spans="1:28" x14ac:dyDescent="0.25">
      <c r="A194" s="14" t="s">
        <v>853</v>
      </c>
      <c r="B194" s="8" t="s">
        <v>208</v>
      </c>
      <c r="C194" s="7" t="s">
        <v>2501</v>
      </c>
      <c r="D194" s="9" t="s">
        <v>14189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4" t="s">
        <v>853</v>
      </c>
      <c r="K194" s="10"/>
    </row>
    <row r="195" spans="1:28" x14ac:dyDescent="0.25">
      <c r="A195" s="14" t="s">
        <v>855</v>
      </c>
      <c r="B195" s="8" t="s">
        <v>856</v>
      </c>
      <c r="C195" s="7" t="s">
        <v>2501</v>
      </c>
      <c r="D195" s="9" t="s">
        <v>14305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4" t="s">
        <v>855</v>
      </c>
      <c r="K195" s="10"/>
    </row>
    <row r="196" spans="1:28" x14ac:dyDescent="0.25">
      <c r="A196" s="14" t="s">
        <v>858</v>
      </c>
      <c r="B196" s="8" t="s">
        <v>859</v>
      </c>
      <c r="C196" s="7" t="s">
        <v>2501</v>
      </c>
      <c r="D196" s="9" t="s">
        <v>14306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4" t="s">
        <v>858</v>
      </c>
      <c r="K196" s="10"/>
    </row>
    <row r="197" spans="1:28" x14ac:dyDescent="0.25">
      <c r="A197" s="14" t="s">
        <v>861</v>
      </c>
      <c r="B197" s="8" t="s">
        <v>862</v>
      </c>
      <c r="C197" s="7" t="s">
        <v>2501</v>
      </c>
      <c r="D197" s="9" t="s">
        <v>14307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4" t="s">
        <v>861</v>
      </c>
      <c r="K197" s="10"/>
    </row>
    <row r="198" spans="1:28" x14ac:dyDescent="0.25">
      <c r="A198" s="14" t="s">
        <v>864</v>
      </c>
      <c r="B198" s="8" t="s">
        <v>865</v>
      </c>
      <c r="C198" s="7" t="s">
        <v>2501</v>
      </c>
      <c r="D198" s="9" t="s">
        <v>14175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4" t="s">
        <v>864</v>
      </c>
      <c r="K198" s="10"/>
    </row>
    <row r="199" spans="1:28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4" t="s">
        <v>867</v>
      </c>
      <c r="K199" s="10"/>
    </row>
    <row r="200" spans="1:28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4" t="s">
        <v>871</v>
      </c>
      <c r="K200" s="10"/>
    </row>
    <row r="201" spans="1:28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4" t="s">
        <v>874</v>
      </c>
      <c r="K201" s="10"/>
    </row>
    <row r="202" spans="1:28" x14ac:dyDescent="0.25">
      <c r="A202" s="14" t="s">
        <v>877</v>
      </c>
      <c r="B202" s="8" t="s">
        <v>878</v>
      </c>
      <c r="C202" s="7" t="s">
        <v>2501</v>
      </c>
      <c r="D202" s="9" t="s">
        <v>14308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4" t="s">
        <v>877</v>
      </c>
      <c r="K202" s="10"/>
    </row>
    <row r="203" spans="1:28" x14ac:dyDescent="0.25">
      <c r="A203" s="14" t="s">
        <v>14309</v>
      </c>
      <c r="B203" s="8" t="s">
        <v>14310</v>
      </c>
      <c r="C203" s="7" t="s">
        <v>2501</v>
      </c>
      <c r="D203" s="9" t="s">
        <v>14311</v>
      </c>
      <c r="E203" s="7">
        <v>3</v>
      </c>
      <c r="F203" s="14" t="s">
        <v>14312</v>
      </c>
      <c r="G203" s="7" t="s">
        <v>14310</v>
      </c>
      <c r="H203" s="7" t="s">
        <v>2481</v>
      </c>
      <c r="I203" s="8" t="s">
        <v>962</v>
      </c>
      <c r="J203" s="14" t="s">
        <v>14309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</row>
    <row r="204" spans="1:28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4" t="s">
        <v>880</v>
      </c>
      <c r="K204" s="10"/>
    </row>
    <row r="205" spans="1:28" x14ac:dyDescent="0.25">
      <c r="A205" s="14" t="s">
        <v>14313</v>
      </c>
      <c r="B205" s="8" t="s">
        <v>14314</v>
      </c>
      <c r="C205" s="7" t="s">
        <v>2501</v>
      </c>
      <c r="D205" s="9" t="s">
        <v>14315</v>
      </c>
      <c r="E205" s="7">
        <v>146</v>
      </c>
      <c r="F205" s="14" t="s">
        <v>14316</v>
      </c>
      <c r="G205" s="7" t="s">
        <v>14314</v>
      </c>
      <c r="H205" s="7" t="s">
        <v>2481</v>
      </c>
      <c r="I205" s="8" t="s">
        <v>891</v>
      </c>
      <c r="J205" s="14" t="s">
        <v>14313</v>
      </c>
      <c r="K205" s="10"/>
    </row>
    <row r="206" spans="1:28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4" t="s">
        <v>884</v>
      </c>
      <c r="K206" s="10"/>
    </row>
    <row r="207" spans="1:28" x14ac:dyDescent="0.25">
      <c r="A207" s="14" t="s">
        <v>887</v>
      </c>
      <c r="B207" s="8" t="s">
        <v>888</v>
      </c>
      <c r="C207" s="7" t="s">
        <v>2501</v>
      </c>
      <c r="D207" s="9" t="s">
        <v>14317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4" t="s">
        <v>887</v>
      </c>
      <c r="K207" s="10"/>
    </row>
    <row r="208" spans="1:28" x14ac:dyDescent="0.25">
      <c r="A208" s="14" t="s">
        <v>890</v>
      </c>
      <c r="B208" s="8" t="s">
        <v>891</v>
      </c>
      <c r="C208" s="7" t="s">
        <v>2501</v>
      </c>
      <c r="D208" s="9" t="s">
        <v>14292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4" t="s">
        <v>890</v>
      </c>
      <c r="K208" s="10"/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14318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4" t="s">
        <v>961</v>
      </c>
      <c r="K209" s="10"/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4" t="s">
        <v>964</v>
      </c>
      <c r="K210" s="10"/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14319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4" t="s">
        <v>967</v>
      </c>
      <c r="K211" s="10"/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4" t="s">
        <v>970</v>
      </c>
      <c r="K212" s="10"/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4" t="s">
        <v>973</v>
      </c>
      <c r="K213" s="10"/>
    </row>
    <row r="214" spans="1:11" x14ac:dyDescent="0.25">
      <c r="A214" s="14" t="s">
        <v>14320</v>
      </c>
      <c r="B214" s="8" t="s">
        <v>14321</v>
      </c>
      <c r="C214" s="7" t="s">
        <v>2501</v>
      </c>
      <c r="D214" s="9" t="s">
        <v>14322</v>
      </c>
      <c r="E214" s="7">
        <v>268</v>
      </c>
      <c r="F214" s="14" t="s">
        <v>14323</v>
      </c>
      <c r="G214" s="7" t="s">
        <v>14321</v>
      </c>
      <c r="H214" s="7" t="s">
        <v>2481</v>
      </c>
      <c r="I214" s="8" t="s">
        <v>83</v>
      </c>
      <c r="J214" s="14" t="s">
        <v>14320</v>
      </c>
      <c r="K214" s="10"/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14324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4" t="s">
        <v>975</v>
      </c>
      <c r="K215" s="10"/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4" t="s">
        <v>978</v>
      </c>
      <c r="K216" s="10"/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14325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4" t="s">
        <v>981</v>
      </c>
      <c r="K217" s="10"/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14213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4" t="s">
        <v>984</v>
      </c>
      <c r="K218" s="10"/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4" t="s">
        <v>987</v>
      </c>
      <c r="K219" s="10"/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14326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4" t="s">
        <v>990</v>
      </c>
      <c r="K220" s="10"/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14327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4" t="s">
        <v>2513</v>
      </c>
      <c r="K221" s="10"/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14328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4" t="s">
        <v>2516</v>
      </c>
      <c r="K222" s="10"/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4" t="s">
        <v>2518</v>
      </c>
      <c r="K223" s="10"/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4" t="s">
        <v>2522</v>
      </c>
      <c r="K224" s="10"/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14329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4" t="s">
        <v>2526</v>
      </c>
      <c r="K225" s="10"/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14132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4" t="s">
        <v>2530</v>
      </c>
      <c r="K226" s="10"/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14152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4" t="s">
        <v>2532</v>
      </c>
      <c r="K227" s="10"/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14330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4" t="s">
        <v>2535</v>
      </c>
      <c r="K228" s="10"/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4" t="s">
        <v>2538</v>
      </c>
      <c r="K229" s="10"/>
    </row>
    <row r="230" spans="1:11" x14ac:dyDescent="0.25">
      <c r="A230" s="14" t="s">
        <v>994</v>
      </c>
      <c r="B230" s="8" t="s">
        <v>14331</v>
      </c>
      <c r="C230" s="7" t="s">
        <v>2501</v>
      </c>
      <c r="D230" s="9" t="s">
        <v>14213</v>
      </c>
      <c r="E230" s="7">
        <v>709</v>
      </c>
      <c r="F230" s="14" t="s">
        <v>995</v>
      </c>
      <c r="G230" s="7" t="s">
        <v>14331</v>
      </c>
      <c r="H230" s="7" t="s">
        <v>2481</v>
      </c>
      <c r="I230" s="8" t="s">
        <v>14332</v>
      </c>
      <c r="J230" s="14" t="s">
        <v>994</v>
      </c>
      <c r="K230" s="10"/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14189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4" t="s">
        <v>996</v>
      </c>
      <c r="K231" s="10"/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14333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4" t="s">
        <v>1000</v>
      </c>
      <c r="K232" s="10"/>
    </row>
    <row r="233" spans="1:11" x14ac:dyDescent="0.25">
      <c r="A233" s="14" t="s">
        <v>14334</v>
      </c>
      <c r="B233" s="8" t="s">
        <v>14335</v>
      </c>
      <c r="C233" s="7" t="s">
        <v>2501</v>
      </c>
      <c r="D233" s="9" t="s">
        <v>4285</v>
      </c>
      <c r="E233" s="7">
        <v>88</v>
      </c>
      <c r="F233" s="14" t="s">
        <v>14336</v>
      </c>
      <c r="G233" s="7" t="s">
        <v>3909</v>
      </c>
      <c r="H233" s="7" t="s">
        <v>2481</v>
      </c>
      <c r="I233" s="8" t="s">
        <v>305</v>
      </c>
      <c r="J233" s="14" t="s">
        <v>14334</v>
      </c>
      <c r="K233" s="10"/>
    </row>
    <row r="234" spans="1:11" x14ac:dyDescent="0.25">
      <c r="A234" s="14" t="s">
        <v>14337</v>
      </c>
      <c r="B234" s="8" t="s">
        <v>14338</v>
      </c>
      <c r="C234" s="7" t="s">
        <v>2501</v>
      </c>
      <c r="D234" s="9" t="s">
        <v>14339</v>
      </c>
      <c r="E234" s="7">
        <v>0</v>
      </c>
      <c r="F234" s="14" t="s">
        <v>14340</v>
      </c>
      <c r="G234" s="7" t="s">
        <v>14338</v>
      </c>
      <c r="H234" s="7" t="s">
        <v>2481</v>
      </c>
      <c r="I234" s="8" t="s">
        <v>295</v>
      </c>
      <c r="J234" s="14" t="s">
        <v>14337</v>
      </c>
      <c r="K234" s="10"/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14341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4" t="s">
        <v>1002</v>
      </c>
      <c r="K235" s="10"/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4" t="s">
        <v>1005</v>
      </c>
      <c r="K236" s="10"/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4" t="s">
        <v>1009</v>
      </c>
      <c r="K237" s="10"/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4" t="s">
        <v>1012</v>
      </c>
      <c r="K238" s="10"/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14285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4" t="s">
        <v>2550</v>
      </c>
      <c r="K239" s="10"/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4" t="s">
        <v>267</v>
      </c>
      <c r="K240" s="10"/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14342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4" t="s">
        <v>271</v>
      </c>
      <c r="K241" s="10"/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14343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4" t="s">
        <v>275</v>
      </c>
      <c r="K242" s="10"/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4" t="s">
        <v>278</v>
      </c>
      <c r="K243" s="10"/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14344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4" t="s">
        <v>281</v>
      </c>
      <c r="K244" s="10"/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14345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4" t="s">
        <v>285</v>
      </c>
      <c r="K245" s="10"/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14346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4" t="s">
        <v>288</v>
      </c>
      <c r="K246" s="10"/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4" t="s">
        <v>291</v>
      </c>
      <c r="K247" s="10"/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14347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4" t="s">
        <v>294</v>
      </c>
      <c r="K248" s="10"/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14290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4" t="s">
        <v>297</v>
      </c>
      <c r="K249" s="10"/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4" t="s">
        <v>300</v>
      </c>
      <c r="K250" s="10"/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4" t="s">
        <v>304</v>
      </c>
      <c r="K251" s="10"/>
    </row>
    <row r="252" spans="1:11" x14ac:dyDescent="0.25">
      <c r="A252" s="14" t="s">
        <v>308</v>
      </c>
      <c r="B252" s="8" t="s">
        <v>14348</v>
      </c>
      <c r="C252" s="7" t="s">
        <v>2501</v>
      </c>
      <c r="D252" s="9" t="s">
        <v>14349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4" t="s">
        <v>308</v>
      </c>
      <c r="K252" s="10"/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14314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4" t="s">
        <v>311</v>
      </c>
      <c r="K253" s="10"/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14350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4" t="s">
        <v>317</v>
      </c>
      <c r="K255" s="10"/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14351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4" t="s">
        <v>321</v>
      </c>
      <c r="K256" s="10"/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4" t="s">
        <v>324</v>
      </c>
      <c r="K257" s="10"/>
    </row>
    <row r="258" spans="1:11" x14ac:dyDescent="0.25">
      <c r="A258" s="14" t="s">
        <v>2631</v>
      </c>
      <c r="B258" s="8" t="s">
        <v>14352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4" t="s">
        <v>2631</v>
      </c>
      <c r="K258" s="10"/>
    </row>
    <row r="259" spans="1:11" x14ac:dyDescent="0.25">
      <c r="A259" s="14" t="s">
        <v>2633</v>
      </c>
      <c r="B259" s="8" t="s">
        <v>14353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4" t="s">
        <v>2633</v>
      </c>
      <c r="K259" s="10"/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14318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14354</v>
      </c>
      <c r="J260" s="14" t="s">
        <v>2636</v>
      </c>
      <c r="K260" s="10"/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14355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4" t="s">
        <v>4312</v>
      </c>
      <c r="K261" s="10"/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14356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4" t="s">
        <v>374</v>
      </c>
      <c r="K262" s="10"/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14357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4" t="s">
        <v>377</v>
      </c>
      <c r="K263" s="10"/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14358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14354</v>
      </c>
      <c r="J264" s="14" t="s">
        <v>380</v>
      </c>
      <c r="K264" s="10"/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14359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4" t="s">
        <v>383</v>
      </c>
      <c r="K265" s="10"/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14360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14361</v>
      </c>
      <c r="J266" s="14" t="s">
        <v>386</v>
      </c>
      <c r="K266" s="10"/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4" t="s">
        <v>389</v>
      </c>
      <c r="K267" s="10"/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4" t="s">
        <v>393</v>
      </c>
      <c r="K268" s="10"/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14362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4" t="s">
        <v>397</v>
      </c>
      <c r="K269" s="10"/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14363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4" t="s">
        <v>400</v>
      </c>
      <c r="K270" s="10"/>
    </row>
    <row r="271" spans="1:11" x14ac:dyDescent="0.25">
      <c r="A271" s="14" t="s">
        <v>14364</v>
      </c>
      <c r="B271" s="8" t="s">
        <v>14365</v>
      </c>
      <c r="C271" s="7" t="s">
        <v>2501</v>
      </c>
      <c r="D271" s="9" t="s">
        <v>14366</v>
      </c>
      <c r="E271" s="7">
        <v>0</v>
      </c>
      <c r="F271" s="14" t="s">
        <v>14367</v>
      </c>
      <c r="G271" s="7" t="s">
        <v>14368</v>
      </c>
      <c r="H271" s="7" t="s">
        <v>2481</v>
      </c>
      <c r="I271" s="8" t="s">
        <v>2629</v>
      </c>
      <c r="J271" s="14" t="s">
        <v>14364</v>
      </c>
      <c r="K271" s="10"/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14369</v>
      </c>
      <c r="J272" s="14" t="s">
        <v>403</v>
      </c>
      <c r="K272" s="10"/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14370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4" t="s">
        <v>407</v>
      </c>
      <c r="K273" s="10"/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14371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4" t="s">
        <v>410</v>
      </c>
      <c r="K274" s="10"/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14372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4" t="s">
        <v>413</v>
      </c>
      <c r="K275" s="10"/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4" t="s">
        <v>416</v>
      </c>
      <c r="K276" s="10"/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14293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14373</v>
      </c>
      <c r="J277" s="14" t="s">
        <v>420</v>
      </c>
      <c r="K277" s="10"/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14354</v>
      </c>
      <c r="J278" s="14" t="s">
        <v>423</v>
      </c>
      <c r="K278" s="10"/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14246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4" t="s">
        <v>428</v>
      </c>
      <c r="K279" s="10"/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14374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4" t="s">
        <v>431</v>
      </c>
      <c r="K280" s="10"/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14375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4" t="s">
        <v>434</v>
      </c>
      <c r="K281" s="10"/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14376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4" t="s">
        <v>437</v>
      </c>
      <c r="K282" s="10"/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14377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4" t="s">
        <v>441</v>
      </c>
      <c r="K283" s="10"/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14378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4" t="s">
        <v>445</v>
      </c>
      <c r="K284" s="10"/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14306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4" t="s">
        <v>2049</v>
      </c>
      <c r="K285" s="10"/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14379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4" t="s">
        <v>2052</v>
      </c>
      <c r="K286" s="10"/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14380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4" t="s">
        <v>2055</v>
      </c>
      <c r="K287" s="10"/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14381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4" t="s">
        <v>2058</v>
      </c>
      <c r="K288" s="10"/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4" t="s">
        <v>2061</v>
      </c>
      <c r="K289" s="10"/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14297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4" t="s">
        <v>2065</v>
      </c>
      <c r="K290" s="10"/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14382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4" t="s">
        <v>2068</v>
      </c>
      <c r="K291" s="10"/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4" t="s">
        <v>2723</v>
      </c>
      <c r="K292" s="10"/>
    </row>
    <row r="293" spans="1:11" x14ac:dyDescent="0.25">
      <c r="A293" s="14" t="s">
        <v>14383</v>
      </c>
      <c r="B293" s="8" t="s">
        <v>14384</v>
      </c>
      <c r="C293" s="7" t="s">
        <v>2501</v>
      </c>
      <c r="D293" s="9" t="s">
        <v>14156</v>
      </c>
      <c r="E293" s="7">
        <v>213</v>
      </c>
      <c r="F293" s="14" t="s">
        <v>14385</v>
      </c>
      <c r="G293" s="7" t="s">
        <v>14384</v>
      </c>
      <c r="H293" s="7" t="s">
        <v>2481</v>
      </c>
      <c r="I293" s="8" t="s">
        <v>2077</v>
      </c>
      <c r="J293" s="14" t="s">
        <v>14383</v>
      </c>
      <c r="K293" s="10"/>
    </row>
    <row r="294" spans="1:11" x14ac:dyDescent="0.25">
      <c r="A294" s="14" t="s">
        <v>2727</v>
      </c>
      <c r="B294" s="8" t="s">
        <v>14386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4" t="s">
        <v>2727</v>
      </c>
      <c r="K294" s="10"/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14387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14361</v>
      </c>
      <c r="J295" s="14" t="s">
        <v>2730</v>
      </c>
      <c r="K295" s="10"/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14328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4" t="s">
        <v>2733</v>
      </c>
      <c r="K296" s="10"/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14388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4" t="s">
        <v>2736</v>
      </c>
      <c r="K297" s="10"/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14389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4" t="s">
        <v>2739</v>
      </c>
      <c r="K298" s="10"/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14285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4" t="s">
        <v>2742</v>
      </c>
      <c r="K299" s="10"/>
    </row>
    <row r="300" spans="1:11" x14ac:dyDescent="0.25">
      <c r="A300" s="14" t="s">
        <v>14390</v>
      </c>
      <c r="B300" s="8" t="s">
        <v>14391</v>
      </c>
      <c r="C300" s="7" t="s">
        <v>2501</v>
      </c>
      <c r="D300" s="9" t="s">
        <v>14156</v>
      </c>
      <c r="E300" s="7">
        <v>948</v>
      </c>
      <c r="F300" s="14" t="s">
        <v>14392</v>
      </c>
      <c r="G300" s="7" t="s">
        <v>14393</v>
      </c>
      <c r="H300" s="7" t="s">
        <v>2481</v>
      </c>
      <c r="I300" s="8" t="s">
        <v>440</v>
      </c>
      <c r="J300" s="14" t="s">
        <v>14390</v>
      </c>
      <c r="K300" s="10"/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14394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4" t="s">
        <v>2746</v>
      </c>
      <c r="K301" s="10"/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14395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4" t="s">
        <v>2749</v>
      </c>
      <c r="K302" s="10"/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14396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14361</v>
      </c>
      <c r="J303" s="14" t="s">
        <v>2752</v>
      </c>
      <c r="K303" s="10"/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14292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14373</v>
      </c>
      <c r="J304" s="14" t="s">
        <v>2755</v>
      </c>
      <c r="K304" s="10"/>
    </row>
    <row r="305" spans="1:28" x14ac:dyDescent="0.25">
      <c r="A305" s="14" t="s">
        <v>448</v>
      </c>
      <c r="B305" s="8" t="s">
        <v>14397</v>
      </c>
      <c r="C305" s="7" t="s">
        <v>2501</v>
      </c>
      <c r="D305" s="9" t="s">
        <v>14398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14361</v>
      </c>
      <c r="J305" s="14" t="s">
        <v>448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</row>
    <row r="306" spans="1:28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4" t="s">
        <v>451</v>
      </c>
      <c r="K306" s="10"/>
    </row>
    <row r="307" spans="1:28" x14ac:dyDescent="0.25">
      <c r="A307" s="14" t="s">
        <v>455</v>
      </c>
      <c r="B307" s="8" t="s">
        <v>456</v>
      </c>
      <c r="C307" s="7" t="s">
        <v>2501</v>
      </c>
      <c r="D307" s="9" t="s">
        <v>14359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4" t="s">
        <v>455</v>
      </c>
      <c r="K307" s="10"/>
    </row>
    <row r="308" spans="1:28" x14ac:dyDescent="0.25">
      <c r="A308" s="14" t="s">
        <v>3744</v>
      </c>
      <c r="B308" s="8" t="s">
        <v>3745</v>
      </c>
      <c r="C308" s="7" t="s">
        <v>2501</v>
      </c>
      <c r="D308" s="9" t="s">
        <v>14132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4" t="s">
        <v>3744</v>
      </c>
      <c r="K308" s="10"/>
    </row>
    <row r="309" spans="1:28" x14ac:dyDescent="0.25">
      <c r="A309" s="14" t="s">
        <v>3747</v>
      </c>
      <c r="B309" s="8" t="s">
        <v>3748</v>
      </c>
      <c r="C309" s="7" t="s">
        <v>2501</v>
      </c>
      <c r="D309" s="9" t="s">
        <v>14399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4" t="s">
        <v>3747</v>
      </c>
      <c r="K309" s="10"/>
    </row>
    <row r="310" spans="1:28" x14ac:dyDescent="0.25">
      <c r="A310" s="14" t="s">
        <v>3751</v>
      </c>
      <c r="B310" s="8" t="s">
        <v>3752</v>
      </c>
      <c r="C310" s="7" t="s">
        <v>2501</v>
      </c>
      <c r="D310" s="9" t="s">
        <v>14400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14361</v>
      </c>
      <c r="J310" s="14" t="s">
        <v>3751</v>
      </c>
      <c r="K310" s="10"/>
    </row>
    <row r="311" spans="1:28" x14ac:dyDescent="0.25">
      <c r="A311" s="14" t="s">
        <v>3754</v>
      </c>
      <c r="B311" s="8" t="s">
        <v>14401</v>
      </c>
      <c r="C311" s="7" t="s">
        <v>2501</v>
      </c>
      <c r="D311" s="9" t="s">
        <v>14129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4" t="s">
        <v>3754</v>
      </c>
      <c r="K311" s="10"/>
    </row>
    <row r="312" spans="1:28" x14ac:dyDescent="0.25">
      <c r="A312" s="14" t="s">
        <v>3757</v>
      </c>
      <c r="B312" s="8" t="s">
        <v>14402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4" t="s">
        <v>3757</v>
      </c>
      <c r="K312" s="10"/>
    </row>
    <row r="313" spans="1:28" x14ac:dyDescent="0.25">
      <c r="A313" s="14" t="s">
        <v>14403</v>
      </c>
      <c r="B313" s="8" t="s">
        <v>14404</v>
      </c>
      <c r="C313" s="7" t="s">
        <v>2501</v>
      </c>
      <c r="D313" s="9" t="s">
        <v>14405</v>
      </c>
      <c r="E313" s="7">
        <v>4325</v>
      </c>
      <c r="F313" s="14" t="s">
        <v>14406</v>
      </c>
      <c r="G313" s="7" t="s">
        <v>14404</v>
      </c>
      <c r="H313" s="7" t="s">
        <v>2481</v>
      </c>
      <c r="I313" s="8" t="s">
        <v>2047</v>
      </c>
      <c r="J313" s="14" t="s">
        <v>14403</v>
      </c>
      <c r="K313" s="10"/>
    </row>
    <row r="314" spans="1:28" x14ac:dyDescent="0.25">
      <c r="A314" s="14" t="s">
        <v>3760</v>
      </c>
      <c r="B314" s="8" t="s">
        <v>3761</v>
      </c>
      <c r="C314" s="7" t="s">
        <v>2501</v>
      </c>
      <c r="D314" s="9" t="s">
        <v>14407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14369</v>
      </c>
      <c r="J314" s="14" t="s">
        <v>3760</v>
      </c>
      <c r="K314" s="10"/>
    </row>
    <row r="315" spans="1:28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14369</v>
      </c>
      <c r="J315" s="14" t="s">
        <v>2071</v>
      </c>
      <c r="K315" s="10"/>
    </row>
    <row r="316" spans="1:28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14373</v>
      </c>
      <c r="J316" s="14" t="s">
        <v>2074</v>
      </c>
      <c r="K316" s="10"/>
    </row>
    <row r="317" spans="1:28" x14ac:dyDescent="0.25">
      <c r="A317" s="14" t="s">
        <v>2076</v>
      </c>
      <c r="B317" s="8" t="s">
        <v>2077</v>
      </c>
      <c r="C317" s="7" t="s">
        <v>2501</v>
      </c>
      <c r="D317" s="9" t="s">
        <v>14408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4" t="s">
        <v>2076</v>
      </c>
      <c r="K317" s="10"/>
    </row>
    <row r="318" spans="1:28" x14ac:dyDescent="0.25">
      <c r="A318" s="14" t="s">
        <v>2079</v>
      </c>
      <c r="B318" s="8" t="s">
        <v>2080</v>
      </c>
      <c r="C318" s="7" t="s">
        <v>2501</v>
      </c>
      <c r="D318" s="9" t="s">
        <v>14409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4" t="s">
        <v>2079</v>
      </c>
      <c r="K318" s="10"/>
    </row>
    <row r="319" spans="1:28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4" t="s">
        <v>2082</v>
      </c>
      <c r="K319" s="10"/>
    </row>
    <row r="320" spans="1:28" x14ac:dyDescent="0.25">
      <c r="A320" s="14" t="s">
        <v>2085</v>
      </c>
      <c r="B320" s="8" t="s">
        <v>2086</v>
      </c>
      <c r="C320" s="7" t="s">
        <v>2501</v>
      </c>
      <c r="D320" s="9" t="s">
        <v>14410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4" t="s">
        <v>2085</v>
      </c>
      <c r="K320" s="10"/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14373</v>
      </c>
      <c r="J321" s="14" t="s">
        <v>2089</v>
      </c>
      <c r="K321" s="10"/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14411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4" t="s">
        <v>2093</v>
      </c>
      <c r="K322" s="10"/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14412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4" t="s">
        <v>2096</v>
      </c>
      <c r="K323" s="10"/>
    </row>
    <row r="324" spans="1:11" x14ac:dyDescent="0.25">
      <c r="A324" s="14" t="s">
        <v>14413</v>
      </c>
      <c r="B324" s="8" t="s">
        <v>14414</v>
      </c>
      <c r="C324" s="7" t="s">
        <v>2501</v>
      </c>
      <c r="D324" s="9" t="s">
        <v>14388</v>
      </c>
      <c r="E324" s="7">
        <v>1958</v>
      </c>
      <c r="F324" s="14" t="s">
        <v>14415</v>
      </c>
      <c r="G324" s="7" t="s">
        <v>2101</v>
      </c>
      <c r="H324" s="7" t="s">
        <v>2481</v>
      </c>
      <c r="I324" s="8" t="s">
        <v>14416</v>
      </c>
      <c r="J324" s="14" t="s">
        <v>14413</v>
      </c>
      <c r="K324" s="10"/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14417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14416</v>
      </c>
      <c r="J325" s="14" t="s">
        <v>2099</v>
      </c>
      <c r="K325" s="10"/>
    </row>
    <row r="326" spans="1:11" x14ac:dyDescent="0.25">
      <c r="A326" s="14" t="s">
        <v>2102</v>
      </c>
      <c r="B326" s="8" t="s">
        <v>14418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14416</v>
      </c>
      <c r="J326" s="14" t="s">
        <v>2102</v>
      </c>
      <c r="K326" s="10"/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14419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4" t="s">
        <v>2104</v>
      </c>
      <c r="K327" s="10"/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14126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4" t="s">
        <v>2107</v>
      </c>
      <c r="K328" s="10"/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4" t="s">
        <v>2109</v>
      </c>
      <c r="K329" s="10"/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14420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4" t="s">
        <v>3708</v>
      </c>
      <c r="K330" s="10"/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14157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4" t="s">
        <v>3711</v>
      </c>
      <c r="K331" s="10"/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14285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4" t="s">
        <v>3714</v>
      </c>
      <c r="K332" s="10"/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14421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4" t="s">
        <v>3717</v>
      </c>
      <c r="K333" s="10"/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14422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14416</v>
      </c>
      <c r="J334" s="14" t="s">
        <v>3720</v>
      </c>
      <c r="K334" s="10"/>
    </row>
    <row r="335" spans="1:11" x14ac:dyDescent="0.25">
      <c r="A335" s="14" t="s">
        <v>3722</v>
      </c>
      <c r="B335" s="8" t="s">
        <v>14423</v>
      </c>
      <c r="C335" s="7" t="s">
        <v>2501</v>
      </c>
      <c r="D335" s="9" t="s">
        <v>14424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14416</v>
      </c>
      <c r="J335" s="14" t="s">
        <v>3722</v>
      </c>
      <c r="K335" s="10"/>
    </row>
    <row r="336" spans="1:11" x14ac:dyDescent="0.25">
      <c r="A336" s="14" t="s">
        <v>3724</v>
      </c>
      <c r="B336" s="8" t="s">
        <v>14425</v>
      </c>
      <c r="C336" s="7" t="s">
        <v>2501</v>
      </c>
      <c r="D336" s="9" t="s">
        <v>14426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14416</v>
      </c>
      <c r="J336" s="14" t="s">
        <v>3724</v>
      </c>
      <c r="K336" s="10"/>
    </row>
    <row r="337" spans="1:11" x14ac:dyDescent="0.25">
      <c r="A337" s="14" t="s">
        <v>3726</v>
      </c>
      <c r="B337" s="8" t="s">
        <v>14427</v>
      </c>
      <c r="C337" s="7" t="s">
        <v>2501</v>
      </c>
      <c r="D337" s="9" t="s">
        <v>14428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14416</v>
      </c>
      <c r="J337" s="14" t="s">
        <v>3726</v>
      </c>
      <c r="K337" s="10"/>
    </row>
    <row r="338" spans="1:11" x14ac:dyDescent="0.25">
      <c r="A338" s="14" t="s">
        <v>2118</v>
      </c>
      <c r="B338" s="8" t="s">
        <v>14429</v>
      </c>
      <c r="C338" s="7" t="s">
        <v>2501</v>
      </c>
      <c r="D338" s="9" t="s">
        <v>14246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14416</v>
      </c>
      <c r="J338" s="14" t="s">
        <v>2118</v>
      </c>
      <c r="K338" s="10"/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14430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14416</v>
      </c>
      <c r="J339" s="14" t="s">
        <v>2120</v>
      </c>
      <c r="K339" s="10"/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14431</v>
      </c>
      <c r="J340" s="14" t="s">
        <v>2123</v>
      </c>
      <c r="K340" s="10"/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14359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14432</v>
      </c>
      <c r="J341" s="14" t="s">
        <v>2128</v>
      </c>
      <c r="K341" s="10"/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4" t="s">
        <v>2131</v>
      </c>
      <c r="K342" s="10"/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14433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4" t="s">
        <v>2135</v>
      </c>
      <c r="K343" s="10"/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4" t="s">
        <v>2139</v>
      </c>
      <c r="K344" s="10"/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14370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14432</v>
      </c>
      <c r="J345" s="14" t="s">
        <v>2143</v>
      </c>
      <c r="K345" s="10"/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14434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4" t="s">
        <v>2147</v>
      </c>
      <c r="K346" s="10"/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14400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4" t="s">
        <v>2151</v>
      </c>
      <c r="K347" s="10"/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4" t="s">
        <v>3802</v>
      </c>
      <c r="K348" s="10"/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14435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4" t="s">
        <v>3806</v>
      </c>
      <c r="K349" s="10"/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14436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14431</v>
      </c>
      <c r="J350" s="14" t="s">
        <v>3809</v>
      </c>
      <c r="K350" s="10"/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14437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14232</v>
      </c>
      <c r="J351" s="14" t="s">
        <v>3812</v>
      </c>
      <c r="K351" s="10"/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14438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4" t="s">
        <v>3815</v>
      </c>
      <c r="K352" s="10"/>
    </row>
    <row r="353" spans="1:11" x14ac:dyDescent="0.25">
      <c r="A353" s="14" t="s">
        <v>3818</v>
      </c>
      <c r="B353" s="8" t="s">
        <v>14439</v>
      </c>
      <c r="C353" s="7" t="s">
        <v>2501</v>
      </c>
      <c r="D353" s="9" t="s">
        <v>14440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4" t="s">
        <v>3818</v>
      </c>
      <c r="K353" s="10"/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14441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14232</v>
      </c>
      <c r="J354" s="14" t="s">
        <v>3820</v>
      </c>
      <c r="K354" s="10"/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4" t="s">
        <v>3823</v>
      </c>
      <c r="K355" s="10"/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14235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4" t="s">
        <v>2184</v>
      </c>
      <c r="K356" s="10"/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14293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4" t="s">
        <v>2187</v>
      </c>
      <c r="K357" s="10"/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14442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14232</v>
      </c>
      <c r="J358" s="14" t="s">
        <v>2190</v>
      </c>
      <c r="K358" s="10"/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14434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14232</v>
      </c>
      <c r="J359" s="14" t="s">
        <v>2193</v>
      </c>
      <c r="K359" s="10"/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14432</v>
      </c>
      <c r="J360" s="14" t="s">
        <v>2196</v>
      </c>
      <c r="K360" s="10"/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14443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4" t="s">
        <v>2200</v>
      </c>
      <c r="K361" s="10"/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14444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4" t="s">
        <v>2202</v>
      </c>
      <c r="K362" s="10"/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14213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4" t="s">
        <v>2205</v>
      </c>
      <c r="K363" s="10"/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14445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14446</v>
      </c>
      <c r="J364" s="14" t="s">
        <v>2208</v>
      </c>
      <c r="K364" s="10"/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14447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4" t="s">
        <v>692</v>
      </c>
      <c r="K365" s="10"/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4" t="s">
        <v>695</v>
      </c>
      <c r="K366" s="10"/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14326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4" t="s">
        <v>698</v>
      </c>
      <c r="K367" s="10"/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4" t="s">
        <v>701</v>
      </c>
      <c r="K368" s="10"/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14448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4" t="s">
        <v>2264</v>
      </c>
      <c r="K369" s="10"/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14292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4" t="s">
        <v>2267</v>
      </c>
      <c r="K370" s="10"/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14449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4" t="s">
        <v>2270</v>
      </c>
      <c r="K371" s="10"/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14450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4" t="s">
        <v>2273</v>
      </c>
      <c r="K372" s="10"/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14451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4" t="s">
        <v>3037</v>
      </c>
      <c r="K373" s="10"/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14136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4" t="s">
        <v>3052</v>
      </c>
      <c r="K374" s="10"/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14452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14232</v>
      </c>
      <c r="J375" s="14" t="s">
        <v>3054</v>
      </c>
      <c r="K375" s="10"/>
    </row>
    <row r="376" spans="1:11" x14ac:dyDescent="0.25">
      <c r="A376" s="14" t="s">
        <v>14453</v>
      </c>
      <c r="B376" s="8" t="s">
        <v>14454</v>
      </c>
      <c r="C376" s="7" t="s">
        <v>2501</v>
      </c>
      <c r="D376" s="9" t="s">
        <v>14455</v>
      </c>
      <c r="E376" s="7">
        <v>2450</v>
      </c>
      <c r="F376" s="14" t="s">
        <v>14456</v>
      </c>
      <c r="G376" s="7" t="s">
        <v>3718</v>
      </c>
      <c r="H376" s="7" t="s">
        <v>2481</v>
      </c>
      <c r="I376" s="8" t="s">
        <v>3712</v>
      </c>
      <c r="J376" s="14" t="s">
        <v>14453</v>
      </c>
      <c r="K376" s="10"/>
    </row>
    <row r="377" spans="1:11" x14ac:dyDescent="0.25">
      <c r="A377" s="14" t="s">
        <v>14457</v>
      </c>
      <c r="B377" s="8" t="s">
        <v>14458</v>
      </c>
      <c r="C377" s="7" t="s">
        <v>2501</v>
      </c>
      <c r="D377" s="9" t="s">
        <v>14459</v>
      </c>
      <c r="E377" s="7">
        <v>1101</v>
      </c>
      <c r="F377" s="14" t="s">
        <v>14460</v>
      </c>
      <c r="G377" s="7" t="s">
        <v>1475</v>
      </c>
      <c r="H377" s="7" t="s">
        <v>2481</v>
      </c>
      <c r="I377" s="8" t="s">
        <v>14176</v>
      </c>
      <c r="J377" s="14" t="s">
        <v>14457</v>
      </c>
      <c r="K377" s="10"/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14175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4" t="s">
        <v>3057</v>
      </c>
    </row>
    <row r="379" spans="1:11" x14ac:dyDescent="0.25">
      <c r="A379" s="14" t="s">
        <v>14461</v>
      </c>
      <c r="B379" s="8" t="s">
        <v>14462</v>
      </c>
      <c r="C379" s="7" t="s">
        <v>2501</v>
      </c>
      <c r="D379" s="9" t="s">
        <v>14246</v>
      </c>
      <c r="E379" s="7">
        <v>164</v>
      </c>
      <c r="F379" s="14" t="s">
        <v>14463</v>
      </c>
      <c r="G379" s="7" t="s">
        <v>14462</v>
      </c>
      <c r="H379" s="7" t="s">
        <v>2481</v>
      </c>
      <c r="I379" s="8" t="s">
        <v>3803</v>
      </c>
      <c r="J379" s="14" t="s">
        <v>14461</v>
      </c>
      <c r="K379" s="10"/>
    </row>
    <row r="380" spans="1:11" x14ac:dyDescent="0.25">
      <c r="A380" s="14" t="s">
        <v>14464</v>
      </c>
      <c r="B380" s="8" t="s">
        <v>14465</v>
      </c>
      <c r="C380" s="7" t="s">
        <v>2501</v>
      </c>
      <c r="D380" s="9" t="s">
        <v>14466</v>
      </c>
      <c r="E380" s="7">
        <v>0</v>
      </c>
      <c r="F380" s="14" t="s">
        <v>14467</v>
      </c>
      <c r="G380" s="7" t="s">
        <v>14468</v>
      </c>
      <c r="H380" s="7" t="s">
        <v>2481</v>
      </c>
      <c r="I380" s="8" t="s">
        <v>14416</v>
      </c>
      <c r="J380" s="14" t="s">
        <v>14464</v>
      </c>
      <c r="K380" s="10"/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14469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4" t="s">
        <v>3060</v>
      </c>
      <c r="K381" s="10"/>
    </row>
    <row r="382" spans="1:11" x14ac:dyDescent="0.25">
      <c r="A382" s="14" t="s">
        <v>14470</v>
      </c>
      <c r="B382" s="8" t="s">
        <v>793</v>
      </c>
      <c r="C382" s="7" t="s">
        <v>2501</v>
      </c>
      <c r="D382" s="9" t="s">
        <v>14471</v>
      </c>
      <c r="E382" s="7">
        <v>0</v>
      </c>
      <c r="F382" s="14" t="s">
        <v>14472</v>
      </c>
      <c r="G382" s="7" t="s">
        <v>793</v>
      </c>
      <c r="H382" s="7" t="s">
        <v>2481</v>
      </c>
      <c r="I382" s="8" t="s">
        <v>1564</v>
      </c>
      <c r="J382" s="14" t="s">
        <v>14470</v>
      </c>
      <c r="K382" s="10"/>
    </row>
    <row r="383" spans="1:11" x14ac:dyDescent="0.25">
      <c r="A383" s="14" t="s">
        <v>14473</v>
      </c>
      <c r="B383" s="8" t="s">
        <v>14474</v>
      </c>
      <c r="C383" s="7" t="s">
        <v>2501</v>
      </c>
      <c r="D383" s="9" t="s">
        <v>14475</v>
      </c>
      <c r="E383" s="7">
        <v>399</v>
      </c>
      <c r="F383" s="14" t="s">
        <v>14476</v>
      </c>
      <c r="G383" s="7" t="s">
        <v>2629</v>
      </c>
      <c r="H383" s="7" t="s">
        <v>2481</v>
      </c>
      <c r="I383" s="8" t="s">
        <v>2629</v>
      </c>
      <c r="J383" s="14" t="s">
        <v>14473</v>
      </c>
      <c r="K383" s="10"/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4" t="s">
        <v>3063</v>
      </c>
      <c r="K384" s="10"/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14332</v>
      </c>
      <c r="J385" s="14" t="s">
        <v>3066</v>
      </c>
      <c r="K385" s="10"/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14332</v>
      </c>
      <c r="J386" s="14" t="s">
        <v>3069</v>
      </c>
      <c r="K386" s="10"/>
    </row>
    <row r="387" spans="1:11" x14ac:dyDescent="0.25">
      <c r="A387" s="14" t="s">
        <v>14477</v>
      </c>
      <c r="B387" s="8" t="s">
        <v>14478</v>
      </c>
      <c r="C387" s="7" t="s">
        <v>2501</v>
      </c>
      <c r="D387" s="9" t="s">
        <v>14205</v>
      </c>
      <c r="E387" s="7">
        <v>670</v>
      </c>
      <c r="F387" s="14" t="s">
        <v>14479</v>
      </c>
      <c r="G387" s="7" t="s">
        <v>1564</v>
      </c>
      <c r="H387" s="7" t="s">
        <v>2481</v>
      </c>
      <c r="I387" s="8" t="s">
        <v>1564</v>
      </c>
      <c r="J387" s="14" t="s">
        <v>14477</v>
      </c>
      <c r="K387" s="10"/>
    </row>
    <row r="388" spans="1:11" x14ac:dyDescent="0.25">
      <c r="A388" s="14" t="s">
        <v>14480</v>
      </c>
      <c r="B388" s="8" t="s">
        <v>14481</v>
      </c>
      <c r="C388" s="7" t="s">
        <v>2501</v>
      </c>
      <c r="D388" s="9" t="s">
        <v>14328</v>
      </c>
      <c r="E388" s="7">
        <v>0</v>
      </c>
      <c r="F388" s="14" t="s">
        <v>14482</v>
      </c>
      <c r="G388" s="7" t="s">
        <v>14481</v>
      </c>
      <c r="H388" s="7" t="s">
        <v>2481</v>
      </c>
      <c r="I388" s="8" t="s">
        <v>3940</v>
      </c>
      <c r="J388" s="14" t="s">
        <v>14480</v>
      </c>
      <c r="K388" s="10"/>
    </row>
    <row r="389" spans="1:11" x14ac:dyDescent="0.25">
      <c r="A389" s="14" t="s">
        <v>14483</v>
      </c>
      <c r="B389" s="8" t="s">
        <v>14484</v>
      </c>
      <c r="C389" s="7" t="s">
        <v>2501</v>
      </c>
      <c r="D389" s="9" t="s">
        <v>1983</v>
      </c>
      <c r="E389" s="7">
        <v>429</v>
      </c>
      <c r="F389" s="14" t="s">
        <v>14485</v>
      </c>
      <c r="G389" s="7" t="s">
        <v>1942</v>
      </c>
      <c r="H389" s="7" t="s">
        <v>2481</v>
      </c>
      <c r="I389" s="8" t="s">
        <v>1942</v>
      </c>
      <c r="J389" s="14" t="s">
        <v>14483</v>
      </c>
      <c r="K389" s="10"/>
    </row>
    <row r="390" spans="1:11" x14ac:dyDescent="0.25">
      <c r="A390" s="14" t="s">
        <v>3073</v>
      </c>
      <c r="B390" s="8" t="s">
        <v>14486</v>
      </c>
      <c r="C390" s="7" t="s">
        <v>2501</v>
      </c>
      <c r="D390" s="9" t="s">
        <v>14487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4" t="s">
        <v>3073</v>
      </c>
      <c r="K390" s="10"/>
    </row>
    <row r="391" spans="1:11" x14ac:dyDescent="0.25">
      <c r="A391" s="14" t="s">
        <v>3075</v>
      </c>
      <c r="B391" s="8" t="s">
        <v>14488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4" t="s">
        <v>3075</v>
      </c>
      <c r="K391" s="10"/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14489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14176</v>
      </c>
      <c r="J392" s="14" t="s">
        <v>3078</v>
      </c>
      <c r="K392" s="10"/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14490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4" t="s">
        <v>3081</v>
      </c>
      <c r="K393" s="10"/>
    </row>
    <row r="394" spans="1:11" x14ac:dyDescent="0.25">
      <c r="A394" s="14" t="s">
        <v>14491</v>
      </c>
      <c r="B394" s="8" t="s">
        <v>14492</v>
      </c>
      <c r="C394" s="7" t="s">
        <v>2501</v>
      </c>
      <c r="D394" s="9" t="s">
        <v>14493</v>
      </c>
      <c r="E394" s="7">
        <v>1753</v>
      </c>
      <c r="F394" s="14" t="s">
        <v>14494</v>
      </c>
      <c r="G394" s="7" t="s">
        <v>4267</v>
      </c>
      <c r="H394" s="7" t="s">
        <v>2481</v>
      </c>
      <c r="I394" s="8" t="s">
        <v>4267</v>
      </c>
      <c r="J394" s="14" t="s">
        <v>14491</v>
      </c>
      <c r="K394" s="10"/>
    </row>
    <row r="395" spans="1:11" x14ac:dyDescent="0.25">
      <c r="A395" s="14" t="s">
        <v>14495</v>
      </c>
      <c r="B395" s="8" t="s">
        <v>14496</v>
      </c>
      <c r="C395" s="7" t="s">
        <v>2501</v>
      </c>
      <c r="D395" s="9" t="s">
        <v>14496</v>
      </c>
      <c r="E395" s="7">
        <v>0</v>
      </c>
      <c r="F395" s="14" t="s">
        <v>14497</v>
      </c>
      <c r="G395" s="7" t="s">
        <v>14496</v>
      </c>
      <c r="H395" s="7" t="s">
        <v>2481</v>
      </c>
      <c r="I395" s="8" t="s">
        <v>1564</v>
      </c>
      <c r="J395" s="14" t="s">
        <v>14495</v>
      </c>
      <c r="K395" s="10"/>
    </row>
    <row r="396" spans="1:11" x14ac:dyDescent="0.25">
      <c r="A396" s="14" t="s">
        <v>14498</v>
      </c>
      <c r="B396" s="8" t="s">
        <v>14499</v>
      </c>
      <c r="C396" s="7" t="s">
        <v>2501</v>
      </c>
      <c r="D396" s="9" t="s">
        <v>4164</v>
      </c>
      <c r="E396" s="7">
        <v>0</v>
      </c>
      <c r="F396" s="14" t="s">
        <v>14500</v>
      </c>
      <c r="G396" s="7" t="s">
        <v>14501</v>
      </c>
      <c r="H396" s="7" t="s">
        <v>2481</v>
      </c>
      <c r="I396" s="8" t="s">
        <v>4269</v>
      </c>
      <c r="J396" s="14" t="s">
        <v>14498</v>
      </c>
      <c r="K396" s="10"/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14502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4" t="s">
        <v>3084</v>
      </c>
      <c r="K397" s="10"/>
    </row>
    <row r="398" spans="1:11" x14ac:dyDescent="0.25">
      <c r="A398" s="14" t="s">
        <v>14503</v>
      </c>
      <c r="B398" s="8" t="s">
        <v>14504</v>
      </c>
      <c r="C398" s="7" t="s">
        <v>2501</v>
      </c>
      <c r="D398" s="9" t="s">
        <v>4164</v>
      </c>
      <c r="E398" s="7">
        <v>26</v>
      </c>
      <c r="F398" s="14" t="s">
        <v>14505</v>
      </c>
      <c r="G398" s="7" t="s">
        <v>14504</v>
      </c>
      <c r="H398" s="7" t="s">
        <v>2481</v>
      </c>
      <c r="I398" s="8" t="s">
        <v>2533</v>
      </c>
      <c r="J398" s="14" t="s">
        <v>14503</v>
      </c>
      <c r="K398" s="10"/>
    </row>
    <row r="399" spans="1:11" x14ac:dyDescent="0.25">
      <c r="A399" s="14" t="s">
        <v>14506</v>
      </c>
      <c r="B399" s="8" t="s">
        <v>14507</v>
      </c>
      <c r="C399" s="7" t="s">
        <v>2501</v>
      </c>
      <c r="D399" s="9" t="s">
        <v>14508</v>
      </c>
      <c r="E399" s="7">
        <v>1960</v>
      </c>
      <c r="F399" s="14" t="s">
        <v>14509</v>
      </c>
      <c r="G399" s="7" t="s">
        <v>14510</v>
      </c>
      <c r="H399" s="7" t="s">
        <v>2481</v>
      </c>
      <c r="I399" s="8" t="s">
        <v>1997</v>
      </c>
      <c r="J399" s="14" t="s">
        <v>14506</v>
      </c>
      <c r="K399" s="10"/>
    </row>
    <row r="400" spans="1:11" x14ac:dyDescent="0.25">
      <c r="A400" s="14" t="s">
        <v>14511</v>
      </c>
      <c r="B400" s="8" t="s">
        <v>14512</v>
      </c>
      <c r="C400" s="7" t="s">
        <v>2501</v>
      </c>
      <c r="D400" s="9" t="s">
        <v>14244</v>
      </c>
      <c r="E400" s="7">
        <v>1846</v>
      </c>
      <c r="F400" s="14" t="s">
        <v>14513</v>
      </c>
      <c r="G400" s="7" t="s">
        <v>14514</v>
      </c>
      <c r="H400" s="7" t="s">
        <v>2481</v>
      </c>
      <c r="I400" s="8" t="s">
        <v>289</v>
      </c>
      <c r="J400" s="14" t="s">
        <v>14511</v>
      </c>
      <c r="K400" s="10"/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14515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4" t="s">
        <v>756</v>
      </c>
      <c r="K401" s="10"/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14516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4" t="s">
        <v>758</v>
      </c>
      <c r="K402" s="10"/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14517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4" t="s">
        <v>761</v>
      </c>
      <c r="K403" s="10"/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14515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4" t="s">
        <v>764</v>
      </c>
      <c r="K404" s="10"/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14518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4" t="s">
        <v>767</v>
      </c>
      <c r="K405" s="10"/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14519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4" t="s">
        <v>771</v>
      </c>
      <c r="K406" s="10"/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14520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4" t="s">
        <v>774</v>
      </c>
      <c r="K407" s="10"/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14326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4" t="s">
        <v>777</v>
      </c>
      <c r="K408" s="10"/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14521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4" t="s">
        <v>779</v>
      </c>
      <c r="K409" s="10"/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14517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4" t="s">
        <v>782</v>
      </c>
      <c r="K410" s="10"/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14522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4" t="s">
        <v>785</v>
      </c>
      <c r="K411" s="10"/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14523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4" t="s">
        <v>788</v>
      </c>
      <c r="K412" s="10"/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14524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4" t="s">
        <v>792</v>
      </c>
      <c r="K413" s="10"/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14297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4" t="s">
        <v>796</v>
      </c>
      <c r="K414" s="10"/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4" t="s">
        <v>799</v>
      </c>
      <c r="K415" s="10"/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14525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4" t="s">
        <v>803</v>
      </c>
      <c r="K416" s="10"/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14297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4" t="s">
        <v>806</v>
      </c>
      <c r="K417" s="10"/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14129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4" t="s">
        <v>809</v>
      </c>
      <c r="K418" s="10"/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14526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4" t="s">
        <v>812</v>
      </c>
      <c r="K419" s="10"/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14527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4" t="s">
        <v>815</v>
      </c>
      <c r="K420" s="10"/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14528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4" t="s">
        <v>3124</v>
      </c>
      <c r="K421" s="10"/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14529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4" t="s">
        <v>3128</v>
      </c>
      <c r="K422" s="10"/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14126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4" t="s">
        <v>3131</v>
      </c>
      <c r="K423" s="10"/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14530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4" t="s">
        <v>3134</v>
      </c>
      <c r="K424" s="10"/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14531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4" t="s">
        <v>3137</v>
      </c>
      <c r="K425" s="10"/>
    </row>
    <row r="426" spans="1:11" x14ac:dyDescent="0.25">
      <c r="A426" s="14" t="s">
        <v>3140</v>
      </c>
      <c r="B426" s="8" t="s">
        <v>14532</v>
      </c>
      <c r="C426" s="7" t="s">
        <v>2501</v>
      </c>
      <c r="D426" s="9" t="s">
        <v>14531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4" t="s">
        <v>3140</v>
      </c>
      <c r="K426" s="10"/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14533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4" t="s">
        <v>3142</v>
      </c>
      <c r="K427" s="10"/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4" t="s">
        <v>3146</v>
      </c>
      <c r="K428" s="10"/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14161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4" t="s">
        <v>3149</v>
      </c>
      <c r="K429" s="10"/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14534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4" t="s">
        <v>3152</v>
      </c>
      <c r="K430" s="10"/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14535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4" t="s">
        <v>3155</v>
      </c>
      <c r="K431" s="10"/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4" t="s">
        <v>893</v>
      </c>
      <c r="K432" s="10"/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14536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4" t="s">
        <v>897</v>
      </c>
      <c r="K433" s="10"/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14537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4" t="s">
        <v>900</v>
      </c>
      <c r="K434" s="10"/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14538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4" t="s">
        <v>903</v>
      </c>
      <c r="K435" s="10"/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14539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4" t="s">
        <v>906</v>
      </c>
      <c r="K436" s="10"/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14540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4" t="s">
        <v>909</v>
      </c>
      <c r="K437" s="10"/>
    </row>
    <row r="438" spans="1:11" x14ac:dyDescent="0.25">
      <c r="A438" s="14" t="s">
        <v>14541</v>
      </c>
      <c r="B438" s="8" t="s">
        <v>14542</v>
      </c>
      <c r="C438" s="7" t="s">
        <v>2501</v>
      </c>
      <c r="D438" s="9" t="s">
        <v>3807</v>
      </c>
      <c r="E438" s="7">
        <v>24</v>
      </c>
      <c r="F438" s="14" t="s">
        <v>14543</v>
      </c>
      <c r="G438" s="7" t="s">
        <v>757</v>
      </c>
      <c r="H438" s="7" t="s">
        <v>2486</v>
      </c>
      <c r="I438" s="8" t="s">
        <v>2486</v>
      </c>
      <c r="J438" s="14" t="s">
        <v>14541</v>
      </c>
      <c r="K438" s="10"/>
    </row>
    <row r="439" spans="1:11" x14ac:dyDescent="0.25">
      <c r="A439" s="14" t="s">
        <v>912</v>
      </c>
      <c r="B439" s="8" t="s">
        <v>14544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4" t="s">
        <v>912</v>
      </c>
      <c r="K439" s="10"/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14326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4" t="s">
        <v>914</v>
      </c>
      <c r="K440" s="10"/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4" t="s">
        <v>917</v>
      </c>
      <c r="K441" s="10"/>
    </row>
    <row r="442" spans="1:11" x14ac:dyDescent="0.25">
      <c r="A442" s="14" t="s">
        <v>14545</v>
      </c>
      <c r="B442" s="8" t="s">
        <v>14546</v>
      </c>
      <c r="C442" s="7" t="s">
        <v>2501</v>
      </c>
      <c r="D442" s="9" t="s">
        <v>14293</v>
      </c>
      <c r="E442" s="7">
        <v>326</v>
      </c>
      <c r="F442" s="14" t="s">
        <v>14547</v>
      </c>
      <c r="G442" s="7" t="s">
        <v>757</v>
      </c>
      <c r="H442" s="7" t="s">
        <v>2486</v>
      </c>
      <c r="I442" s="8" t="s">
        <v>2486</v>
      </c>
      <c r="J442" s="14" t="s">
        <v>14545</v>
      </c>
      <c r="K442" s="10"/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14548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4" t="s">
        <v>921</v>
      </c>
      <c r="K443" s="10"/>
    </row>
    <row r="444" spans="1:11" x14ac:dyDescent="0.25">
      <c r="A444" s="14" t="s">
        <v>14549</v>
      </c>
      <c r="B444" s="8" t="s">
        <v>14550</v>
      </c>
      <c r="C444" s="7" t="s">
        <v>2501</v>
      </c>
      <c r="D444" s="9" t="s">
        <v>14551</v>
      </c>
      <c r="E444" s="7">
        <v>250</v>
      </c>
      <c r="F444" s="14" t="s">
        <v>14552</v>
      </c>
      <c r="G444" s="7" t="s">
        <v>757</v>
      </c>
      <c r="H444" s="7" t="s">
        <v>2486</v>
      </c>
      <c r="I444" s="8" t="s">
        <v>2486</v>
      </c>
      <c r="J444" s="14" t="s">
        <v>14549</v>
      </c>
      <c r="K444" s="10"/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4" t="s">
        <v>924</v>
      </c>
      <c r="K445" s="10"/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14553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4" t="s">
        <v>927</v>
      </c>
      <c r="K446" s="10"/>
    </row>
    <row r="447" spans="1:11" x14ac:dyDescent="0.25">
      <c r="A447" s="14" t="s">
        <v>14554</v>
      </c>
      <c r="B447" s="8" t="s">
        <v>14555</v>
      </c>
      <c r="C447" s="7" t="s">
        <v>2501</v>
      </c>
      <c r="D447" s="9" t="s">
        <v>14213</v>
      </c>
      <c r="E447" s="7">
        <v>250</v>
      </c>
      <c r="F447" s="14" t="s">
        <v>14556</v>
      </c>
      <c r="G447" s="7" t="s">
        <v>757</v>
      </c>
      <c r="H447" s="7" t="s">
        <v>2486</v>
      </c>
      <c r="I447" s="8" t="s">
        <v>2486</v>
      </c>
      <c r="J447" s="14" t="s">
        <v>14554</v>
      </c>
      <c r="K447" s="10"/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14122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4" t="s">
        <v>930</v>
      </c>
      <c r="K448" s="10"/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4" t="s">
        <v>3225</v>
      </c>
      <c r="K449" s="10"/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14557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4" t="s">
        <v>3228</v>
      </c>
      <c r="K450" s="10"/>
    </row>
    <row r="451" spans="1:11" x14ac:dyDescent="0.25">
      <c r="A451" s="14" t="s">
        <v>14558</v>
      </c>
      <c r="B451" s="8" t="s">
        <v>14559</v>
      </c>
      <c r="C451" s="7" t="s">
        <v>2501</v>
      </c>
      <c r="D451" s="9" t="s">
        <v>1054</v>
      </c>
      <c r="E451" s="7">
        <v>368</v>
      </c>
      <c r="F451" s="14" t="s">
        <v>14560</v>
      </c>
      <c r="G451" s="7" t="s">
        <v>757</v>
      </c>
      <c r="H451" s="7" t="s">
        <v>2486</v>
      </c>
      <c r="I451" s="8" t="s">
        <v>2486</v>
      </c>
      <c r="J451" s="14" t="s">
        <v>14558</v>
      </c>
      <c r="K451" s="10"/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14126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4" t="s">
        <v>3231</v>
      </c>
      <c r="K452" s="10"/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14530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4" t="s">
        <v>3234</v>
      </c>
      <c r="K453" s="10"/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14561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4" t="s">
        <v>1695</v>
      </c>
      <c r="K454" s="10"/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4" t="s">
        <v>1698</v>
      </c>
      <c r="K455" s="10"/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14562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4" t="s">
        <v>1701</v>
      </c>
      <c r="K456" s="10"/>
    </row>
    <row r="457" spans="1:11" x14ac:dyDescent="0.25">
      <c r="A457" s="14" t="s">
        <v>14563</v>
      </c>
      <c r="B457" s="8" t="s">
        <v>14564</v>
      </c>
      <c r="C457" s="7" t="s">
        <v>2501</v>
      </c>
      <c r="D457" s="9" t="s">
        <v>14562</v>
      </c>
      <c r="E457" s="7">
        <v>663</v>
      </c>
      <c r="F457" s="14" t="s">
        <v>14565</v>
      </c>
      <c r="G457" s="7" t="s">
        <v>757</v>
      </c>
      <c r="H457" s="7" t="s">
        <v>2486</v>
      </c>
      <c r="I457" s="8" t="s">
        <v>2486</v>
      </c>
      <c r="J457" s="14" t="s">
        <v>14563</v>
      </c>
      <c r="K457" s="10"/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14528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4" t="s">
        <v>1705</v>
      </c>
      <c r="K458" s="10"/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14168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4" t="s">
        <v>1708</v>
      </c>
      <c r="K459" s="10"/>
    </row>
    <row r="460" spans="1:11" x14ac:dyDescent="0.25">
      <c r="A460" s="14" t="s">
        <v>14566</v>
      </c>
      <c r="B460" s="8" t="s">
        <v>14567</v>
      </c>
      <c r="C460" s="7" t="s">
        <v>2501</v>
      </c>
      <c r="D460" s="9" t="s">
        <v>14568</v>
      </c>
      <c r="E460" s="7">
        <v>550</v>
      </c>
      <c r="F460" s="14" t="s">
        <v>14569</v>
      </c>
      <c r="G460" s="7" t="s">
        <v>757</v>
      </c>
      <c r="H460" s="7" t="s">
        <v>2486</v>
      </c>
      <c r="I460" s="8" t="s">
        <v>2486</v>
      </c>
      <c r="J460" s="14" t="s">
        <v>14566</v>
      </c>
      <c r="K460" s="10"/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14570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4" t="s">
        <v>1711</v>
      </c>
      <c r="K461" s="10"/>
    </row>
    <row r="462" spans="1:11" x14ac:dyDescent="0.25">
      <c r="A462" s="14" t="s">
        <v>14571</v>
      </c>
      <c r="B462" s="8" t="s">
        <v>14572</v>
      </c>
      <c r="C462" s="7" t="s">
        <v>2501</v>
      </c>
      <c r="D462" s="9" t="s">
        <v>14573</v>
      </c>
      <c r="E462" s="7">
        <v>1950</v>
      </c>
      <c r="F462" s="14" t="s">
        <v>14574</v>
      </c>
      <c r="G462" s="7" t="s">
        <v>757</v>
      </c>
      <c r="H462" s="7" t="s">
        <v>2486</v>
      </c>
      <c r="I462" s="8" t="s">
        <v>2486</v>
      </c>
      <c r="J462" s="14" t="s">
        <v>14571</v>
      </c>
      <c r="K462" s="10"/>
    </row>
    <row r="463" spans="1:11" x14ac:dyDescent="0.25">
      <c r="A463" s="14" t="s">
        <v>14575</v>
      </c>
      <c r="B463" s="8" t="s">
        <v>14576</v>
      </c>
      <c r="C463" s="7" t="s">
        <v>2501</v>
      </c>
      <c r="D463" s="9" t="s">
        <v>14524</v>
      </c>
      <c r="E463" s="7">
        <v>1441</v>
      </c>
      <c r="F463" s="14" t="s">
        <v>14577</v>
      </c>
      <c r="G463" s="7" t="s">
        <v>757</v>
      </c>
      <c r="H463" s="7" t="s">
        <v>2486</v>
      </c>
      <c r="I463" s="8" t="s">
        <v>2486</v>
      </c>
      <c r="J463" s="14" t="s">
        <v>14575</v>
      </c>
      <c r="K463" s="10"/>
    </row>
    <row r="464" spans="1:11" x14ac:dyDescent="0.25">
      <c r="A464" s="14" t="s">
        <v>14578</v>
      </c>
      <c r="B464" s="8" t="s">
        <v>14579</v>
      </c>
      <c r="C464" s="7" t="s">
        <v>2501</v>
      </c>
      <c r="D464" s="9" t="s">
        <v>4164</v>
      </c>
      <c r="E464" s="7">
        <v>151</v>
      </c>
      <c r="F464" s="14" t="s">
        <v>14580</v>
      </c>
      <c r="G464" s="7" t="s">
        <v>757</v>
      </c>
      <c r="H464" s="7" t="s">
        <v>2486</v>
      </c>
      <c r="I464" s="8" t="s">
        <v>2486</v>
      </c>
      <c r="J464" s="14" t="s">
        <v>14578</v>
      </c>
      <c r="K464" s="10"/>
    </row>
    <row r="465" spans="1:11" x14ac:dyDescent="0.25">
      <c r="A465" s="14" t="s">
        <v>14581</v>
      </c>
      <c r="B465" s="8" t="s">
        <v>14582</v>
      </c>
      <c r="C465" s="7" t="s">
        <v>2501</v>
      </c>
      <c r="D465" s="9" t="s">
        <v>4164</v>
      </c>
      <c r="E465" s="7">
        <v>151</v>
      </c>
      <c r="F465" s="14" t="s">
        <v>14583</v>
      </c>
      <c r="G465" s="7" t="s">
        <v>757</v>
      </c>
      <c r="H465" s="7" t="s">
        <v>2486</v>
      </c>
      <c r="I465" s="8" t="s">
        <v>2486</v>
      </c>
      <c r="J465" s="14" t="s">
        <v>14581</v>
      </c>
      <c r="K465" s="10"/>
    </row>
    <row r="466" spans="1:11" x14ac:dyDescent="0.25">
      <c r="A466" s="14" t="s">
        <v>14584</v>
      </c>
      <c r="B466" s="8" t="s">
        <v>14585</v>
      </c>
      <c r="C466" s="7" t="s">
        <v>2501</v>
      </c>
      <c r="D466" s="9" t="s">
        <v>14528</v>
      </c>
      <c r="E466" s="7">
        <v>1349</v>
      </c>
      <c r="F466" s="14" t="s">
        <v>14586</v>
      </c>
      <c r="G466" s="7" t="s">
        <v>757</v>
      </c>
      <c r="H466" s="7" t="s">
        <v>2486</v>
      </c>
      <c r="I466" s="8" t="s">
        <v>2486</v>
      </c>
      <c r="J466" s="14" t="s">
        <v>14584</v>
      </c>
      <c r="K466" s="10"/>
    </row>
    <row r="467" spans="1:11" x14ac:dyDescent="0.25">
      <c r="A467" s="14" t="s">
        <v>14587</v>
      </c>
      <c r="B467" s="8" t="s">
        <v>14588</v>
      </c>
      <c r="C467" s="7" t="s">
        <v>2501</v>
      </c>
      <c r="D467" s="9" t="s">
        <v>14589</v>
      </c>
      <c r="E467" s="7">
        <v>2000</v>
      </c>
      <c r="F467" s="14" t="s">
        <v>14590</v>
      </c>
      <c r="G467" s="7" t="s">
        <v>757</v>
      </c>
      <c r="H467" s="7" t="s">
        <v>2486</v>
      </c>
      <c r="I467" s="8" t="s">
        <v>2486</v>
      </c>
      <c r="J467" s="14" t="s">
        <v>14587</v>
      </c>
      <c r="K467" s="10"/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14591</v>
      </c>
      <c r="J468" s="14" t="s">
        <v>1609</v>
      </c>
      <c r="K468" s="10"/>
    </row>
    <row r="469" spans="1:11" x14ac:dyDescent="0.25">
      <c r="A469" s="14" t="s">
        <v>14592</v>
      </c>
      <c r="B469" s="8" t="s">
        <v>14593</v>
      </c>
      <c r="C469" s="7" t="s">
        <v>2501</v>
      </c>
      <c r="D469" s="9" t="s">
        <v>2822</v>
      </c>
      <c r="E469" s="7">
        <v>0</v>
      </c>
      <c r="F469" s="14" t="s">
        <v>14594</v>
      </c>
      <c r="G469" s="7" t="s">
        <v>14593</v>
      </c>
      <c r="H469" s="7" t="s">
        <v>1610</v>
      </c>
      <c r="I469" s="8" t="s">
        <v>14593</v>
      </c>
      <c r="J469" s="14" t="s">
        <v>14592</v>
      </c>
      <c r="K469" s="10"/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14290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4" t="s">
        <v>1613</v>
      </c>
      <c r="K470" s="10"/>
    </row>
    <row r="471" spans="1:11" x14ac:dyDescent="0.25">
      <c r="A471" s="14" t="s">
        <v>1616</v>
      </c>
      <c r="B471" s="8" t="s">
        <v>14595</v>
      </c>
      <c r="C471" s="7" t="s">
        <v>2501</v>
      </c>
      <c r="D471" s="9" t="s">
        <v>14596</v>
      </c>
      <c r="E471" s="7">
        <v>0</v>
      </c>
      <c r="F471" s="14" t="s">
        <v>1617</v>
      </c>
      <c r="G471" s="7" t="s">
        <v>14595</v>
      </c>
      <c r="H471" s="7" t="s">
        <v>1610</v>
      </c>
      <c r="I471" s="8" t="s">
        <v>1690</v>
      </c>
      <c r="J471" s="14" t="s">
        <v>1616</v>
      </c>
      <c r="K471" s="10"/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4" t="s">
        <v>1618</v>
      </c>
      <c r="K472" s="10"/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14136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14597</v>
      </c>
      <c r="J473" s="14" t="s">
        <v>1621</v>
      </c>
      <c r="K473" s="10"/>
    </row>
    <row r="474" spans="1:11" x14ac:dyDescent="0.25">
      <c r="A474" s="14" t="s">
        <v>14598</v>
      </c>
      <c r="B474" s="8" t="s">
        <v>14599</v>
      </c>
      <c r="C474" s="7" t="s">
        <v>2501</v>
      </c>
      <c r="D474" s="9" t="s">
        <v>14600</v>
      </c>
      <c r="E474" s="7">
        <v>0</v>
      </c>
      <c r="F474" s="14" t="s">
        <v>14601</v>
      </c>
      <c r="G474" s="7" t="s">
        <v>14599</v>
      </c>
      <c r="H474" s="7" t="s">
        <v>1610</v>
      </c>
      <c r="I474" s="8" t="s">
        <v>1677</v>
      </c>
      <c r="J474" s="14" t="s">
        <v>14598</v>
      </c>
      <c r="K474" s="10"/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14602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4" t="s">
        <v>1624</v>
      </c>
      <c r="K475" s="10"/>
    </row>
    <row r="476" spans="1:11" x14ac:dyDescent="0.25">
      <c r="A476" s="14" t="s">
        <v>14603</v>
      </c>
      <c r="B476" s="8" t="s">
        <v>14604</v>
      </c>
      <c r="C476" s="7" t="s">
        <v>2501</v>
      </c>
      <c r="D476" s="9" t="s">
        <v>14605</v>
      </c>
      <c r="E476" s="7">
        <v>0</v>
      </c>
      <c r="F476" s="14" t="s">
        <v>14606</v>
      </c>
      <c r="G476" s="7" t="s">
        <v>14604</v>
      </c>
      <c r="H476" s="7" t="s">
        <v>1610</v>
      </c>
      <c r="I476" s="8" t="s">
        <v>14604</v>
      </c>
      <c r="J476" s="14" t="s">
        <v>14603</v>
      </c>
      <c r="K476" s="10"/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14607</v>
      </c>
      <c r="J477" s="14" t="s">
        <v>1627</v>
      </c>
      <c r="K477" s="10"/>
    </row>
    <row r="478" spans="1:11" x14ac:dyDescent="0.25">
      <c r="A478" s="14" t="s">
        <v>14608</v>
      </c>
      <c r="B478" s="8" t="s">
        <v>14609</v>
      </c>
      <c r="C478" s="7" t="s">
        <v>2501</v>
      </c>
      <c r="D478" s="9" t="s">
        <v>14610</v>
      </c>
      <c r="E478" s="7">
        <v>0</v>
      </c>
      <c r="F478" s="14" t="s">
        <v>14611</v>
      </c>
      <c r="G478" s="7" t="s">
        <v>14609</v>
      </c>
      <c r="H478" s="7" t="s">
        <v>1610</v>
      </c>
      <c r="I478" s="8" t="s">
        <v>309</v>
      </c>
      <c r="J478" s="14" t="s">
        <v>14608</v>
      </c>
      <c r="K478" s="10"/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14612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4" t="s">
        <v>1631</v>
      </c>
      <c r="K479" s="10"/>
    </row>
    <row r="480" spans="1:11" x14ac:dyDescent="0.25">
      <c r="A480" s="14" t="s">
        <v>14613</v>
      </c>
      <c r="B480" s="8" t="s">
        <v>14614</v>
      </c>
      <c r="C480" s="7" t="s">
        <v>2501</v>
      </c>
      <c r="D480" s="9" t="s">
        <v>14136</v>
      </c>
      <c r="E480" s="7">
        <v>0</v>
      </c>
      <c r="F480" s="14" t="s">
        <v>14615</v>
      </c>
      <c r="G480" s="7" t="s">
        <v>14614</v>
      </c>
      <c r="H480" s="7" t="s">
        <v>1610</v>
      </c>
      <c r="I480" s="8" t="s">
        <v>1619</v>
      </c>
      <c r="J480" s="14" t="s">
        <v>14613</v>
      </c>
      <c r="K480" s="10"/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14597</v>
      </c>
      <c r="J481" s="14" t="s">
        <v>1634</v>
      </c>
      <c r="K481" s="10"/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14616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14617</v>
      </c>
      <c r="J482" s="14" t="s">
        <v>1638</v>
      </c>
      <c r="K482" s="10"/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14607</v>
      </c>
      <c r="J483" s="14" t="s">
        <v>1641</v>
      </c>
      <c r="K483" s="10"/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14618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4" t="s">
        <v>1644</v>
      </c>
      <c r="K484" s="10"/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14619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4" t="s">
        <v>1647</v>
      </c>
      <c r="K485" s="10"/>
    </row>
    <row r="486" spans="1:11" x14ac:dyDescent="0.25">
      <c r="A486" s="14" t="s">
        <v>14620</v>
      </c>
      <c r="B486" s="8" t="s">
        <v>14621</v>
      </c>
      <c r="C486" s="7" t="s">
        <v>2501</v>
      </c>
      <c r="D486" s="9" t="s">
        <v>14622</v>
      </c>
      <c r="E486" s="7">
        <v>0</v>
      </c>
      <c r="F486" s="14" t="s">
        <v>14623</v>
      </c>
      <c r="G486" s="7" t="s">
        <v>14624</v>
      </c>
      <c r="H486" s="7" t="s">
        <v>1610</v>
      </c>
      <c r="I486" s="8" t="s">
        <v>14607</v>
      </c>
      <c r="J486" s="14" t="s">
        <v>14620</v>
      </c>
      <c r="K486" s="10"/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14625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4" t="s">
        <v>1651</v>
      </c>
      <c r="K487" s="10"/>
    </row>
    <row r="488" spans="1:11" x14ac:dyDescent="0.25">
      <c r="A488" s="14" t="s">
        <v>14626</v>
      </c>
      <c r="B488" s="8" t="s">
        <v>14627</v>
      </c>
      <c r="C488" s="7" t="s">
        <v>2501</v>
      </c>
      <c r="D488" s="9" t="s">
        <v>14628</v>
      </c>
      <c r="E488" s="7">
        <v>0</v>
      </c>
      <c r="F488" s="14" t="s">
        <v>14629</v>
      </c>
      <c r="G488" s="7" t="s">
        <v>14627</v>
      </c>
      <c r="H488" s="7" t="s">
        <v>1610</v>
      </c>
      <c r="I488" s="8" t="s">
        <v>14597</v>
      </c>
      <c r="J488" s="14" t="s">
        <v>14626</v>
      </c>
      <c r="K488" s="10"/>
    </row>
    <row r="489" spans="1:11" x14ac:dyDescent="0.25">
      <c r="A489" s="14" t="s">
        <v>14630</v>
      </c>
      <c r="B489" s="8" t="s">
        <v>14631</v>
      </c>
      <c r="C489" s="7" t="s">
        <v>2501</v>
      </c>
      <c r="D489" s="9" t="s">
        <v>14632</v>
      </c>
      <c r="E489" s="7">
        <v>0</v>
      </c>
      <c r="F489" s="14" t="s">
        <v>14633</v>
      </c>
      <c r="G489" s="7" t="s">
        <v>14631</v>
      </c>
      <c r="H489" s="7" t="s">
        <v>1610</v>
      </c>
      <c r="I489" s="8" t="s">
        <v>1659</v>
      </c>
      <c r="J489" s="14" t="s">
        <v>14630</v>
      </c>
      <c r="K489" s="10"/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14634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14635</v>
      </c>
      <c r="J490" s="14" t="s">
        <v>1654</v>
      </c>
      <c r="K490" s="10"/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14636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4" t="s">
        <v>1658</v>
      </c>
      <c r="K491" s="10"/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14637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4" t="s">
        <v>1661</v>
      </c>
      <c r="K492" s="10"/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14638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4" t="s">
        <v>1664</v>
      </c>
      <c r="K493" s="10"/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4" t="s">
        <v>1667</v>
      </c>
      <c r="K494" s="10"/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14639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4" t="s">
        <v>1670</v>
      </c>
      <c r="K495" s="10"/>
    </row>
    <row r="496" spans="1:11" x14ac:dyDescent="0.25">
      <c r="A496" s="14" t="s">
        <v>14640</v>
      </c>
      <c r="B496" s="8" t="s">
        <v>1690</v>
      </c>
      <c r="C496" s="7" t="s">
        <v>2501</v>
      </c>
      <c r="D496" s="9" t="s">
        <v>14641</v>
      </c>
      <c r="E496" s="7">
        <v>50</v>
      </c>
      <c r="F496" s="14" t="s">
        <v>14642</v>
      </c>
      <c r="G496" s="7" t="s">
        <v>1690</v>
      </c>
      <c r="H496" s="7" t="s">
        <v>1610</v>
      </c>
      <c r="I496" s="8" t="s">
        <v>1677</v>
      </c>
      <c r="J496" s="14" t="s">
        <v>14640</v>
      </c>
      <c r="K496" s="10"/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14643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4" t="s">
        <v>1673</v>
      </c>
      <c r="K497" s="10"/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14370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4" t="s">
        <v>1676</v>
      </c>
      <c r="K498" s="10"/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4" t="s">
        <v>1679</v>
      </c>
      <c r="K499" s="10"/>
    </row>
    <row r="500" spans="1:11" x14ac:dyDescent="0.25">
      <c r="A500" s="14" t="s">
        <v>14644</v>
      </c>
      <c r="B500" s="8" t="s">
        <v>14645</v>
      </c>
      <c r="C500" s="7" t="s">
        <v>2501</v>
      </c>
      <c r="D500" s="9" t="s">
        <v>14646</v>
      </c>
      <c r="E500" s="7">
        <v>100</v>
      </c>
      <c r="F500" s="14" t="s">
        <v>14647</v>
      </c>
      <c r="G500" s="7" t="s">
        <v>1612</v>
      </c>
      <c r="H500" s="7" t="s">
        <v>1610</v>
      </c>
      <c r="I500" s="8" t="s">
        <v>14591</v>
      </c>
      <c r="J500" s="14" t="s">
        <v>14644</v>
      </c>
      <c r="K500" s="10"/>
    </row>
    <row r="501" spans="1:11" x14ac:dyDescent="0.25">
      <c r="A501" s="14" t="s">
        <v>14648</v>
      </c>
      <c r="B501" s="8" t="s">
        <v>14649</v>
      </c>
      <c r="C501" s="7" t="s">
        <v>2501</v>
      </c>
      <c r="D501" s="9" t="s">
        <v>14650</v>
      </c>
      <c r="E501" s="7">
        <v>1500</v>
      </c>
      <c r="F501" s="14" t="s">
        <v>14651</v>
      </c>
      <c r="G501" s="7" t="s">
        <v>1612</v>
      </c>
      <c r="H501" s="7" t="s">
        <v>1610</v>
      </c>
      <c r="I501" s="8" t="s">
        <v>14591</v>
      </c>
      <c r="J501" s="14" t="s">
        <v>14648</v>
      </c>
      <c r="K501" s="10"/>
    </row>
    <row r="502" spans="1:11" x14ac:dyDescent="0.25">
      <c r="A502" s="14" t="s">
        <v>14652</v>
      </c>
      <c r="B502" s="8" t="s">
        <v>14653</v>
      </c>
      <c r="C502" s="7" t="s">
        <v>2501</v>
      </c>
      <c r="D502" s="9" t="s">
        <v>14622</v>
      </c>
      <c r="E502" s="7">
        <v>0</v>
      </c>
      <c r="F502" s="14" t="s">
        <v>14654</v>
      </c>
      <c r="G502" s="7" t="s">
        <v>14655</v>
      </c>
      <c r="H502" s="7" t="s">
        <v>1610</v>
      </c>
      <c r="I502" s="8" t="s">
        <v>14597</v>
      </c>
      <c r="J502" s="14" t="s">
        <v>14652</v>
      </c>
      <c r="K502" s="10"/>
    </row>
    <row r="503" spans="1:11" x14ac:dyDescent="0.25">
      <c r="A503" s="14" t="s">
        <v>14656</v>
      </c>
      <c r="B503" s="8" t="s">
        <v>14657</v>
      </c>
      <c r="C503" s="7" t="s">
        <v>2501</v>
      </c>
      <c r="D503" s="9" t="s">
        <v>1223</v>
      </c>
      <c r="E503" s="7">
        <v>0</v>
      </c>
      <c r="F503" s="14" t="s">
        <v>14658</v>
      </c>
      <c r="G503" s="7" t="s">
        <v>14659</v>
      </c>
      <c r="H503" s="7" t="s">
        <v>1610</v>
      </c>
      <c r="I503" s="8" t="s">
        <v>14659</v>
      </c>
      <c r="J503" s="14" t="s">
        <v>14656</v>
      </c>
      <c r="K503" s="10"/>
    </row>
    <row r="504" spans="1:11" x14ac:dyDescent="0.25">
      <c r="A504" s="14" t="s">
        <v>14660</v>
      </c>
      <c r="B504" s="8" t="s">
        <v>14661</v>
      </c>
      <c r="C504" s="7" t="s">
        <v>2501</v>
      </c>
      <c r="D504" s="9" t="s">
        <v>14662</v>
      </c>
      <c r="E504" s="7">
        <v>0</v>
      </c>
      <c r="F504" s="14" t="s">
        <v>14663</v>
      </c>
      <c r="G504" s="7" t="s">
        <v>14661</v>
      </c>
      <c r="H504" s="7" t="s">
        <v>1610</v>
      </c>
      <c r="I504" s="8" t="s">
        <v>1659</v>
      </c>
      <c r="J504" s="14" t="s">
        <v>14660</v>
      </c>
      <c r="K504" s="10"/>
    </row>
    <row r="505" spans="1:11" x14ac:dyDescent="0.25">
      <c r="A505" s="14" t="s">
        <v>14664</v>
      </c>
      <c r="B505" s="8" t="s">
        <v>14665</v>
      </c>
      <c r="C505" s="7" t="s">
        <v>2501</v>
      </c>
      <c r="D505" s="9" t="s">
        <v>14665</v>
      </c>
      <c r="E505" s="7">
        <v>0</v>
      </c>
      <c r="F505" s="14" t="s">
        <v>14666</v>
      </c>
      <c r="G505" s="7" t="s">
        <v>14665</v>
      </c>
      <c r="H505" s="7" t="s">
        <v>1610</v>
      </c>
      <c r="I505" s="8" t="s">
        <v>1619</v>
      </c>
      <c r="J505" s="14" t="s">
        <v>14664</v>
      </c>
      <c r="K505" s="10"/>
    </row>
    <row r="506" spans="1:11" x14ac:dyDescent="0.25">
      <c r="A506" s="14" t="s">
        <v>14667</v>
      </c>
      <c r="B506" s="8" t="s">
        <v>3635</v>
      </c>
      <c r="C506" s="7" t="s">
        <v>2501</v>
      </c>
      <c r="D506" s="9" t="s">
        <v>14662</v>
      </c>
      <c r="E506" s="7">
        <v>0</v>
      </c>
      <c r="F506" s="14" t="s">
        <v>14668</v>
      </c>
      <c r="G506" s="7" t="s">
        <v>3635</v>
      </c>
      <c r="H506" s="7" t="s">
        <v>1610</v>
      </c>
      <c r="I506" s="8" t="s">
        <v>1619</v>
      </c>
      <c r="J506" s="14" t="s">
        <v>14667</v>
      </c>
      <c r="K506" s="10"/>
    </row>
    <row r="507" spans="1:11" x14ac:dyDescent="0.25">
      <c r="A507" s="14" t="s">
        <v>14669</v>
      </c>
      <c r="B507" s="8" t="s">
        <v>14670</v>
      </c>
      <c r="C507" s="7" t="s">
        <v>2501</v>
      </c>
      <c r="D507" s="9" t="s">
        <v>14662</v>
      </c>
      <c r="E507" s="7">
        <v>0</v>
      </c>
      <c r="F507" s="14" t="s">
        <v>14671</v>
      </c>
      <c r="G507" s="7" t="s">
        <v>14670</v>
      </c>
      <c r="H507" s="7" t="s">
        <v>1610</v>
      </c>
      <c r="I507" s="8" t="s">
        <v>1619</v>
      </c>
      <c r="J507" s="14" t="s">
        <v>14669</v>
      </c>
      <c r="K507" s="10"/>
    </row>
    <row r="508" spans="1:11" x14ac:dyDescent="0.25">
      <c r="A508" s="14" t="s">
        <v>14672</v>
      </c>
      <c r="B508" s="8" t="s">
        <v>14673</v>
      </c>
      <c r="C508" s="7" t="s">
        <v>2501</v>
      </c>
      <c r="D508" s="9" t="s">
        <v>14662</v>
      </c>
      <c r="E508" s="7">
        <v>0</v>
      </c>
      <c r="F508" s="14" t="s">
        <v>14674</v>
      </c>
      <c r="G508" s="7" t="s">
        <v>14673</v>
      </c>
      <c r="H508" s="7" t="s">
        <v>1610</v>
      </c>
      <c r="I508" s="8" t="s">
        <v>14617</v>
      </c>
      <c r="J508" s="14" t="s">
        <v>14672</v>
      </c>
      <c r="K508" s="10"/>
    </row>
    <row r="509" spans="1:11" x14ac:dyDescent="0.25">
      <c r="A509" s="14" t="s">
        <v>14675</v>
      </c>
      <c r="B509" s="8" t="s">
        <v>14676</v>
      </c>
      <c r="C509" s="7" t="s">
        <v>2501</v>
      </c>
      <c r="D509" s="9" t="s">
        <v>14662</v>
      </c>
      <c r="E509" s="7">
        <v>0</v>
      </c>
      <c r="F509" s="14" t="s">
        <v>14677</v>
      </c>
      <c r="G509" s="7" t="s">
        <v>14676</v>
      </c>
      <c r="H509" s="7" t="s">
        <v>1610</v>
      </c>
      <c r="I509" s="8" t="s">
        <v>1680</v>
      </c>
      <c r="J509" s="14" t="s">
        <v>14675</v>
      </c>
      <c r="K509" s="10"/>
    </row>
    <row r="510" spans="1:11" x14ac:dyDescent="0.25">
      <c r="A510" s="14" t="s">
        <v>14678</v>
      </c>
      <c r="B510" s="8" t="s">
        <v>14679</v>
      </c>
      <c r="C510" s="7" t="s">
        <v>2501</v>
      </c>
      <c r="D510" s="9" t="s">
        <v>14662</v>
      </c>
      <c r="E510" s="7">
        <v>0</v>
      </c>
      <c r="F510" s="14" t="s">
        <v>14680</v>
      </c>
      <c r="G510" s="7" t="s">
        <v>14679</v>
      </c>
      <c r="H510" s="7" t="s">
        <v>1610</v>
      </c>
      <c r="I510" s="8" t="s">
        <v>1619</v>
      </c>
      <c r="J510" s="14" t="s">
        <v>14678</v>
      </c>
      <c r="K510" s="10"/>
    </row>
    <row r="511" spans="1:11" x14ac:dyDescent="0.25">
      <c r="A511" s="14" t="s">
        <v>14681</v>
      </c>
      <c r="B511" s="8" t="s">
        <v>14682</v>
      </c>
      <c r="C511" s="7" t="s">
        <v>2501</v>
      </c>
      <c r="D511" s="9" t="s">
        <v>14683</v>
      </c>
      <c r="E511" s="7">
        <v>0</v>
      </c>
      <c r="F511" s="14" t="s">
        <v>14684</v>
      </c>
      <c r="G511" s="7" t="s">
        <v>14682</v>
      </c>
      <c r="H511" s="7" t="s">
        <v>1610</v>
      </c>
      <c r="I511" s="8" t="s">
        <v>1677</v>
      </c>
      <c r="J511" s="14" t="s">
        <v>14681</v>
      </c>
      <c r="K511" s="10"/>
    </row>
    <row r="512" spans="1:11" x14ac:dyDescent="0.25">
      <c r="A512" s="14" t="s">
        <v>14685</v>
      </c>
      <c r="B512" s="8" t="s">
        <v>14686</v>
      </c>
      <c r="C512" s="7" t="s">
        <v>2501</v>
      </c>
      <c r="D512" s="9" t="s">
        <v>14687</v>
      </c>
      <c r="E512" s="7">
        <v>10</v>
      </c>
      <c r="F512" s="14" t="s">
        <v>14688</v>
      </c>
      <c r="G512" s="7" t="s">
        <v>14689</v>
      </c>
      <c r="H512" s="7" t="s">
        <v>1610</v>
      </c>
      <c r="I512" s="8" t="s">
        <v>1619</v>
      </c>
      <c r="J512" s="14" t="s">
        <v>14685</v>
      </c>
      <c r="K512" s="10"/>
    </row>
    <row r="513" spans="1:11" x14ac:dyDescent="0.25">
      <c r="A513" s="14" t="s">
        <v>14690</v>
      </c>
      <c r="B513" s="8" t="s">
        <v>14691</v>
      </c>
      <c r="C513" s="7" t="s">
        <v>2501</v>
      </c>
      <c r="D513" s="9" t="s">
        <v>14662</v>
      </c>
      <c r="E513" s="7">
        <v>0</v>
      </c>
      <c r="F513" s="14" t="s">
        <v>14692</v>
      </c>
      <c r="G513" s="7" t="s">
        <v>14691</v>
      </c>
      <c r="H513" s="7" t="s">
        <v>1610</v>
      </c>
      <c r="I513" s="8" t="s">
        <v>1671</v>
      </c>
      <c r="J513" s="14" t="s">
        <v>14690</v>
      </c>
      <c r="K513" s="10"/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4" t="s">
        <v>1684</v>
      </c>
      <c r="K514" s="10"/>
    </row>
    <row r="515" spans="1:11" x14ac:dyDescent="0.25">
      <c r="A515" s="14" t="s">
        <v>1687</v>
      </c>
      <c r="B515" s="8" t="s">
        <v>14693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14693</v>
      </c>
      <c r="H515" s="7" t="s">
        <v>1610</v>
      </c>
      <c r="I515" s="8" t="s">
        <v>309</v>
      </c>
      <c r="J515" s="14" t="s">
        <v>1687</v>
      </c>
      <c r="K515" s="10"/>
    </row>
    <row r="516" spans="1:11" x14ac:dyDescent="0.25">
      <c r="A516" s="14" t="s">
        <v>14694</v>
      </c>
      <c r="B516" s="8" t="s">
        <v>14695</v>
      </c>
      <c r="C516" s="7" t="s">
        <v>2501</v>
      </c>
      <c r="D516" s="9" t="s">
        <v>3941</v>
      </c>
      <c r="E516" s="7">
        <v>881</v>
      </c>
      <c r="F516" s="14" t="s">
        <v>14696</v>
      </c>
      <c r="G516" s="7" t="s">
        <v>1612</v>
      </c>
      <c r="H516" s="7" t="s">
        <v>1610</v>
      </c>
      <c r="I516" s="8" t="s">
        <v>14591</v>
      </c>
      <c r="J516" s="14" t="s">
        <v>14694</v>
      </c>
      <c r="K516" s="10"/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14697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4" t="s">
        <v>2882</v>
      </c>
      <c r="K517" s="10"/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14698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4" t="s">
        <v>2886</v>
      </c>
      <c r="K518" s="10"/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4" t="s">
        <v>2889</v>
      </c>
      <c r="K519" s="10"/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4" t="s">
        <v>2892</v>
      </c>
      <c r="K520" s="10"/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4" t="s">
        <v>2896</v>
      </c>
      <c r="K521" s="10"/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14699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4" t="s">
        <v>2899</v>
      </c>
      <c r="K522" s="10"/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14700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14701</v>
      </c>
      <c r="J523" s="14" t="s">
        <v>2902</v>
      </c>
      <c r="K523" s="10"/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14702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14701</v>
      </c>
      <c r="J524" s="14" t="s">
        <v>2905</v>
      </c>
      <c r="K524" s="10"/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4" t="s">
        <v>2908</v>
      </c>
      <c r="K525" s="10"/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14297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4" t="s">
        <v>2912</v>
      </c>
      <c r="K526" s="10"/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14703</v>
      </c>
      <c r="J527" s="14" t="s">
        <v>2915</v>
      </c>
      <c r="K527" s="10"/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14704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4" t="s">
        <v>2919</v>
      </c>
      <c r="K528" s="10"/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14705</v>
      </c>
      <c r="J529" s="14" t="s">
        <v>2922</v>
      </c>
      <c r="K529" s="10"/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14290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4" t="s">
        <v>2926</v>
      </c>
      <c r="K530" s="10"/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4" t="s">
        <v>2930</v>
      </c>
      <c r="K531" s="10"/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14122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4" t="s">
        <v>2934</v>
      </c>
      <c r="K532" s="10"/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14706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4" t="s">
        <v>2937</v>
      </c>
      <c r="K533" s="10"/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14707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4" t="s">
        <v>2941</v>
      </c>
      <c r="K534" s="10"/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14708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14709</v>
      </c>
      <c r="J535" s="14" t="s">
        <v>584</v>
      </c>
      <c r="K535" s="10"/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14285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14709</v>
      </c>
      <c r="J536" s="14" t="s">
        <v>587</v>
      </c>
      <c r="K536" s="10"/>
    </row>
    <row r="537" spans="1:11" x14ac:dyDescent="0.25">
      <c r="A537" s="14" t="s">
        <v>590</v>
      </c>
      <c r="B537" s="8" t="s">
        <v>14710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14710</v>
      </c>
      <c r="H537" s="7" t="s">
        <v>2885</v>
      </c>
      <c r="I537" s="8" t="s">
        <v>208</v>
      </c>
      <c r="J537" s="14" t="s">
        <v>590</v>
      </c>
      <c r="K537" s="10"/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14711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4" t="s">
        <v>592</v>
      </c>
      <c r="K538" s="10"/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14292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4" t="s">
        <v>595</v>
      </c>
      <c r="K539" s="10"/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4" t="s">
        <v>598</v>
      </c>
      <c r="K540" s="10"/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14709</v>
      </c>
      <c r="J541" s="14" t="s">
        <v>2943</v>
      </c>
      <c r="K541" s="10"/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14213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4" t="s">
        <v>2946</v>
      </c>
      <c r="K542" s="10"/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14712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14705</v>
      </c>
      <c r="J543" s="14" t="s">
        <v>2949</v>
      </c>
      <c r="K543" s="10"/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14213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4" t="s">
        <v>621</v>
      </c>
      <c r="K544" s="10"/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14246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4" t="s">
        <v>624</v>
      </c>
      <c r="K545" s="10"/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14132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14705</v>
      </c>
      <c r="J546" s="14" t="s">
        <v>628</v>
      </c>
      <c r="K546" s="10"/>
    </row>
    <row r="547" spans="1:11" x14ac:dyDescent="0.25">
      <c r="A547" s="14" t="s">
        <v>632</v>
      </c>
      <c r="B547" s="8" t="s">
        <v>14713</v>
      </c>
      <c r="C547" s="7" t="s">
        <v>2501</v>
      </c>
      <c r="D547" s="9" t="s">
        <v>14175</v>
      </c>
      <c r="E547" s="7">
        <v>601</v>
      </c>
      <c r="F547" s="14" t="s">
        <v>1377</v>
      </c>
      <c r="G547" s="7" t="s">
        <v>14714</v>
      </c>
      <c r="H547" s="7" t="s">
        <v>2885</v>
      </c>
      <c r="I547" s="8" t="s">
        <v>14715</v>
      </c>
      <c r="J547" s="14" t="s">
        <v>632</v>
      </c>
      <c r="K547" s="10"/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4" t="s">
        <v>2951</v>
      </c>
      <c r="K548" s="10"/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14716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4" t="s">
        <v>2954</v>
      </c>
      <c r="K549" s="10"/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4" t="s">
        <v>2957</v>
      </c>
      <c r="K550" s="10"/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14717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4" t="s">
        <v>2960</v>
      </c>
      <c r="K551" s="10"/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14718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14719</v>
      </c>
      <c r="J552" s="14" t="s">
        <v>2963</v>
      </c>
      <c r="K552" s="10"/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14382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4" t="s">
        <v>2966</v>
      </c>
      <c r="K553" s="10"/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4" t="s">
        <v>2969</v>
      </c>
      <c r="K554" s="10"/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14703</v>
      </c>
      <c r="J555" s="14" t="s">
        <v>2972</v>
      </c>
      <c r="K555" s="10"/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14720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4" t="s">
        <v>2975</v>
      </c>
      <c r="K556" s="10"/>
    </row>
    <row r="557" spans="1:11" x14ac:dyDescent="0.25">
      <c r="A557" s="14" t="s">
        <v>14721</v>
      </c>
      <c r="B557" s="8" t="s">
        <v>14722</v>
      </c>
      <c r="C557" s="7" t="s">
        <v>2501</v>
      </c>
      <c r="D557" s="9" t="s">
        <v>14723</v>
      </c>
      <c r="E557" s="7">
        <v>0</v>
      </c>
      <c r="F557" s="14" t="s">
        <v>14724</v>
      </c>
      <c r="G557" s="7" t="s">
        <v>14722</v>
      </c>
      <c r="H557" s="7" t="s">
        <v>2885</v>
      </c>
      <c r="I557" s="8" t="s">
        <v>14725</v>
      </c>
      <c r="J557" s="14" t="s">
        <v>14721</v>
      </c>
      <c r="K557" s="10"/>
    </row>
    <row r="558" spans="1:11" x14ac:dyDescent="0.25">
      <c r="A558" s="14" t="s">
        <v>14726</v>
      </c>
      <c r="B558" s="8" t="s">
        <v>14727</v>
      </c>
      <c r="C558" s="7" t="s">
        <v>2501</v>
      </c>
      <c r="D558" s="9" t="s">
        <v>14723</v>
      </c>
      <c r="E558" s="7">
        <v>0</v>
      </c>
      <c r="F558" s="14" t="s">
        <v>14728</v>
      </c>
      <c r="G558" s="7" t="s">
        <v>14727</v>
      </c>
      <c r="H558" s="7" t="s">
        <v>2885</v>
      </c>
      <c r="I558" s="8" t="s">
        <v>3632</v>
      </c>
      <c r="J558" s="14" t="s">
        <v>14726</v>
      </c>
      <c r="K558" s="10"/>
    </row>
    <row r="559" spans="1:11" x14ac:dyDescent="0.25">
      <c r="A559" s="14" t="s">
        <v>14729</v>
      </c>
      <c r="B559" s="8" t="s">
        <v>14730</v>
      </c>
      <c r="C559" s="7" t="s">
        <v>2501</v>
      </c>
      <c r="D559" s="9" t="s">
        <v>14723</v>
      </c>
      <c r="E559" s="7">
        <v>0</v>
      </c>
      <c r="F559" s="14" t="s">
        <v>14731</v>
      </c>
      <c r="G559" s="7" t="s">
        <v>14730</v>
      </c>
      <c r="H559" s="7" t="s">
        <v>2885</v>
      </c>
      <c r="I559" s="8" t="s">
        <v>170</v>
      </c>
      <c r="J559" s="14" t="s">
        <v>14729</v>
      </c>
      <c r="K559" s="10"/>
    </row>
    <row r="560" spans="1:11" x14ac:dyDescent="0.25">
      <c r="A560" s="14" t="s">
        <v>14732</v>
      </c>
      <c r="B560" s="8" t="s">
        <v>14733</v>
      </c>
      <c r="C560" s="7" t="s">
        <v>2501</v>
      </c>
      <c r="D560" s="9" t="s">
        <v>14734</v>
      </c>
      <c r="E560" s="7">
        <v>0</v>
      </c>
      <c r="F560" s="14" t="s">
        <v>14735</v>
      </c>
      <c r="G560" s="7" t="s">
        <v>14733</v>
      </c>
      <c r="H560" s="7" t="s">
        <v>2885</v>
      </c>
      <c r="I560" s="8" t="s">
        <v>859</v>
      </c>
      <c r="J560" s="14" t="s">
        <v>14732</v>
      </c>
      <c r="K560" s="10"/>
    </row>
    <row r="561" spans="1:11" x14ac:dyDescent="0.25">
      <c r="A561" s="14" t="s">
        <v>14736</v>
      </c>
      <c r="B561" s="8" t="s">
        <v>14737</v>
      </c>
      <c r="C561" s="7" t="s">
        <v>2501</v>
      </c>
      <c r="D561" s="9" t="s">
        <v>14738</v>
      </c>
      <c r="E561" s="7">
        <v>100</v>
      </c>
      <c r="F561" s="14" t="s">
        <v>14739</v>
      </c>
      <c r="G561" s="7" t="s">
        <v>14737</v>
      </c>
      <c r="H561" s="7" t="s">
        <v>2885</v>
      </c>
      <c r="I561" s="8" t="s">
        <v>4259</v>
      </c>
      <c r="J561" s="14" t="s">
        <v>14736</v>
      </c>
      <c r="K561" s="10"/>
    </row>
    <row r="562" spans="1:11" x14ac:dyDescent="0.25">
      <c r="A562" s="14" t="s">
        <v>14740</v>
      </c>
      <c r="B562" s="8" t="s">
        <v>14741</v>
      </c>
      <c r="C562" s="7" t="s">
        <v>2501</v>
      </c>
      <c r="D562" s="9" t="s">
        <v>14742</v>
      </c>
      <c r="E562" s="7">
        <v>0</v>
      </c>
      <c r="F562" s="14" t="s">
        <v>14743</v>
      </c>
      <c r="G562" s="7" t="s">
        <v>14741</v>
      </c>
      <c r="H562" s="7" t="s">
        <v>2885</v>
      </c>
      <c r="I562" s="8" t="s">
        <v>2452</v>
      </c>
      <c r="J562" s="14" t="s">
        <v>14740</v>
      </c>
      <c r="K562" s="10"/>
    </row>
    <row r="563" spans="1:11" x14ac:dyDescent="0.25">
      <c r="A563" s="14" t="s">
        <v>14744</v>
      </c>
      <c r="B563" s="8" t="s">
        <v>14745</v>
      </c>
      <c r="C563" s="7" t="s">
        <v>2501</v>
      </c>
      <c r="D563" s="9" t="s">
        <v>14723</v>
      </c>
      <c r="E563" s="7">
        <v>0</v>
      </c>
      <c r="F563" s="14" t="s">
        <v>14746</v>
      </c>
      <c r="G563" s="7" t="s">
        <v>14745</v>
      </c>
      <c r="H563" s="7" t="s">
        <v>2885</v>
      </c>
      <c r="I563" s="8" t="s">
        <v>14705</v>
      </c>
      <c r="J563" s="14" t="s">
        <v>14744</v>
      </c>
      <c r="K563" s="10"/>
    </row>
    <row r="564" spans="1:11" x14ac:dyDescent="0.25">
      <c r="A564" s="14" t="s">
        <v>14747</v>
      </c>
      <c r="B564" s="8" t="s">
        <v>14748</v>
      </c>
      <c r="C564" s="7" t="s">
        <v>2501</v>
      </c>
      <c r="D564" s="9" t="s">
        <v>1253</v>
      </c>
      <c r="E564" s="7">
        <v>0</v>
      </c>
      <c r="F564" s="14" t="s">
        <v>14749</v>
      </c>
      <c r="G564" s="7" t="s">
        <v>14750</v>
      </c>
      <c r="H564" s="7" t="s">
        <v>2885</v>
      </c>
      <c r="I564" s="8" t="s">
        <v>2544</v>
      </c>
      <c r="J564" s="14" t="s">
        <v>14747</v>
      </c>
      <c r="K564" s="10"/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14751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4" t="s">
        <v>2978</v>
      </c>
      <c r="K565" s="10"/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14752</v>
      </c>
      <c r="J566" s="14" t="s">
        <v>464</v>
      </c>
      <c r="K566" s="10"/>
    </row>
    <row r="567" spans="1:11" x14ac:dyDescent="0.25">
      <c r="A567" s="14" t="s">
        <v>468</v>
      </c>
      <c r="B567" s="8" t="s">
        <v>14753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14752</v>
      </c>
      <c r="J567" s="14" t="s">
        <v>468</v>
      </c>
      <c r="K567" s="10"/>
    </row>
    <row r="568" spans="1:11" x14ac:dyDescent="0.25">
      <c r="A568" s="14" t="s">
        <v>470</v>
      </c>
      <c r="B568" s="8" t="s">
        <v>14754</v>
      </c>
      <c r="C568" s="7" t="s">
        <v>2501</v>
      </c>
      <c r="D568" s="9" t="s">
        <v>14755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14752</v>
      </c>
      <c r="J568" s="14" t="s">
        <v>470</v>
      </c>
      <c r="K568" s="10"/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14756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14757</v>
      </c>
      <c r="J569" s="14" t="s">
        <v>472</v>
      </c>
      <c r="K569" s="10"/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14370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14757</v>
      </c>
      <c r="J570" s="14" t="s">
        <v>475</v>
      </c>
      <c r="K570" s="10"/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14139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4" t="s">
        <v>478</v>
      </c>
      <c r="K571" s="10"/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14758</v>
      </c>
      <c r="J572" s="14" t="s">
        <v>481</v>
      </c>
      <c r="K572" s="10"/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14229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14759</v>
      </c>
      <c r="J573" s="14" t="s">
        <v>484</v>
      </c>
      <c r="K573" s="10"/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14175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14759</v>
      </c>
      <c r="J574" s="14" t="s">
        <v>487</v>
      </c>
      <c r="K574" s="10"/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14760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14752</v>
      </c>
      <c r="J575" s="14" t="s">
        <v>490</v>
      </c>
      <c r="K575" s="10"/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14757</v>
      </c>
      <c r="J576" s="14" t="s">
        <v>493</v>
      </c>
      <c r="K576" s="10"/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14761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14759</v>
      </c>
      <c r="J577" s="14" t="s">
        <v>496</v>
      </c>
      <c r="K577" s="10"/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14762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4" t="s">
        <v>499</v>
      </c>
      <c r="K578" s="10"/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14297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14758</v>
      </c>
      <c r="J579" s="14" t="s">
        <v>501</v>
      </c>
      <c r="K579" s="10"/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14293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4" t="s">
        <v>504</v>
      </c>
      <c r="K580" s="10"/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14763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14764</v>
      </c>
      <c r="J581" s="14" t="s">
        <v>507</v>
      </c>
      <c r="K581" s="10"/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14765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4" t="s">
        <v>510</v>
      </c>
      <c r="K582" s="10"/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14132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14764</v>
      </c>
      <c r="J583" s="14" t="s">
        <v>2113</v>
      </c>
      <c r="K583" s="10"/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14766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14764</v>
      </c>
      <c r="J584" s="14" t="s">
        <v>2116</v>
      </c>
      <c r="K584" s="10"/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14767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14758</v>
      </c>
      <c r="J585" s="14" t="s">
        <v>529</v>
      </c>
      <c r="K585" s="10"/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14768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4" t="s">
        <v>532</v>
      </c>
      <c r="K586" s="10"/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14769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4" t="s">
        <v>535</v>
      </c>
      <c r="K587" s="10"/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14770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14771</v>
      </c>
      <c r="J588" s="14" t="s">
        <v>538</v>
      </c>
      <c r="K588" s="10"/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14764</v>
      </c>
      <c r="J589" s="14" t="s">
        <v>541</v>
      </c>
      <c r="K589" s="10"/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14772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4" t="s">
        <v>545</v>
      </c>
      <c r="K590" s="10"/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14132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14773</v>
      </c>
      <c r="J591" s="14" t="s">
        <v>547</v>
      </c>
      <c r="K591" s="10"/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4" t="s">
        <v>550</v>
      </c>
      <c r="K592" s="10"/>
    </row>
    <row r="593" spans="1:11" x14ac:dyDescent="0.25">
      <c r="A593" s="14" t="s">
        <v>14774</v>
      </c>
      <c r="B593" s="8" t="s">
        <v>14775</v>
      </c>
      <c r="C593" s="7" t="s">
        <v>2501</v>
      </c>
      <c r="D593" s="9" t="s">
        <v>14776</v>
      </c>
      <c r="E593" s="7">
        <v>0</v>
      </c>
      <c r="F593" s="14" t="s">
        <v>14777</v>
      </c>
      <c r="G593" s="7" t="s">
        <v>14775</v>
      </c>
      <c r="H593" s="7" t="s">
        <v>467</v>
      </c>
      <c r="I593" s="8" t="s">
        <v>14764</v>
      </c>
      <c r="J593" s="14" t="s">
        <v>14774</v>
      </c>
      <c r="K593" s="10"/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14778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14591</v>
      </c>
      <c r="J594" s="14" t="s">
        <v>642</v>
      </c>
      <c r="K594" s="10"/>
    </row>
    <row r="595" spans="1:11" x14ac:dyDescent="0.25">
      <c r="A595" s="14" t="s">
        <v>644</v>
      </c>
      <c r="B595" s="8" t="s">
        <v>14779</v>
      </c>
      <c r="C595" s="7" t="s">
        <v>2501</v>
      </c>
      <c r="D595" s="9" t="s">
        <v>14780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14591</v>
      </c>
      <c r="J595" s="14" t="s">
        <v>644</v>
      </c>
      <c r="K595" s="10"/>
    </row>
    <row r="596" spans="1:11" x14ac:dyDescent="0.25">
      <c r="A596" s="14" t="s">
        <v>646</v>
      </c>
      <c r="B596" s="8" t="s">
        <v>14781</v>
      </c>
      <c r="C596" s="7" t="s">
        <v>2501</v>
      </c>
      <c r="D596" s="9" t="s">
        <v>14778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14591</v>
      </c>
      <c r="J596" s="14" t="s">
        <v>646</v>
      </c>
      <c r="K596" s="10"/>
    </row>
    <row r="597" spans="1:11" x14ac:dyDescent="0.25">
      <c r="A597" s="14" t="s">
        <v>648</v>
      </c>
      <c r="B597" s="8" t="s">
        <v>14782</v>
      </c>
      <c r="C597" s="7" t="s">
        <v>2501</v>
      </c>
      <c r="D597" s="9" t="s">
        <v>14783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14591</v>
      </c>
      <c r="J597" s="14" t="s">
        <v>648</v>
      </c>
      <c r="K597" s="10"/>
    </row>
    <row r="598" spans="1:11" x14ac:dyDescent="0.25">
      <c r="A598" s="14" t="s">
        <v>650</v>
      </c>
      <c r="B598" s="8" t="s">
        <v>14784</v>
      </c>
      <c r="C598" s="7" t="s">
        <v>2501</v>
      </c>
      <c r="D598" s="9" t="s">
        <v>14785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14591</v>
      </c>
      <c r="J598" s="14" t="s">
        <v>650</v>
      </c>
      <c r="K598" s="10"/>
    </row>
    <row r="599" spans="1:11" x14ac:dyDescent="0.25">
      <c r="A599" s="14" t="s">
        <v>652</v>
      </c>
      <c r="B599" s="8" t="s">
        <v>14786</v>
      </c>
      <c r="C599" s="7" t="s">
        <v>2501</v>
      </c>
      <c r="D599" s="9" t="s">
        <v>14787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14591</v>
      </c>
      <c r="J599" s="14" t="s">
        <v>652</v>
      </c>
      <c r="K599" s="10"/>
    </row>
    <row r="600" spans="1:11" x14ac:dyDescent="0.25">
      <c r="A600" s="14" t="s">
        <v>654</v>
      </c>
      <c r="B600" s="8" t="s">
        <v>14788</v>
      </c>
      <c r="C600" s="7" t="s">
        <v>2501</v>
      </c>
      <c r="D600" s="9" t="s">
        <v>14785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14591</v>
      </c>
      <c r="J600" s="14" t="s">
        <v>654</v>
      </c>
      <c r="K600" s="10"/>
    </row>
    <row r="601" spans="1:11" x14ac:dyDescent="0.25">
      <c r="A601" s="14" t="s">
        <v>656</v>
      </c>
      <c r="B601" s="8" t="s">
        <v>14789</v>
      </c>
      <c r="C601" s="7" t="s">
        <v>2501</v>
      </c>
      <c r="D601" s="9" t="s">
        <v>14790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14591</v>
      </c>
      <c r="J601" s="14" t="s">
        <v>656</v>
      </c>
      <c r="K601" s="10"/>
    </row>
    <row r="602" spans="1:11" x14ac:dyDescent="0.25">
      <c r="A602" s="14" t="s">
        <v>658</v>
      </c>
      <c r="B602" s="8" t="s">
        <v>14791</v>
      </c>
      <c r="C602" s="7" t="s">
        <v>2501</v>
      </c>
      <c r="D602" s="9" t="s">
        <v>14792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14591</v>
      </c>
      <c r="J602" s="14" t="s">
        <v>658</v>
      </c>
      <c r="K602" s="10"/>
    </row>
    <row r="603" spans="1:11" x14ac:dyDescent="0.25">
      <c r="A603" s="14" t="s">
        <v>660</v>
      </c>
      <c r="B603" s="8" t="s">
        <v>14793</v>
      </c>
      <c r="C603" s="7" t="s">
        <v>2501</v>
      </c>
      <c r="D603" s="9" t="s">
        <v>14553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14591</v>
      </c>
      <c r="J603" s="14" t="s">
        <v>660</v>
      </c>
      <c r="K603" s="10"/>
    </row>
    <row r="604" spans="1:11" x14ac:dyDescent="0.25">
      <c r="A604" s="14" t="s">
        <v>662</v>
      </c>
      <c r="B604" s="8" t="s">
        <v>14794</v>
      </c>
      <c r="C604" s="7" t="s">
        <v>2501</v>
      </c>
      <c r="D604" s="9" t="s">
        <v>14420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14591</v>
      </c>
      <c r="J604" s="14" t="s">
        <v>662</v>
      </c>
      <c r="K604" s="10"/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14229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4" t="s">
        <v>2995</v>
      </c>
      <c r="K605" s="10"/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14795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4" t="s">
        <v>2998</v>
      </c>
      <c r="K606" s="10"/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14796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4" t="s">
        <v>3001</v>
      </c>
      <c r="K607" s="10"/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14553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4" t="s">
        <v>3004</v>
      </c>
      <c r="K608" s="10"/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14797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4" t="s">
        <v>3007</v>
      </c>
      <c r="K609" s="10"/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14798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4" t="s">
        <v>3010</v>
      </c>
      <c r="K610" s="10"/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14799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4" t="s">
        <v>3013</v>
      </c>
      <c r="K611" s="10"/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14800</v>
      </c>
      <c r="J612" s="14" t="s">
        <v>3048</v>
      </c>
      <c r="K612" s="10"/>
    </row>
    <row r="613" spans="1:11" x14ac:dyDescent="0.25">
      <c r="A613" s="14" t="s">
        <v>14801</v>
      </c>
      <c r="B613" s="8" t="s">
        <v>14789</v>
      </c>
      <c r="C613" s="7" t="s">
        <v>2501</v>
      </c>
      <c r="D613" s="9" t="s">
        <v>14802</v>
      </c>
      <c r="E613" s="7">
        <v>7200</v>
      </c>
      <c r="F613" s="14" t="s">
        <v>14803</v>
      </c>
      <c r="G613" s="7" t="s">
        <v>1703</v>
      </c>
      <c r="H613" s="7" t="s">
        <v>1703</v>
      </c>
      <c r="I613" s="8" t="s">
        <v>14591</v>
      </c>
      <c r="J613" s="14" t="s">
        <v>14801</v>
      </c>
      <c r="K613" s="10"/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4" t="s">
        <v>1499</v>
      </c>
      <c r="K614" s="10"/>
    </row>
    <row r="615" spans="1:11" x14ac:dyDescent="0.25">
      <c r="A615" s="14" t="s">
        <v>14804</v>
      </c>
      <c r="B615" s="8" t="s">
        <v>14805</v>
      </c>
      <c r="C615" s="7" t="s">
        <v>2501</v>
      </c>
      <c r="D615" s="9" t="s">
        <v>14516</v>
      </c>
      <c r="E615" s="7">
        <v>472</v>
      </c>
      <c r="F615" s="14" t="s">
        <v>14806</v>
      </c>
      <c r="G615" s="7" t="s">
        <v>14805</v>
      </c>
      <c r="H615" s="7" t="s">
        <v>1703</v>
      </c>
      <c r="I615" s="8" t="s">
        <v>2031</v>
      </c>
      <c r="J615" s="14" t="s">
        <v>14804</v>
      </c>
      <c r="K615" s="10"/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14800</v>
      </c>
      <c r="J616" s="14" t="s">
        <v>1502</v>
      </c>
      <c r="K616" s="10"/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14807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4" t="s">
        <v>1504</v>
      </c>
      <c r="K617" s="10"/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14808</v>
      </c>
      <c r="J618" s="14" t="s">
        <v>1507</v>
      </c>
      <c r="K618" s="10"/>
    </row>
    <row r="619" spans="1:11" x14ac:dyDescent="0.25">
      <c r="A619" s="14" t="s">
        <v>1510</v>
      </c>
      <c r="B619" s="8" t="s">
        <v>14809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14810</v>
      </c>
      <c r="H619" s="7" t="s">
        <v>1703</v>
      </c>
      <c r="I619" s="8" t="s">
        <v>1671</v>
      </c>
      <c r="J619" s="14" t="s">
        <v>1510</v>
      </c>
      <c r="K619" s="10"/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4" t="s">
        <v>1512</v>
      </c>
      <c r="K620" s="10"/>
    </row>
    <row r="621" spans="1:11" x14ac:dyDescent="0.25">
      <c r="A621" s="14" t="s">
        <v>1515</v>
      </c>
      <c r="B621" s="8" t="s">
        <v>14811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14811</v>
      </c>
      <c r="H621" s="7" t="s">
        <v>1703</v>
      </c>
      <c r="I621" s="8" t="s">
        <v>2031</v>
      </c>
      <c r="J621" s="14" t="s">
        <v>1515</v>
      </c>
      <c r="K621" s="10"/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14292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4" t="s">
        <v>1517</v>
      </c>
      <c r="K622" s="10"/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4" t="s">
        <v>1520</v>
      </c>
      <c r="K623" s="10"/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14229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4" t="s">
        <v>1524</v>
      </c>
      <c r="K624" s="10"/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4" t="s">
        <v>1527</v>
      </c>
      <c r="K625" s="10"/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14797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4" t="s">
        <v>1530</v>
      </c>
      <c r="K626" s="10"/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4" t="s">
        <v>1532</v>
      </c>
      <c r="K627" s="10"/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14800</v>
      </c>
      <c r="J628" s="14" t="s">
        <v>1535</v>
      </c>
      <c r="K628" s="10"/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14812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14800</v>
      </c>
      <c r="J629" s="14" t="s">
        <v>1538</v>
      </c>
      <c r="K629" s="10"/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14813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4" t="s">
        <v>1541</v>
      </c>
      <c r="K630" s="10"/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14814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4" t="s">
        <v>1544</v>
      </c>
      <c r="K631" s="10"/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14132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4" t="s">
        <v>1547</v>
      </c>
      <c r="K632" s="10"/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4" t="s">
        <v>1550</v>
      </c>
      <c r="K633" s="10"/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4" t="s">
        <v>1553</v>
      </c>
      <c r="K634" s="10"/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14359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4" t="s">
        <v>1556</v>
      </c>
      <c r="K635" s="10"/>
    </row>
    <row r="636" spans="1:11" x14ac:dyDescent="0.25">
      <c r="A636" s="14" t="s">
        <v>1559</v>
      </c>
      <c r="B636" s="8" t="s">
        <v>14815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14815</v>
      </c>
      <c r="H636" s="7" t="s">
        <v>1703</v>
      </c>
      <c r="I636" s="8" t="s">
        <v>14816</v>
      </c>
      <c r="J636" s="14" t="s">
        <v>1559</v>
      </c>
      <c r="K636" s="10"/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14817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4" t="s">
        <v>3160</v>
      </c>
      <c r="K637" s="10"/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4" t="s">
        <v>3163</v>
      </c>
      <c r="K638" s="10"/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14818</v>
      </c>
      <c r="J639" s="14" t="s">
        <v>3167</v>
      </c>
      <c r="K639" s="10"/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14819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4" t="s">
        <v>3171</v>
      </c>
      <c r="K640" s="10"/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14297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14820</v>
      </c>
      <c r="J641" s="14" t="s">
        <v>3174</v>
      </c>
      <c r="K641" s="10"/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14270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4" t="s">
        <v>3177</v>
      </c>
      <c r="K642" s="10"/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4" t="s">
        <v>3180</v>
      </c>
      <c r="K643" s="10"/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14821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4" t="s">
        <v>3182</v>
      </c>
      <c r="K644" s="10"/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14156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4" t="s">
        <v>3185</v>
      </c>
      <c r="K645" s="10"/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14285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4" t="s">
        <v>3188</v>
      </c>
      <c r="K646" s="10"/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4" t="s">
        <v>3191</v>
      </c>
      <c r="K647" s="10"/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4" t="s">
        <v>3194</v>
      </c>
      <c r="K648" s="10"/>
    </row>
    <row r="649" spans="1:11" x14ac:dyDescent="0.25">
      <c r="A649" s="14" t="s">
        <v>3197</v>
      </c>
      <c r="B649" s="8" t="s">
        <v>14822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14822</v>
      </c>
      <c r="H649" s="7" t="s">
        <v>1703</v>
      </c>
      <c r="I649" s="8" t="s">
        <v>2031</v>
      </c>
      <c r="J649" s="14" t="s">
        <v>3197</v>
      </c>
      <c r="K649" s="10"/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14175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4" t="s">
        <v>3199</v>
      </c>
      <c r="K650" s="10"/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14246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14808</v>
      </c>
      <c r="J651" s="14" t="s">
        <v>3202</v>
      </c>
      <c r="K651" s="10"/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14297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4" t="s">
        <v>3205</v>
      </c>
      <c r="K652" s="10"/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14823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4" t="s">
        <v>3208</v>
      </c>
      <c r="K653" s="10"/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14246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4" t="s">
        <v>3211</v>
      </c>
      <c r="K654" s="10"/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14802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14824</v>
      </c>
      <c r="J655" s="14" t="s">
        <v>3214</v>
      </c>
      <c r="K655" s="10"/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14175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4" t="s">
        <v>3217</v>
      </c>
      <c r="K656" s="10"/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4" t="s">
        <v>3220</v>
      </c>
      <c r="K657" s="10"/>
    </row>
    <row r="658" spans="1:11" x14ac:dyDescent="0.25">
      <c r="A658" s="14" t="s">
        <v>1692</v>
      </c>
      <c r="B658" s="8" t="s">
        <v>14825</v>
      </c>
      <c r="C658" s="7" t="s">
        <v>2501</v>
      </c>
      <c r="D658" s="9" t="s">
        <v>14132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14826</v>
      </c>
      <c r="J658" s="14" t="s">
        <v>1692</v>
      </c>
      <c r="K658" s="10"/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14262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4" t="s">
        <v>1736</v>
      </c>
      <c r="K659" s="10"/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14297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14827</v>
      </c>
      <c r="J660" s="14" t="s">
        <v>1739</v>
      </c>
      <c r="K660" s="10"/>
    </row>
    <row r="661" spans="1:11" x14ac:dyDescent="0.25">
      <c r="A661" s="14" t="s">
        <v>1743</v>
      </c>
      <c r="B661" s="8" t="s">
        <v>14828</v>
      </c>
      <c r="C661" s="7" t="s">
        <v>2501</v>
      </c>
      <c r="D661" s="9" t="s">
        <v>14247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4" t="s">
        <v>1743</v>
      </c>
      <c r="K661" s="10"/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4" t="s">
        <v>1746</v>
      </c>
      <c r="K662" s="10"/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14322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4" t="s">
        <v>1750</v>
      </c>
      <c r="K663" s="10"/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14829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4" t="s">
        <v>1753</v>
      </c>
      <c r="K664" s="10"/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14359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4" t="s">
        <v>4077</v>
      </c>
      <c r="K665" s="10"/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14800</v>
      </c>
      <c r="J666" s="14" t="s">
        <v>4080</v>
      </c>
      <c r="K666" s="10"/>
    </row>
    <row r="667" spans="1:11" x14ac:dyDescent="0.25">
      <c r="A667" s="14" t="s">
        <v>4083</v>
      </c>
      <c r="B667" s="8" t="s">
        <v>14830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4" t="s">
        <v>4083</v>
      </c>
      <c r="K667" s="10"/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14297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4" t="s">
        <v>4087</v>
      </c>
      <c r="K668" s="10"/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14831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4" t="s">
        <v>4090</v>
      </c>
      <c r="K669" s="10"/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14800</v>
      </c>
      <c r="J670" s="14" t="s">
        <v>4093</v>
      </c>
      <c r="K670" s="10"/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14359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4" t="s">
        <v>4096</v>
      </c>
      <c r="K671" s="10"/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14832</v>
      </c>
      <c r="J672" s="14" t="s">
        <v>4099</v>
      </c>
      <c r="K672" s="10"/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14229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4" t="s">
        <v>4103</v>
      </c>
      <c r="K673" s="10"/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14833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4" t="s">
        <v>4106</v>
      </c>
      <c r="K674" s="10"/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14834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14816</v>
      </c>
      <c r="J675" s="14" t="s">
        <v>1781</v>
      </c>
      <c r="K675" s="10"/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4" t="s">
        <v>1784</v>
      </c>
      <c r="K676" s="10"/>
    </row>
    <row r="677" spans="1:11" x14ac:dyDescent="0.25">
      <c r="A677" s="14" t="s">
        <v>1787</v>
      </c>
      <c r="B677" s="8" t="s">
        <v>14835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14836</v>
      </c>
      <c r="H677" s="7" t="s">
        <v>1703</v>
      </c>
      <c r="I677" s="8" t="s">
        <v>14837</v>
      </c>
      <c r="J677" s="14" t="s">
        <v>1787</v>
      </c>
      <c r="K677" s="10"/>
    </row>
    <row r="678" spans="1:11" x14ac:dyDescent="0.25">
      <c r="A678" s="14" t="s">
        <v>1789</v>
      </c>
      <c r="B678" s="8" t="s">
        <v>14838</v>
      </c>
      <c r="C678" s="7" t="s">
        <v>2501</v>
      </c>
      <c r="D678" s="9" t="s">
        <v>14839</v>
      </c>
      <c r="E678" s="7">
        <v>518</v>
      </c>
      <c r="F678" s="14" t="s">
        <v>1790</v>
      </c>
      <c r="G678" s="7" t="s">
        <v>14838</v>
      </c>
      <c r="H678" s="7" t="s">
        <v>1703</v>
      </c>
      <c r="I678" s="8" t="s">
        <v>1671</v>
      </c>
      <c r="J678" s="14" t="s">
        <v>1789</v>
      </c>
      <c r="K678" s="10"/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14359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4" t="s">
        <v>1791</v>
      </c>
      <c r="K679" s="10"/>
    </row>
    <row r="680" spans="1:11" x14ac:dyDescent="0.25">
      <c r="A680" s="14" t="s">
        <v>1794</v>
      </c>
      <c r="B680" s="8" t="s">
        <v>14840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4" t="s">
        <v>1794</v>
      </c>
      <c r="K680" s="10"/>
    </row>
    <row r="681" spans="1:11" x14ac:dyDescent="0.25">
      <c r="A681" s="14" t="s">
        <v>1796</v>
      </c>
      <c r="B681" s="8" t="s">
        <v>14841</v>
      </c>
      <c r="C681" s="7" t="s">
        <v>2501</v>
      </c>
      <c r="D681" s="9" t="s">
        <v>14842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4" t="s">
        <v>1796</v>
      </c>
      <c r="K681" s="10"/>
    </row>
    <row r="682" spans="1:11" x14ac:dyDescent="0.25">
      <c r="A682" s="14" t="s">
        <v>1798</v>
      </c>
      <c r="B682" s="8" t="s">
        <v>14843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4" t="s">
        <v>1798</v>
      </c>
      <c r="K682" s="10"/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14246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4" t="s">
        <v>1801</v>
      </c>
      <c r="K683" s="10"/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14132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4" t="s">
        <v>3360</v>
      </c>
      <c r="K684" s="10"/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14844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14845</v>
      </c>
      <c r="J685" s="14" t="s">
        <v>3363</v>
      </c>
      <c r="K685" s="10"/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14697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4" t="s">
        <v>3367</v>
      </c>
      <c r="K686" s="10"/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14132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4" t="s">
        <v>3370</v>
      </c>
      <c r="K687" s="10"/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4" t="s">
        <v>3373</v>
      </c>
      <c r="K688" s="10"/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14846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14847</v>
      </c>
      <c r="J689" s="14" t="s">
        <v>1063</v>
      </c>
      <c r="K689" s="10"/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14848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4" t="s">
        <v>1065</v>
      </c>
      <c r="K690" s="10"/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4" t="s">
        <v>1068</v>
      </c>
      <c r="K691" s="10"/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14849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4" t="s">
        <v>1071</v>
      </c>
      <c r="K692" s="10"/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14285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4" t="s">
        <v>132</v>
      </c>
      <c r="K693" s="10"/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4" t="s">
        <v>135</v>
      </c>
      <c r="K694" s="10"/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14387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4" t="s">
        <v>138</v>
      </c>
      <c r="K695" s="10"/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14850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4" t="s">
        <v>141</v>
      </c>
      <c r="K696" s="10"/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4" t="s">
        <v>144</v>
      </c>
      <c r="K697" s="10"/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4" t="s">
        <v>147</v>
      </c>
      <c r="K698" s="10"/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14851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4" t="s">
        <v>150</v>
      </c>
      <c r="K699" s="10"/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14852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4" t="s">
        <v>2469</v>
      </c>
      <c r="K700" s="10"/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14818</v>
      </c>
      <c r="J701" s="14" t="s">
        <v>2472</v>
      </c>
      <c r="K701" s="10"/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4" t="s">
        <v>1085</v>
      </c>
      <c r="K702" s="10"/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14853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4" t="s">
        <v>1088</v>
      </c>
      <c r="K703" s="10"/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14229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4" t="s">
        <v>1091</v>
      </c>
      <c r="K704" s="10"/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14845</v>
      </c>
      <c r="J705" s="14" t="s">
        <v>1094</v>
      </c>
      <c r="K705" s="10"/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14256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14845</v>
      </c>
      <c r="J706" s="14" t="s">
        <v>1097</v>
      </c>
      <c r="K706" s="10"/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14854</v>
      </c>
      <c r="J707" s="14" t="s">
        <v>4109</v>
      </c>
      <c r="K707" s="10"/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14357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4" t="s">
        <v>4112</v>
      </c>
      <c r="K708" s="10"/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4" t="s">
        <v>4114</v>
      </c>
      <c r="K709" s="10"/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4" t="s">
        <v>4118</v>
      </c>
      <c r="K710" s="10"/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14175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14847</v>
      </c>
      <c r="J711" s="14" t="s">
        <v>4122</v>
      </c>
      <c r="K711" s="10"/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14297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4" t="s">
        <v>4125</v>
      </c>
      <c r="K712" s="10"/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4" t="s">
        <v>4128</v>
      </c>
      <c r="K713" s="10"/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4" t="s">
        <v>4132</v>
      </c>
      <c r="K714" s="10"/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14855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4" t="s">
        <v>4135</v>
      </c>
      <c r="K715" s="10"/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14370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4" t="s">
        <v>4138</v>
      </c>
      <c r="K716" s="10"/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14136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4" t="s">
        <v>4141</v>
      </c>
      <c r="K717" s="10"/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14136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4" t="s">
        <v>4144</v>
      </c>
      <c r="K718" s="10"/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14856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4" t="s">
        <v>4147</v>
      </c>
      <c r="K719" s="10"/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14516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4" t="s">
        <v>4150</v>
      </c>
      <c r="K720" s="10"/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14229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14847</v>
      </c>
      <c r="J721" s="14" t="s">
        <v>4153</v>
      </c>
      <c r="K721" s="10"/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14818</v>
      </c>
      <c r="J722" s="14" t="s">
        <v>1803</v>
      </c>
      <c r="K722" s="10"/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4" t="s">
        <v>1805</v>
      </c>
      <c r="K723" s="10"/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14359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14845</v>
      </c>
      <c r="J724" s="14" t="s">
        <v>1808</v>
      </c>
      <c r="K724" s="10"/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14857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4" t="s">
        <v>1811</v>
      </c>
      <c r="K725" s="10"/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14858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14854</v>
      </c>
      <c r="J726" s="14" t="s">
        <v>1814</v>
      </c>
      <c r="K726" s="10"/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14290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14847</v>
      </c>
      <c r="J727" s="14" t="s">
        <v>1817</v>
      </c>
      <c r="K727" s="10"/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14859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4" t="s">
        <v>1820</v>
      </c>
      <c r="K728" s="10"/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14860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4" t="s">
        <v>1823</v>
      </c>
      <c r="K729" s="10"/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14861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14818</v>
      </c>
      <c r="J730" s="14" t="s">
        <v>1826</v>
      </c>
      <c r="K730" s="10"/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14862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4" t="s">
        <v>1829</v>
      </c>
      <c r="K731" s="10"/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14553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4" t="s">
        <v>3376</v>
      </c>
      <c r="K732" s="10"/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4" t="s">
        <v>3379</v>
      </c>
      <c r="K733" s="10"/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4" t="s">
        <v>3382</v>
      </c>
      <c r="K734" s="10"/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4" t="s">
        <v>3385</v>
      </c>
      <c r="K735" s="10"/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14355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4" t="s">
        <v>3389</v>
      </c>
      <c r="K736" s="10"/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14863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4" t="s">
        <v>3392</v>
      </c>
      <c r="K737" s="10"/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14847</v>
      </c>
      <c r="J738" s="14" t="s">
        <v>3395</v>
      </c>
      <c r="K738" s="10"/>
    </row>
    <row r="739" spans="1:11" x14ac:dyDescent="0.25">
      <c r="A739" s="14" t="s">
        <v>3398</v>
      </c>
      <c r="B739" s="8" t="s">
        <v>14864</v>
      </c>
      <c r="C739" s="7" t="s">
        <v>2501</v>
      </c>
      <c r="D739" s="9" t="s">
        <v>14225</v>
      </c>
      <c r="E739" s="7">
        <v>398</v>
      </c>
      <c r="F739" s="14" t="s">
        <v>3399</v>
      </c>
      <c r="G739" s="7" t="s">
        <v>14864</v>
      </c>
      <c r="H739" s="7" t="s">
        <v>1703</v>
      </c>
      <c r="I739" s="8" t="s">
        <v>3342</v>
      </c>
      <c r="J739" s="14" t="s">
        <v>3398</v>
      </c>
      <c r="K739" s="10"/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14812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4" t="s">
        <v>3400</v>
      </c>
      <c r="K740" s="10"/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14865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14847</v>
      </c>
      <c r="J741" s="14" t="s">
        <v>3403</v>
      </c>
      <c r="K741" s="10"/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14212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14818</v>
      </c>
      <c r="J742" s="14" t="s">
        <v>1850</v>
      </c>
      <c r="K742" s="10"/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4" t="s">
        <v>1854</v>
      </c>
      <c r="K743" s="10"/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4" t="s">
        <v>1857</v>
      </c>
      <c r="K744" s="10"/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4" t="s">
        <v>1860</v>
      </c>
      <c r="K745" s="10"/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14853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14845</v>
      </c>
      <c r="J746" s="14" t="s">
        <v>3422</v>
      </c>
      <c r="K746" s="10"/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14854</v>
      </c>
      <c r="J747" s="14" t="s">
        <v>3425</v>
      </c>
      <c r="K747" s="10"/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14818</v>
      </c>
      <c r="J748" s="14" t="s">
        <v>3429</v>
      </c>
      <c r="K748" s="10"/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14293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14847</v>
      </c>
      <c r="J749" s="14" t="s">
        <v>3434</v>
      </c>
      <c r="K749" s="10"/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14845</v>
      </c>
      <c r="J750" s="14" t="s">
        <v>3437</v>
      </c>
      <c r="K750" s="10"/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14866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14847</v>
      </c>
      <c r="J751" s="14" t="s">
        <v>3440</v>
      </c>
      <c r="K751" s="10"/>
    </row>
    <row r="752" spans="1:11" x14ac:dyDescent="0.25">
      <c r="A752" s="14" t="s">
        <v>3443</v>
      </c>
      <c r="B752" s="8" t="s">
        <v>14867</v>
      </c>
      <c r="C752" s="7" t="s">
        <v>2501</v>
      </c>
      <c r="D752" s="9" t="s">
        <v>14868</v>
      </c>
      <c r="E752" s="7">
        <v>630</v>
      </c>
      <c r="F752" s="14" t="s">
        <v>3444</v>
      </c>
      <c r="G752" s="7" t="s">
        <v>14867</v>
      </c>
      <c r="H752" s="7" t="s">
        <v>1703</v>
      </c>
      <c r="I752" s="8" t="s">
        <v>1792</v>
      </c>
      <c r="J752" s="14" t="s">
        <v>3443</v>
      </c>
      <c r="K752" s="10"/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14818</v>
      </c>
      <c r="J753" s="14" t="s">
        <v>3445</v>
      </c>
      <c r="K753" s="10"/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14869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4" t="s">
        <v>3448</v>
      </c>
      <c r="K754" s="10"/>
    </row>
    <row r="755" spans="1:11" x14ac:dyDescent="0.25">
      <c r="A755" s="14" t="s">
        <v>3451</v>
      </c>
      <c r="B755" s="8" t="s">
        <v>14870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4" t="s">
        <v>3451</v>
      </c>
      <c r="K755" s="10"/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4" t="s">
        <v>3454</v>
      </c>
      <c r="K756" s="10"/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14871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4" t="s">
        <v>3456</v>
      </c>
      <c r="K757" s="10"/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14818</v>
      </c>
      <c r="J758" s="14" t="s">
        <v>3459</v>
      </c>
      <c r="K758" s="10"/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14872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14818</v>
      </c>
      <c r="J759" s="14" t="s">
        <v>3463</v>
      </c>
      <c r="K759" s="10"/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14873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4" t="s">
        <v>4167</v>
      </c>
      <c r="K760" s="10"/>
    </row>
    <row r="761" spans="1:11" x14ac:dyDescent="0.25">
      <c r="A761" s="14" t="s">
        <v>14874</v>
      </c>
      <c r="B761" s="8" t="s">
        <v>14875</v>
      </c>
      <c r="C761" s="7" t="s">
        <v>2501</v>
      </c>
      <c r="D761" s="9" t="s">
        <v>14876</v>
      </c>
      <c r="E761" s="7">
        <v>690</v>
      </c>
      <c r="F761" s="14" t="s">
        <v>14877</v>
      </c>
      <c r="G761" s="7" t="s">
        <v>1703</v>
      </c>
      <c r="H761" s="7" t="s">
        <v>1703</v>
      </c>
      <c r="I761" s="8" t="s">
        <v>14591</v>
      </c>
      <c r="J761" s="14" t="s">
        <v>14874</v>
      </c>
      <c r="K761" s="10"/>
    </row>
    <row r="762" spans="1:11" x14ac:dyDescent="0.25">
      <c r="A762" s="14" t="s">
        <v>14878</v>
      </c>
      <c r="B762" s="8" t="s">
        <v>14879</v>
      </c>
      <c r="C762" s="7" t="s">
        <v>2501</v>
      </c>
      <c r="D762" s="9" t="s">
        <v>14880</v>
      </c>
      <c r="E762" s="7">
        <v>1</v>
      </c>
      <c r="F762" s="14" t="s">
        <v>14881</v>
      </c>
      <c r="G762" s="7" t="s">
        <v>1703</v>
      </c>
      <c r="H762" s="7" t="s">
        <v>1703</v>
      </c>
      <c r="I762" s="8" t="s">
        <v>14591</v>
      </c>
      <c r="J762" s="14" t="s">
        <v>14878</v>
      </c>
      <c r="K762" s="10"/>
    </row>
    <row r="763" spans="1:11" x14ac:dyDescent="0.25">
      <c r="A763" s="14" t="s">
        <v>14882</v>
      </c>
      <c r="B763" s="8" t="s">
        <v>14883</v>
      </c>
      <c r="C763" s="7" t="s">
        <v>2501</v>
      </c>
      <c r="D763" s="9" t="s">
        <v>14884</v>
      </c>
      <c r="E763" s="7">
        <v>0</v>
      </c>
      <c r="F763" s="14" t="s">
        <v>14885</v>
      </c>
      <c r="G763" s="7" t="s">
        <v>1792</v>
      </c>
      <c r="H763" s="7" t="s">
        <v>1703</v>
      </c>
      <c r="I763" s="8" t="s">
        <v>1792</v>
      </c>
      <c r="J763" s="14" t="s">
        <v>14882</v>
      </c>
      <c r="K763" s="10"/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4" t="s">
        <v>1833</v>
      </c>
      <c r="K764" s="10"/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4" t="s">
        <v>1837</v>
      </c>
      <c r="K765" s="10"/>
    </row>
    <row r="766" spans="1:11" x14ac:dyDescent="0.25">
      <c r="A766" s="14" t="s">
        <v>14886</v>
      </c>
      <c r="B766" s="8" t="s">
        <v>14887</v>
      </c>
      <c r="C766" s="7" t="s">
        <v>2501</v>
      </c>
      <c r="D766" s="9" t="s">
        <v>14888</v>
      </c>
      <c r="E766" s="7">
        <v>1</v>
      </c>
      <c r="F766" s="14" t="s">
        <v>14889</v>
      </c>
      <c r="G766" s="7" t="s">
        <v>14887</v>
      </c>
      <c r="H766" s="7" t="s">
        <v>1703</v>
      </c>
      <c r="I766" s="8" t="s">
        <v>1505</v>
      </c>
      <c r="J766" s="14" t="s">
        <v>14886</v>
      </c>
      <c r="K766" s="10"/>
    </row>
    <row r="767" spans="1:11" x14ac:dyDescent="0.25">
      <c r="A767" s="14" t="s">
        <v>14890</v>
      </c>
      <c r="B767" s="8" t="s">
        <v>14891</v>
      </c>
      <c r="C767" s="7" t="s">
        <v>2501</v>
      </c>
      <c r="D767" s="9" t="s">
        <v>14892</v>
      </c>
      <c r="E767" s="7">
        <v>0</v>
      </c>
      <c r="F767" s="14" t="s">
        <v>14893</v>
      </c>
      <c r="G767" s="7" t="s">
        <v>14891</v>
      </c>
      <c r="H767" s="7" t="s">
        <v>1703</v>
      </c>
      <c r="I767" s="8" t="s">
        <v>14816</v>
      </c>
      <c r="J767" s="14" t="s">
        <v>14890</v>
      </c>
      <c r="K767" s="10"/>
    </row>
    <row r="768" spans="1:11" x14ac:dyDescent="0.25">
      <c r="A768" s="14" t="s">
        <v>14894</v>
      </c>
      <c r="B768" s="8" t="s">
        <v>14895</v>
      </c>
      <c r="C768" s="7" t="s">
        <v>2501</v>
      </c>
      <c r="D768" s="9" t="s">
        <v>14896</v>
      </c>
      <c r="E768" s="7">
        <v>0</v>
      </c>
      <c r="F768" s="14" t="s">
        <v>14897</v>
      </c>
      <c r="G768" s="7" t="s">
        <v>14898</v>
      </c>
      <c r="H768" s="7" t="s">
        <v>1703</v>
      </c>
      <c r="I768" s="8" t="s">
        <v>1671</v>
      </c>
      <c r="J768" s="14" t="s">
        <v>14894</v>
      </c>
      <c r="K768" s="10"/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14132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4" t="s">
        <v>3472</v>
      </c>
      <c r="K769" s="10"/>
    </row>
    <row r="770" spans="1:11" x14ac:dyDescent="0.25">
      <c r="A770" s="14" t="s">
        <v>3474</v>
      </c>
      <c r="B770" s="8" t="s">
        <v>14899</v>
      </c>
      <c r="C770" s="7" t="s">
        <v>2501</v>
      </c>
      <c r="D770" s="9" t="s">
        <v>14842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14591</v>
      </c>
      <c r="J770" s="14" t="s">
        <v>3474</v>
      </c>
      <c r="K770" s="10"/>
    </row>
    <row r="771" spans="1:11" x14ac:dyDescent="0.25">
      <c r="A771" s="14" t="s">
        <v>14900</v>
      </c>
      <c r="B771" s="8" t="s">
        <v>14901</v>
      </c>
      <c r="C771" s="7" t="s">
        <v>2501</v>
      </c>
      <c r="D771" s="9" t="s">
        <v>14285</v>
      </c>
      <c r="E771" s="7">
        <v>381</v>
      </c>
      <c r="F771" s="14" t="s">
        <v>14902</v>
      </c>
      <c r="G771" s="7" t="s">
        <v>1703</v>
      </c>
      <c r="H771" s="7" t="s">
        <v>1703</v>
      </c>
      <c r="I771" s="8" t="s">
        <v>14591</v>
      </c>
      <c r="J771" s="14" t="s">
        <v>14900</v>
      </c>
      <c r="K771" s="10"/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14903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4" t="s">
        <v>3476</v>
      </c>
      <c r="K772" s="10"/>
    </row>
    <row r="773" spans="1:11" x14ac:dyDescent="0.25">
      <c r="A773" s="14" t="s">
        <v>3479</v>
      </c>
      <c r="B773" s="8" t="s">
        <v>14904</v>
      </c>
      <c r="C773" s="7" t="s">
        <v>2501</v>
      </c>
      <c r="D773" s="9" t="s">
        <v>14131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4" t="s">
        <v>3479</v>
      </c>
      <c r="K773" s="10"/>
    </row>
    <row r="774" spans="1:11" x14ac:dyDescent="0.25">
      <c r="A774" s="14" t="s">
        <v>3481</v>
      </c>
      <c r="B774" s="8" t="s">
        <v>14905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4" t="s">
        <v>3481</v>
      </c>
      <c r="K774" s="10"/>
    </row>
    <row r="775" spans="1:11" x14ac:dyDescent="0.25">
      <c r="A775" s="14" t="s">
        <v>3484</v>
      </c>
      <c r="B775" s="8" t="s">
        <v>14906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4" t="s">
        <v>3484</v>
      </c>
      <c r="K775" s="10"/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14907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4" t="s">
        <v>1933</v>
      </c>
      <c r="K776" s="10"/>
    </row>
    <row r="777" spans="1:11" x14ac:dyDescent="0.25">
      <c r="A777" s="14" t="s">
        <v>14908</v>
      </c>
      <c r="B777" s="8" t="s">
        <v>14909</v>
      </c>
      <c r="C777" s="7" t="s">
        <v>2501</v>
      </c>
      <c r="D777" s="9" t="s">
        <v>14910</v>
      </c>
      <c r="E777" s="7">
        <v>417</v>
      </c>
      <c r="F777" s="14" t="s">
        <v>14911</v>
      </c>
      <c r="G777" s="7" t="s">
        <v>14909</v>
      </c>
      <c r="H777" s="7" t="s">
        <v>1703</v>
      </c>
      <c r="I777" s="8" t="s">
        <v>1320</v>
      </c>
      <c r="J777" s="14" t="s">
        <v>14908</v>
      </c>
      <c r="K777" s="10"/>
    </row>
    <row r="778" spans="1:11" x14ac:dyDescent="0.25">
      <c r="A778" s="14" t="s">
        <v>14912</v>
      </c>
      <c r="B778" s="8" t="s">
        <v>14913</v>
      </c>
      <c r="C778" s="7" t="s">
        <v>2501</v>
      </c>
      <c r="D778" s="9" t="s">
        <v>14132</v>
      </c>
      <c r="E778" s="7">
        <v>953</v>
      </c>
      <c r="F778" s="14" t="s">
        <v>14914</v>
      </c>
      <c r="G778" s="7" t="s">
        <v>14913</v>
      </c>
      <c r="H778" s="7" t="s">
        <v>1703</v>
      </c>
      <c r="I778" s="8" t="s">
        <v>14832</v>
      </c>
      <c r="J778" s="14" t="s">
        <v>14912</v>
      </c>
      <c r="K778" s="10"/>
    </row>
    <row r="779" spans="1:11" x14ac:dyDescent="0.25">
      <c r="A779" s="14" t="s">
        <v>14915</v>
      </c>
      <c r="B779" s="8" t="s">
        <v>14916</v>
      </c>
      <c r="C779" s="7" t="s">
        <v>2501</v>
      </c>
      <c r="D779" s="9" t="s">
        <v>1491</v>
      </c>
      <c r="E779" s="7">
        <v>288</v>
      </c>
      <c r="F779" s="14" t="s">
        <v>14917</v>
      </c>
      <c r="G779" s="7" t="s">
        <v>14918</v>
      </c>
      <c r="H779" s="7" t="s">
        <v>1703</v>
      </c>
      <c r="I779" s="8" t="s">
        <v>14820</v>
      </c>
      <c r="J779" s="14" t="s">
        <v>14915</v>
      </c>
      <c r="K779" s="10"/>
    </row>
    <row r="780" spans="1:11" x14ac:dyDescent="0.25">
      <c r="A780" s="14" t="s">
        <v>14919</v>
      </c>
      <c r="B780" s="8" t="s">
        <v>14920</v>
      </c>
      <c r="C780" s="7" t="s">
        <v>2501</v>
      </c>
      <c r="D780" s="9" t="s">
        <v>1983</v>
      </c>
      <c r="E780" s="7">
        <v>1</v>
      </c>
      <c r="F780" s="14" t="s">
        <v>14921</v>
      </c>
      <c r="G780" s="7" t="s">
        <v>14920</v>
      </c>
      <c r="H780" s="7" t="s">
        <v>1703</v>
      </c>
      <c r="I780" s="8" t="s">
        <v>1671</v>
      </c>
      <c r="J780" s="14" t="s">
        <v>14919</v>
      </c>
      <c r="K780" s="10"/>
    </row>
    <row r="781" spans="1:11" x14ac:dyDescent="0.25">
      <c r="A781" s="14" t="s">
        <v>14922</v>
      </c>
      <c r="B781" s="8" t="s">
        <v>14923</v>
      </c>
      <c r="C781" s="7" t="s">
        <v>2501</v>
      </c>
      <c r="D781" s="9" t="s">
        <v>14924</v>
      </c>
      <c r="E781" s="7">
        <v>6</v>
      </c>
      <c r="F781" s="14" t="s">
        <v>14925</v>
      </c>
      <c r="G781" s="7" t="s">
        <v>14923</v>
      </c>
      <c r="H781" s="7" t="s">
        <v>1703</v>
      </c>
      <c r="I781" s="8" t="s">
        <v>1320</v>
      </c>
      <c r="J781" s="14" t="s">
        <v>14922</v>
      </c>
      <c r="K781" s="10"/>
    </row>
    <row r="782" spans="1:11" x14ac:dyDescent="0.25">
      <c r="A782" s="14" t="s">
        <v>14926</v>
      </c>
      <c r="B782" s="8" t="s">
        <v>14927</v>
      </c>
      <c r="C782" s="7" t="s">
        <v>2501</v>
      </c>
      <c r="D782" s="9" t="s">
        <v>14246</v>
      </c>
      <c r="E782" s="7">
        <v>18</v>
      </c>
      <c r="F782" s="14" t="s">
        <v>14928</v>
      </c>
      <c r="G782" s="7" t="s">
        <v>14927</v>
      </c>
      <c r="H782" s="7" t="s">
        <v>1703</v>
      </c>
      <c r="I782" s="8" t="s">
        <v>14820</v>
      </c>
      <c r="J782" s="14" t="s">
        <v>14926</v>
      </c>
      <c r="K782" s="10"/>
    </row>
    <row r="783" spans="1:11" x14ac:dyDescent="0.25">
      <c r="A783" s="14" t="s">
        <v>14929</v>
      </c>
      <c r="B783" s="8" t="s">
        <v>14930</v>
      </c>
      <c r="C783" s="7" t="s">
        <v>2501</v>
      </c>
      <c r="D783" s="9" t="s">
        <v>1975</v>
      </c>
      <c r="E783" s="7">
        <v>1</v>
      </c>
      <c r="F783" s="14" t="s">
        <v>14931</v>
      </c>
      <c r="G783" s="7" t="s">
        <v>14930</v>
      </c>
      <c r="H783" s="7" t="s">
        <v>1703</v>
      </c>
      <c r="I783" s="8" t="s">
        <v>14816</v>
      </c>
      <c r="J783" s="14" t="s">
        <v>14929</v>
      </c>
      <c r="K783" s="10"/>
    </row>
    <row r="784" spans="1:11" x14ac:dyDescent="0.25">
      <c r="A784" s="14" t="s">
        <v>14932</v>
      </c>
      <c r="B784" s="8" t="s">
        <v>14933</v>
      </c>
      <c r="C784" s="7" t="s">
        <v>2501</v>
      </c>
      <c r="D784" s="9" t="s">
        <v>14152</v>
      </c>
      <c r="E784" s="7">
        <v>0</v>
      </c>
      <c r="F784" s="14" t="s">
        <v>14934</v>
      </c>
      <c r="G784" s="7" t="s">
        <v>14933</v>
      </c>
      <c r="H784" s="7" t="s">
        <v>1703</v>
      </c>
      <c r="I784" s="8" t="s">
        <v>4246</v>
      </c>
      <c r="J784" s="14" t="s">
        <v>14932</v>
      </c>
      <c r="K784" s="10"/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14591</v>
      </c>
      <c r="J785" s="14" t="s">
        <v>563</v>
      </c>
      <c r="K785" s="10"/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14285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14591</v>
      </c>
      <c r="J786" s="14" t="s">
        <v>565</v>
      </c>
      <c r="K786" s="10"/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14591</v>
      </c>
      <c r="J787" s="14" t="s">
        <v>567</v>
      </c>
      <c r="K787" s="10"/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4" t="s">
        <v>570</v>
      </c>
      <c r="K788" s="10"/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14935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4" t="s">
        <v>572</v>
      </c>
      <c r="K789" s="10"/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4" t="s">
        <v>2846</v>
      </c>
      <c r="K790" s="10"/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14189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4" t="s">
        <v>2848</v>
      </c>
      <c r="K791" s="10"/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14293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4" t="s">
        <v>2851</v>
      </c>
      <c r="K792" s="10"/>
    </row>
    <row r="793" spans="1:11" x14ac:dyDescent="0.25">
      <c r="A793" s="14" t="s">
        <v>619</v>
      </c>
      <c r="B793" s="8" t="s">
        <v>14936</v>
      </c>
      <c r="C793" s="7" t="s">
        <v>2501</v>
      </c>
      <c r="D793" s="9" t="s">
        <v>14937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14446</v>
      </c>
      <c r="J793" s="14" t="s">
        <v>619</v>
      </c>
      <c r="K793" s="10"/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14285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4" t="s">
        <v>2162</v>
      </c>
      <c r="K794" s="10"/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14446</v>
      </c>
      <c r="J795" s="14" t="s">
        <v>2165</v>
      </c>
      <c r="K795" s="10"/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4" t="s">
        <v>2168</v>
      </c>
      <c r="K796" s="10"/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14938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4" t="s">
        <v>2172</v>
      </c>
      <c r="K797" s="10"/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4" t="s">
        <v>2174</v>
      </c>
      <c r="K798" s="10"/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4" t="s">
        <v>2176</v>
      </c>
      <c r="K799" s="10"/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14136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4" t="s">
        <v>2180</v>
      </c>
      <c r="K800" s="10"/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4" t="s">
        <v>2183</v>
      </c>
      <c r="K801" s="10"/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4" t="s">
        <v>664</v>
      </c>
      <c r="K802" s="10"/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4" t="s">
        <v>667</v>
      </c>
      <c r="K803" s="10"/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14293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4" t="s">
        <v>670</v>
      </c>
      <c r="K804" s="10"/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14939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4" t="s">
        <v>673</v>
      </c>
      <c r="K805" s="10"/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4" t="s">
        <v>676</v>
      </c>
      <c r="K806" s="10"/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4" t="s">
        <v>678</v>
      </c>
      <c r="K807" s="10"/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4" t="s">
        <v>576</v>
      </c>
      <c r="K808" s="10"/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14940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4" t="s">
        <v>578</v>
      </c>
      <c r="K809" s="10"/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14941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4" t="s">
        <v>3018</v>
      </c>
      <c r="K810" s="10"/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4" t="s">
        <v>3020</v>
      </c>
      <c r="K811" s="10"/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14942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4" t="s">
        <v>3025</v>
      </c>
      <c r="K812" s="10"/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14293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4" t="s">
        <v>3027</v>
      </c>
      <c r="K813" s="10"/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4" t="s">
        <v>3030</v>
      </c>
      <c r="K814" s="10"/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14943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4" t="s">
        <v>3033</v>
      </c>
      <c r="K815" s="10"/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4" t="s">
        <v>601</v>
      </c>
      <c r="K816" s="10"/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14132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4" t="s">
        <v>604</v>
      </c>
      <c r="K817" s="10"/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14944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4" t="s">
        <v>606</v>
      </c>
      <c r="K818" s="10"/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14945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4" t="s">
        <v>608</v>
      </c>
      <c r="K819" s="10"/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14297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4" t="s">
        <v>610</v>
      </c>
      <c r="K820" s="10"/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4" t="s">
        <v>612</v>
      </c>
      <c r="K821" s="10"/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14229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4" t="s">
        <v>616</v>
      </c>
      <c r="K822" s="10"/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14767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4" t="s">
        <v>633</v>
      </c>
      <c r="K823" s="10"/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14946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4" t="s">
        <v>636</v>
      </c>
      <c r="K824" s="10"/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14136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4" t="s">
        <v>639</v>
      </c>
      <c r="K825" s="10"/>
    </row>
    <row r="826" spans="1:11" x14ac:dyDescent="0.25">
      <c r="A826" s="14" t="s">
        <v>14947</v>
      </c>
      <c r="B826" s="8" t="s">
        <v>14948</v>
      </c>
      <c r="C826" s="7" t="s">
        <v>2501</v>
      </c>
      <c r="D826" s="9" t="s">
        <v>3126</v>
      </c>
      <c r="E826" s="7">
        <v>798</v>
      </c>
      <c r="F826" s="14" t="s">
        <v>14949</v>
      </c>
      <c r="G826" s="7" t="s">
        <v>794</v>
      </c>
      <c r="H826" s="7" t="s">
        <v>794</v>
      </c>
      <c r="I826" s="8" t="s">
        <v>14591</v>
      </c>
      <c r="J826" s="14" t="s">
        <v>14947</v>
      </c>
      <c r="K826" s="10"/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4" t="s">
        <v>1037</v>
      </c>
      <c r="K827" s="10"/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4" t="s">
        <v>3349</v>
      </c>
      <c r="K828" s="10"/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14950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4" t="s">
        <v>3352</v>
      </c>
      <c r="K829" s="10"/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14951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4" t="s">
        <v>3355</v>
      </c>
      <c r="K830" s="10"/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14952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4" t="s">
        <v>3358</v>
      </c>
      <c r="K831" s="10"/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4" t="s">
        <v>1041</v>
      </c>
      <c r="K832" s="10"/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14213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4" t="s">
        <v>1045</v>
      </c>
      <c r="K833" s="10"/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14388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4" t="s">
        <v>1048</v>
      </c>
      <c r="K834" s="10"/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14953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4" t="s">
        <v>1051</v>
      </c>
      <c r="K835" s="10"/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4" t="s">
        <v>1053</v>
      </c>
      <c r="K836" s="10"/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4" t="s">
        <v>1057</v>
      </c>
      <c r="K837" s="10"/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4" t="s">
        <v>1061</v>
      </c>
      <c r="K838" s="10"/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4" t="s">
        <v>2568</v>
      </c>
      <c r="K839" s="10"/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14954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4" t="s">
        <v>2572</v>
      </c>
      <c r="K840" s="10"/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14641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4" t="s">
        <v>2576</v>
      </c>
      <c r="K841" s="10"/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14297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4" t="s">
        <v>2580</v>
      </c>
      <c r="K842" s="10"/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14955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4" t="s">
        <v>2584</v>
      </c>
      <c r="K843" s="10"/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4" t="s">
        <v>2587</v>
      </c>
      <c r="K844" s="10"/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4" t="s">
        <v>2591</v>
      </c>
      <c r="K845" s="10"/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14212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4" t="s">
        <v>2594</v>
      </c>
      <c r="K846" s="10"/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14956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4" t="s">
        <v>2597</v>
      </c>
      <c r="K847" s="10"/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14131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14957</v>
      </c>
      <c r="J848" s="14" t="s">
        <v>2600</v>
      </c>
      <c r="K848" s="10"/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14957</v>
      </c>
      <c r="J849" s="14" t="s">
        <v>2603</v>
      </c>
      <c r="K849" s="10"/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4" t="s">
        <v>2607</v>
      </c>
      <c r="K850" s="10"/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4" t="s">
        <v>1074</v>
      </c>
      <c r="K851" s="10"/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14958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4" t="s">
        <v>1077</v>
      </c>
      <c r="K852" s="10"/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14139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4" t="s">
        <v>1080</v>
      </c>
      <c r="K853" s="10"/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4" t="s">
        <v>2680</v>
      </c>
      <c r="K854" s="10"/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4" t="s">
        <v>2683</v>
      </c>
      <c r="K855" s="10"/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14213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4" t="s">
        <v>2686</v>
      </c>
      <c r="K856" s="10"/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14131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4" t="s">
        <v>2689</v>
      </c>
      <c r="K857" s="10"/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4" t="s">
        <v>2692</v>
      </c>
      <c r="K858" s="10"/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14954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4" t="s">
        <v>1158</v>
      </c>
      <c r="K859" s="10"/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4" t="s">
        <v>1161</v>
      </c>
      <c r="K860" s="10"/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4" t="s">
        <v>3409</v>
      </c>
      <c r="K861" s="10"/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14293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4" t="s">
        <v>3412</v>
      </c>
      <c r="K862" s="10"/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4" t="s">
        <v>3414</v>
      </c>
      <c r="K863" s="10"/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14213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4" t="s">
        <v>3418</v>
      </c>
      <c r="K864" s="10"/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14959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4" t="s">
        <v>3421</v>
      </c>
      <c r="K865" s="10"/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14960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4" t="s">
        <v>1110</v>
      </c>
      <c r="K866" s="10"/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4" t="s">
        <v>1113</v>
      </c>
      <c r="K867" s="10"/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4" t="s">
        <v>1116</v>
      </c>
      <c r="K868" s="10"/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4" t="s">
        <v>1120</v>
      </c>
      <c r="K869" s="10"/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14955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4" t="s">
        <v>1124</v>
      </c>
      <c r="K870" s="10"/>
    </row>
    <row r="871" spans="1:11" x14ac:dyDescent="0.25">
      <c r="A871" s="14" t="s">
        <v>1128</v>
      </c>
      <c r="B871" s="8" t="s">
        <v>14961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4" t="s">
        <v>1128</v>
      </c>
      <c r="K871" s="10"/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4" t="s">
        <v>1131</v>
      </c>
      <c r="K872" s="10"/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14524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4" t="s">
        <v>1135</v>
      </c>
      <c r="K873" s="10"/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14962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4" t="s">
        <v>1138</v>
      </c>
      <c r="K874" s="10"/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14963</v>
      </c>
      <c r="J875" s="14" t="s">
        <v>1141</v>
      </c>
      <c r="K875" s="10"/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14839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4" t="s">
        <v>1145</v>
      </c>
      <c r="K876" s="10"/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4" t="s">
        <v>1148</v>
      </c>
      <c r="K877" s="10"/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4" t="s">
        <v>1152</v>
      </c>
      <c r="K878" s="10"/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14964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4" t="s">
        <v>3485</v>
      </c>
      <c r="K879" s="10"/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4" t="s">
        <v>3487</v>
      </c>
      <c r="K880" s="10"/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14370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4" t="s">
        <v>3491</v>
      </c>
      <c r="K881" s="10"/>
    </row>
    <row r="882" spans="1:11" x14ac:dyDescent="0.25">
      <c r="A882" s="14" t="s">
        <v>14965</v>
      </c>
      <c r="B882" s="8" t="s">
        <v>14966</v>
      </c>
      <c r="C882" s="7" t="s">
        <v>2501</v>
      </c>
      <c r="D882" s="9" t="s">
        <v>4276</v>
      </c>
      <c r="E882" s="7">
        <v>0</v>
      </c>
      <c r="F882" s="14" t="s">
        <v>14967</v>
      </c>
      <c r="G882" s="7" t="s">
        <v>14966</v>
      </c>
      <c r="H882" s="7" t="s">
        <v>2125</v>
      </c>
      <c r="I882" s="8" t="s">
        <v>2569</v>
      </c>
      <c r="J882" s="14" t="s">
        <v>14965</v>
      </c>
      <c r="K882" s="10"/>
    </row>
    <row r="883" spans="1:11" x14ac:dyDescent="0.25">
      <c r="A883" s="14" t="s">
        <v>14968</v>
      </c>
      <c r="B883" s="8" t="s">
        <v>14969</v>
      </c>
      <c r="C883" s="7" t="s">
        <v>2501</v>
      </c>
      <c r="D883" s="9" t="s">
        <v>14970</v>
      </c>
      <c r="E883" s="7">
        <v>0</v>
      </c>
      <c r="F883" s="14" t="s">
        <v>14971</v>
      </c>
      <c r="G883" s="7" t="s">
        <v>14969</v>
      </c>
      <c r="H883" s="7" t="s">
        <v>2125</v>
      </c>
      <c r="I883" s="8" t="s">
        <v>1910</v>
      </c>
      <c r="J883" s="14" t="s">
        <v>14968</v>
      </c>
      <c r="K883" s="10"/>
    </row>
    <row r="884" spans="1:11" x14ac:dyDescent="0.25">
      <c r="A884" s="14" t="s">
        <v>14972</v>
      </c>
      <c r="B884" s="8" t="s">
        <v>14973</v>
      </c>
      <c r="C884" s="7" t="s">
        <v>2501</v>
      </c>
      <c r="D884" s="9" t="s">
        <v>2822</v>
      </c>
      <c r="E884" s="7">
        <v>0</v>
      </c>
      <c r="F884" s="14" t="s">
        <v>14974</v>
      </c>
      <c r="G884" s="7" t="s">
        <v>14973</v>
      </c>
      <c r="H884" s="7" t="s">
        <v>2125</v>
      </c>
      <c r="I884" s="8" t="s">
        <v>2569</v>
      </c>
      <c r="J884" s="14" t="s">
        <v>14972</v>
      </c>
      <c r="K884" s="10"/>
    </row>
    <row r="885" spans="1:11" x14ac:dyDescent="0.25">
      <c r="A885" s="14" t="s">
        <v>14975</v>
      </c>
      <c r="B885" s="8" t="s">
        <v>14492</v>
      </c>
      <c r="C885" s="7" t="s">
        <v>2501</v>
      </c>
      <c r="D885" s="9" t="s">
        <v>2750</v>
      </c>
      <c r="E885" s="7">
        <v>255</v>
      </c>
      <c r="F885" s="14" t="s">
        <v>14976</v>
      </c>
      <c r="G885" s="7" t="s">
        <v>4276</v>
      </c>
      <c r="H885" s="7" t="s">
        <v>2125</v>
      </c>
      <c r="I885" s="8" t="s">
        <v>4276</v>
      </c>
      <c r="J885" s="14" t="s">
        <v>14975</v>
      </c>
      <c r="K885" s="10"/>
    </row>
    <row r="886" spans="1:11" x14ac:dyDescent="0.25">
      <c r="A886" s="14" t="s">
        <v>14977</v>
      </c>
      <c r="B886" s="8" t="s">
        <v>14978</v>
      </c>
      <c r="C886" s="7" t="s">
        <v>2501</v>
      </c>
      <c r="D886" s="9" t="s">
        <v>14979</v>
      </c>
      <c r="E886" s="7">
        <v>1</v>
      </c>
      <c r="F886" s="14" t="s">
        <v>14980</v>
      </c>
      <c r="G886" s="7" t="s">
        <v>4276</v>
      </c>
      <c r="H886" s="7" t="s">
        <v>2125</v>
      </c>
      <c r="I886" s="8" t="s">
        <v>4276</v>
      </c>
      <c r="J886" s="14" t="s">
        <v>14977</v>
      </c>
      <c r="K886" s="10"/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14981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14982</v>
      </c>
      <c r="J887" s="14" t="s">
        <v>4264</v>
      </c>
      <c r="K887" s="10"/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4" t="s">
        <v>4286</v>
      </c>
      <c r="K888" s="10"/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14983</v>
      </c>
      <c r="J889" s="14" t="s">
        <v>4289</v>
      </c>
      <c r="K889" s="10"/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14984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14985</v>
      </c>
      <c r="J890" s="14" t="s">
        <v>4292</v>
      </c>
      <c r="K890" s="10"/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14986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4" t="s">
        <v>4295</v>
      </c>
      <c r="K891" s="10"/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14987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14985</v>
      </c>
      <c r="J892" s="14" t="s">
        <v>4297</v>
      </c>
      <c r="K892" s="10"/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14399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14988</v>
      </c>
      <c r="J893" s="14" t="s">
        <v>4301</v>
      </c>
      <c r="K893" s="10"/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14229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14985</v>
      </c>
      <c r="J894" s="14" t="s">
        <v>4304</v>
      </c>
      <c r="K894" s="10"/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14989</v>
      </c>
      <c r="J895" s="14" t="s">
        <v>4307</v>
      </c>
      <c r="K895" s="10"/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14290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14982</v>
      </c>
      <c r="J896" s="14" t="s">
        <v>3634</v>
      </c>
      <c r="K896" s="10"/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14297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14985</v>
      </c>
      <c r="J897" s="14" t="s">
        <v>3637</v>
      </c>
      <c r="K897" s="10"/>
    </row>
    <row r="898" spans="1:11" x14ac:dyDescent="0.25">
      <c r="A898" s="14" t="s">
        <v>3640</v>
      </c>
      <c r="B898" s="8" t="s">
        <v>14990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14991</v>
      </c>
      <c r="H898" s="7" t="s">
        <v>4285</v>
      </c>
      <c r="I898" s="8" t="s">
        <v>3650</v>
      </c>
      <c r="J898" s="14" t="s">
        <v>3640</v>
      </c>
      <c r="K898" s="10"/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14132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14988</v>
      </c>
      <c r="J899" s="14" t="s">
        <v>3643</v>
      </c>
      <c r="K899" s="10"/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14984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4" t="s">
        <v>3646</v>
      </c>
      <c r="K900" s="10"/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14986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4" t="s">
        <v>3649</v>
      </c>
      <c r="K901" s="10"/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14370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14985</v>
      </c>
      <c r="J902" s="14" t="s">
        <v>3652</v>
      </c>
      <c r="K902" s="10"/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14992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14982</v>
      </c>
      <c r="J903" s="14" t="s">
        <v>3655</v>
      </c>
      <c r="K903" s="10"/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14229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14988</v>
      </c>
      <c r="J904" s="14" t="s">
        <v>3659</v>
      </c>
      <c r="K904" s="10"/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14985</v>
      </c>
      <c r="J905" s="14" t="s">
        <v>3663</v>
      </c>
      <c r="K905" s="10"/>
    </row>
    <row r="906" spans="1:11" x14ac:dyDescent="0.25">
      <c r="A906" s="14" t="s">
        <v>14993</v>
      </c>
      <c r="B906" s="8" t="s">
        <v>14994</v>
      </c>
      <c r="C906" s="7" t="s">
        <v>2501</v>
      </c>
      <c r="D906" s="9" t="s">
        <v>14986</v>
      </c>
      <c r="E906" s="7">
        <v>0</v>
      </c>
      <c r="F906" s="14" t="s">
        <v>14995</v>
      </c>
      <c r="G906" s="7" t="s">
        <v>14994</v>
      </c>
      <c r="H906" s="7" t="s">
        <v>4285</v>
      </c>
      <c r="I906" s="8" t="s">
        <v>14983</v>
      </c>
      <c r="J906" s="14" t="s">
        <v>14993</v>
      </c>
      <c r="K906" s="282"/>
    </row>
    <row r="907" spans="1:11" x14ac:dyDescent="0.25">
      <c r="A907" s="14" t="s">
        <v>14996</v>
      </c>
      <c r="B907" s="8" t="s">
        <v>14997</v>
      </c>
      <c r="C907" s="7" t="s">
        <v>2501</v>
      </c>
      <c r="D907" s="9" t="s">
        <v>14998</v>
      </c>
      <c r="E907" s="7">
        <v>0</v>
      </c>
      <c r="F907" s="14" t="s">
        <v>14999</v>
      </c>
      <c r="G907" s="7" t="s">
        <v>14997</v>
      </c>
      <c r="H907" s="7" t="s">
        <v>4285</v>
      </c>
      <c r="I907" s="8" t="s">
        <v>4285</v>
      </c>
      <c r="J907" s="14" t="s">
        <v>14996</v>
      </c>
      <c r="K907" s="282"/>
    </row>
    <row r="908" spans="1:11" x14ac:dyDescent="0.25">
      <c r="A908" s="14" t="s">
        <v>15000</v>
      </c>
      <c r="B908" s="8" t="s">
        <v>15001</v>
      </c>
      <c r="C908" s="7" t="s">
        <v>2501</v>
      </c>
      <c r="D908" s="9" t="s">
        <v>15002</v>
      </c>
      <c r="E908" s="7">
        <v>0</v>
      </c>
      <c r="F908" s="14" t="s">
        <v>15003</v>
      </c>
      <c r="G908" s="7" t="s">
        <v>15004</v>
      </c>
      <c r="H908" s="7" t="s">
        <v>4285</v>
      </c>
      <c r="I908" s="8" t="s">
        <v>14988</v>
      </c>
      <c r="J908" s="14" t="s">
        <v>15000</v>
      </c>
      <c r="K908" s="10"/>
    </row>
    <row r="909" spans="1:11" x14ac:dyDescent="0.25">
      <c r="A909" s="14" t="s">
        <v>15005</v>
      </c>
      <c r="B909" s="8" t="s">
        <v>15006</v>
      </c>
      <c r="C909" s="7" t="s">
        <v>2501</v>
      </c>
      <c r="D909" s="9" t="s">
        <v>14998</v>
      </c>
      <c r="E909" s="7">
        <v>0</v>
      </c>
      <c r="F909" s="14" t="s">
        <v>15007</v>
      </c>
      <c r="G909" s="7" t="s">
        <v>15006</v>
      </c>
      <c r="H909" s="7" t="s">
        <v>4285</v>
      </c>
      <c r="I909" s="8" t="s">
        <v>4285</v>
      </c>
      <c r="J909" s="14" t="s">
        <v>15005</v>
      </c>
      <c r="K909" s="10"/>
    </row>
    <row r="910" spans="1:11" x14ac:dyDescent="0.25">
      <c r="A910" s="14" t="s">
        <v>15008</v>
      </c>
      <c r="B910" s="8" t="s">
        <v>15009</v>
      </c>
      <c r="C910" s="7" t="s">
        <v>2501</v>
      </c>
      <c r="D910" s="9" t="s">
        <v>15010</v>
      </c>
      <c r="E910" s="7">
        <v>0</v>
      </c>
      <c r="F910" s="14" t="s">
        <v>15011</v>
      </c>
      <c r="G910" s="7" t="s">
        <v>15009</v>
      </c>
      <c r="H910" s="7" t="s">
        <v>4285</v>
      </c>
      <c r="I910" s="8" t="s">
        <v>14983</v>
      </c>
      <c r="J910" s="14" t="s">
        <v>15008</v>
      </c>
      <c r="K910" s="10"/>
    </row>
    <row r="911" spans="1:11" x14ac:dyDescent="0.25">
      <c r="A911" s="14" t="s">
        <v>15012</v>
      </c>
      <c r="B911" s="8" t="s">
        <v>15013</v>
      </c>
      <c r="C911" s="7" t="s">
        <v>2501</v>
      </c>
      <c r="D911" s="9" t="s">
        <v>1223</v>
      </c>
      <c r="E911" s="7">
        <v>0</v>
      </c>
      <c r="F911" s="14" t="s">
        <v>15014</v>
      </c>
      <c r="G911" s="7" t="s">
        <v>4265</v>
      </c>
      <c r="H911" s="7" t="s">
        <v>4285</v>
      </c>
      <c r="I911" s="8" t="s">
        <v>14982</v>
      </c>
      <c r="J911" s="14" t="s">
        <v>15012</v>
      </c>
      <c r="K911" s="10"/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15015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4" t="s">
        <v>3668</v>
      </c>
      <c r="K912" s="10"/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14297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14985</v>
      </c>
      <c r="J913" s="14" t="s">
        <v>3671</v>
      </c>
      <c r="K913" s="10"/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14285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14175</v>
      </c>
      <c r="J914" s="14" t="s">
        <v>1936</v>
      </c>
      <c r="K914" s="10"/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15016</v>
      </c>
      <c r="J915" s="14" t="s">
        <v>1938</v>
      </c>
      <c r="K915" s="10"/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4" t="s">
        <v>1251</v>
      </c>
      <c r="K916" s="10"/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15017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15018</v>
      </c>
      <c r="J917" s="14" t="s">
        <v>1255</v>
      </c>
      <c r="K917" s="10"/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4" t="s">
        <v>1258</v>
      </c>
      <c r="K918" s="10"/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4" t="s">
        <v>1261</v>
      </c>
      <c r="K919" s="10"/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14697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15019</v>
      </c>
      <c r="J920" s="14" t="s">
        <v>1264</v>
      </c>
      <c r="K920" s="10"/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14136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15018</v>
      </c>
      <c r="J921" s="14" t="s">
        <v>1267</v>
      </c>
      <c r="K921" s="10"/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15020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4" t="s">
        <v>1271</v>
      </c>
      <c r="K922" s="10"/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4" t="s">
        <v>1274</v>
      </c>
      <c r="K923" s="10"/>
    </row>
    <row r="924" spans="1:11" x14ac:dyDescent="0.25">
      <c r="A924" s="14" t="s">
        <v>1277</v>
      </c>
      <c r="B924" s="8" t="s">
        <v>15021</v>
      </c>
      <c r="C924" s="7" t="s">
        <v>2501</v>
      </c>
      <c r="D924" s="9" t="s">
        <v>15022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14175</v>
      </c>
      <c r="J924" s="14" t="s">
        <v>1277</v>
      </c>
      <c r="K924" s="10"/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14297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4" t="s">
        <v>3546</v>
      </c>
      <c r="K925" s="10"/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14136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4" t="s">
        <v>3549</v>
      </c>
      <c r="K926" s="10"/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4" t="s">
        <v>3553</v>
      </c>
      <c r="K927" s="10"/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14290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4" t="s">
        <v>3555</v>
      </c>
      <c r="K928" s="10"/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14697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15018</v>
      </c>
      <c r="J929" s="14" t="s">
        <v>3558</v>
      </c>
      <c r="K929" s="10"/>
    </row>
    <row r="930" spans="1:11" x14ac:dyDescent="0.25">
      <c r="A930" s="14" t="s">
        <v>15023</v>
      </c>
      <c r="B930" s="8" t="s">
        <v>15024</v>
      </c>
      <c r="C930" s="7" t="s">
        <v>2501</v>
      </c>
      <c r="D930" s="9" t="s">
        <v>15025</v>
      </c>
      <c r="E930" s="7">
        <v>1</v>
      </c>
      <c r="F930" s="14" t="s">
        <v>15026</v>
      </c>
      <c r="G930" s="7" t="s">
        <v>15024</v>
      </c>
      <c r="H930" s="7" t="s">
        <v>3042</v>
      </c>
      <c r="I930" s="8" t="s">
        <v>15027</v>
      </c>
      <c r="J930" s="14" t="s">
        <v>15023</v>
      </c>
      <c r="K930" s="10"/>
    </row>
    <row r="931" spans="1:11" x14ac:dyDescent="0.25">
      <c r="A931" s="14" t="s">
        <v>15028</v>
      </c>
      <c r="B931" s="8" t="s">
        <v>15029</v>
      </c>
      <c r="C931" s="7" t="s">
        <v>2501</v>
      </c>
      <c r="D931" s="9" t="s">
        <v>15030</v>
      </c>
      <c r="E931" s="7">
        <v>0</v>
      </c>
      <c r="F931" s="14" t="s">
        <v>15031</v>
      </c>
      <c r="G931" s="7" t="s">
        <v>15029</v>
      </c>
      <c r="H931" s="7" t="s">
        <v>3042</v>
      </c>
      <c r="I931" s="8" t="s">
        <v>14175</v>
      </c>
      <c r="J931" s="14" t="s">
        <v>15028</v>
      </c>
      <c r="K931" s="10"/>
    </row>
    <row r="932" spans="1:11" x14ac:dyDescent="0.25">
      <c r="A932" s="14" t="s">
        <v>15032</v>
      </c>
      <c r="B932" s="8" t="s">
        <v>15033</v>
      </c>
      <c r="C932" s="7" t="s">
        <v>2501</v>
      </c>
      <c r="D932" s="9" t="s">
        <v>15034</v>
      </c>
      <c r="E932" s="7">
        <v>0</v>
      </c>
      <c r="F932" s="14" t="s">
        <v>15035</v>
      </c>
      <c r="G932" s="7" t="s">
        <v>15033</v>
      </c>
      <c r="H932" s="7" t="s">
        <v>3042</v>
      </c>
      <c r="I932" s="8" t="s">
        <v>15036</v>
      </c>
      <c r="J932" s="14" t="s">
        <v>15032</v>
      </c>
      <c r="K932" s="10"/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14175</v>
      </c>
      <c r="J933" s="14" t="s">
        <v>3561</v>
      </c>
      <c r="K933" s="10"/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14290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14591</v>
      </c>
      <c r="J934" s="14" t="s">
        <v>1689</v>
      </c>
      <c r="K934" s="10"/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4" t="s">
        <v>3988</v>
      </c>
      <c r="K935" s="10"/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4" t="s">
        <v>3991</v>
      </c>
      <c r="K936" s="10"/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14156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14591</v>
      </c>
      <c r="J937" s="14" t="s">
        <v>3994</v>
      </c>
      <c r="K937" s="10"/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14136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4" t="s">
        <v>1724</v>
      </c>
      <c r="K938" s="10"/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15037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15038</v>
      </c>
      <c r="J939" s="14" t="s">
        <v>1727</v>
      </c>
      <c r="K939" s="10"/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15039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15040</v>
      </c>
      <c r="J940" s="14" t="s">
        <v>1730</v>
      </c>
      <c r="K940" s="10"/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4" t="s">
        <v>1733</v>
      </c>
      <c r="K941" s="10"/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14140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4" t="s">
        <v>3926</v>
      </c>
      <c r="K942" s="10"/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14213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4" t="s">
        <v>3343</v>
      </c>
      <c r="K943" s="10"/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14175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15038</v>
      </c>
      <c r="J944" s="14" t="s">
        <v>3346</v>
      </c>
      <c r="K944" s="10"/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15041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15042</v>
      </c>
      <c r="J945" s="14" t="s">
        <v>4005</v>
      </c>
      <c r="K945" s="10"/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14388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15043</v>
      </c>
      <c r="J946" s="14" t="s">
        <v>4008</v>
      </c>
      <c r="K946" s="10"/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15044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4" t="s">
        <v>4011</v>
      </c>
      <c r="K947" s="10"/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15045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15046</v>
      </c>
      <c r="J948" s="14" t="s">
        <v>4014</v>
      </c>
      <c r="K948" s="10"/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15047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15048</v>
      </c>
      <c r="J949" s="14" t="s">
        <v>4018</v>
      </c>
      <c r="K949" s="10"/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15049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15040</v>
      </c>
      <c r="J950" s="14" t="s">
        <v>4022</v>
      </c>
      <c r="K950" s="10"/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14778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4" t="s">
        <v>4024</v>
      </c>
      <c r="K951" s="10"/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4" t="s">
        <v>4027</v>
      </c>
      <c r="K952" s="10"/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15038</v>
      </c>
      <c r="J953" s="14" t="s">
        <v>4032</v>
      </c>
      <c r="K953" s="10"/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14156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15040</v>
      </c>
      <c r="J954" s="14" t="s">
        <v>4035</v>
      </c>
      <c r="K954" s="10"/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15050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4" t="s">
        <v>4038</v>
      </c>
      <c r="K955" s="10"/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15042</v>
      </c>
      <c r="J956" s="14" t="s">
        <v>4041</v>
      </c>
      <c r="K956" s="10"/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4" t="s">
        <v>4044</v>
      </c>
      <c r="K957" s="10"/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14132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15042</v>
      </c>
      <c r="J958" s="14" t="s">
        <v>4047</v>
      </c>
      <c r="K958" s="10"/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4" t="s">
        <v>4050</v>
      </c>
      <c r="K959" s="10"/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4" t="s">
        <v>4053</v>
      </c>
      <c r="K960" s="10"/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4" t="s">
        <v>4056</v>
      </c>
      <c r="K961" s="10"/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4" t="s">
        <v>4059</v>
      </c>
      <c r="K962" s="10"/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15042</v>
      </c>
      <c r="J963" s="14" t="s">
        <v>4063</v>
      </c>
      <c r="K963" s="10"/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14132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15051</v>
      </c>
      <c r="J964" s="14" t="s">
        <v>4066</v>
      </c>
      <c r="K964" s="10"/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4" t="s">
        <v>4069</v>
      </c>
      <c r="K965" s="10"/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15052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4" t="s">
        <v>4072</v>
      </c>
      <c r="K966" s="10"/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15053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4" t="s">
        <v>152</v>
      </c>
      <c r="K967" s="10"/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15054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15055</v>
      </c>
      <c r="J968" s="14" t="s">
        <v>155</v>
      </c>
      <c r="K968" s="10"/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14436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15051</v>
      </c>
      <c r="J969" s="14" t="s">
        <v>158</v>
      </c>
      <c r="K969" s="10"/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14136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15043</v>
      </c>
      <c r="J970" s="14" t="s">
        <v>161</v>
      </c>
      <c r="K970" s="10"/>
    </row>
    <row r="971" spans="1:11" x14ac:dyDescent="0.25">
      <c r="A971" s="14" t="s">
        <v>15056</v>
      </c>
      <c r="B971" s="8" t="s">
        <v>15057</v>
      </c>
      <c r="C971" s="7" t="s">
        <v>2501</v>
      </c>
      <c r="D971" s="9" t="s">
        <v>1223</v>
      </c>
      <c r="E971" s="7">
        <v>0</v>
      </c>
      <c r="F971" s="14" t="s">
        <v>15058</v>
      </c>
      <c r="G971" s="7" t="s">
        <v>1690</v>
      </c>
      <c r="H971" s="7" t="s">
        <v>3987</v>
      </c>
      <c r="I971" s="8" t="s">
        <v>14591</v>
      </c>
      <c r="J971" s="14" t="s">
        <v>15056</v>
      </c>
      <c r="K971" s="10"/>
    </row>
    <row r="972" spans="1:11" x14ac:dyDescent="0.25">
      <c r="A972" s="14" t="s">
        <v>15059</v>
      </c>
      <c r="B972" s="8" t="s">
        <v>15060</v>
      </c>
      <c r="C972" s="7" t="s">
        <v>2501</v>
      </c>
      <c r="D972" s="9" t="s">
        <v>14641</v>
      </c>
      <c r="E972" s="7">
        <v>100</v>
      </c>
      <c r="F972" s="14" t="s">
        <v>15061</v>
      </c>
      <c r="G972" s="7" t="s">
        <v>15060</v>
      </c>
      <c r="H972" s="7" t="s">
        <v>3987</v>
      </c>
      <c r="I972" s="8" t="s">
        <v>4057</v>
      </c>
      <c r="J972" s="14" t="s">
        <v>15059</v>
      </c>
      <c r="K972" s="10"/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14131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14591</v>
      </c>
      <c r="J973" s="14" t="s">
        <v>3494</v>
      </c>
      <c r="K973" s="10"/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15062</v>
      </c>
      <c r="J974" s="14" t="s">
        <v>3496</v>
      </c>
      <c r="K974" s="10"/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14857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14857</v>
      </c>
      <c r="J975" s="14" t="s">
        <v>3499</v>
      </c>
      <c r="K975" s="10"/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15063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14857</v>
      </c>
      <c r="J976" s="14" t="s">
        <v>3502</v>
      </c>
      <c r="K976" s="10"/>
    </row>
    <row r="977" spans="1:11" x14ac:dyDescent="0.25">
      <c r="A977" s="14" t="s">
        <v>15064</v>
      </c>
      <c r="B977" s="8" t="s">
        <v>15065</v>
      </c>
      <c r="C977" s="7" t="s">
        <v>2501</v>
      </c>
      <c r="D977" s="9" t="s">
        <v>14857</v>
      </c>
      <c r="E977" s="7">
        <v>33</v>
      </c>
      <c r="F977" s="14" t="s">
        <v>15066</v>
      </c>
      <c r="G977" s="7" t="s">
        <v>15065</v>
      </c>
      <c r="H977" s="7" t="s">
        <v>895</v>
      </c>
      <c r="I977" s="8" t="s">
        <v>14857</v>
      </c>
      <c r="J977" s="14" t="s">
        <v>15064</v>
      </c>
      <c r="K977" s="10"/>
    </row>
    <row r="978" spans="1:11" x14ac:dyDescent="0.25">
      <c r="A978" s="14" t="s">
        <v>15067</v>
      </c>
      <c r="B978" s="8" t="s">
        <v>15068</v>
      </c>
      <c r="C978" s="7" t="s">
        <v>2501</v>
      </c>
      <c r="D978" s="9" t="s">
        <v>1223</v>
      </c>
      <c r="E978" s="7">
        <v>0</v>
      </c>
      <c r="F978" s="14" t="s">
        <v>15069</v>
      </c>
      <c r="G978" s="7" t="s">
        <v>15068</v>
      </c>
      <c r="H978" s="7" t="s">
        <v>895</v>
      </c>
      <c r="I978" s="8" t="s">
        <v>3519</v>
      </c>
      <c r="J978" s="14" t="s">
        <v>15067</v>
      </c>
      <c r="K978" s="10"/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4" t="s">
        <v>3505</v>
      </c>
      <c r="K979" s="10"/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15070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15071</v>
      </c>
      <c r="J980" s="14" t="s">
        <v>3508</v>
      </c>
      <c r="K980" s="10"/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4" t="s">
        <v>3511</v>
      </c>
      <c r="K981" s="10"/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15071</v>
      </c>
      <c r="J982" s="14" t="s">
        <v>3514</v>
      </c>
      <c r="K982" s="10"/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4" t="s">
        <v>3518</v>
      </c>
      <c r="K983" s="10"/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14229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15072</v>
      </c>
      <c r="J984" s="14" t="s">
        <v>3522</v>
      </c>
      <c r="K984" s="10"/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15073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15074</v>
      </c>
      <c r="J985" s="14" t="s">
        <v>3525</v>
      </c>
      <c r="K985" s="10"/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14292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15075</v>
      </c>
      <c r="J986" s="14" t="s">
        <v>3528</v>
      </c>
      <c r="K986" s="10"/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15076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4" t="s">
        <v>3531</v>
      </c>
      <c r="K987" s="10"/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15077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4" t="s">
        <v>3534</v>
      </c>
      <c r="K988" s="10"/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14132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4" t="s">
        <v>3537</v>
      </c>
      <c r="K989" s="10"/>
    </row>
    <row r="990" spans="1:11" x14ac:dyDescent="0.25">
      <c r="A990" s="14" t="s">
        <v>15078</v>
      </c>
      <c r="B990" s="8" t="s">
        <v>15079</v>
      </c>
      <c r="C990" s="7" t="s">
        <v>2501</v>
      </c>
      <c r="D990" s="9" t="s">
        <v>3115</v>
      </c>
      <c r="E990" s="7">
        <v>0</v>
      </c>
      <c r="F990" s="14" t="s">
        <v>15080</v>
      </c>
      <c r="G990" s="7" t="s">
        <v>15079</v>
      </c>
      <c r="H990" s="7" t="s">
        <v>895</v>
      </c>
      <c r="I990" s="8" t="s">
        <v>3519</v>
      </c>
      <c r="J990" s="14" t="s">
        <v>15078</v>
      </c>
      <c r="K990" s="10"/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15081</v>
      </c>
      <c r="J991" s="14" t="s">
        <v>3540</v>
      </c>
      <c r="K991" s="10"/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15082</v>
      </c>
      <c r="J992" s="14" t="s">
        <v>3543</v>
      </c>
      <c r="K992" s="10"/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14292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4" t="s">
        <v>1215</v>
      </c>
      <c r="K993" s="10"/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4" t="s">
        <v>1218</v>
      </c>
      <c r="K994" s="10"/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15062</v>
      </c>
      <c r="J995" s="14" t="s">
        <v>1221</v>
      </c>
      <c r="K995" s="10"/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15083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15084</v>
      </c>
      <c r="J996" s="14" t="s">
        <v>1225</v>
      </c>
      <c r="K996" s="10"/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14246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15075</v>
      </c>
      <c r="J997" s="14" t="s">
        <v>1228</v>
      </c>
      <c r="K997" s="10"/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15085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15072</v>
      </c>
      <c r="J998" s="14" t="s">
        <v>1232</v>
      </c>
      <c r="K998" s="10"/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4" t="s">
        <v>1235</v>
      </c>
      <c r="K999" s="10"/>
    </row>
    <row r="1000" spans="1:11" x14ac:dyDescent="0.25">
      <c r="A1000" s="14" t="s">
        <v>15086</v>
      </c>
      <c r="B1000" s="8" t="s">
        <v>15087</v>
      </c>
      <c r="C1000" s="7" t="s">
        <v>2501</v>
      </c>
      <c r="D1000" s="9" t="s">
        <v>14628</v>
      </c>
      <c r="E1000" s="7">
        <v>0</v>
      </c>
      <c r="F1000" s="14" t="s">
        <v>15088</v>
      </c>
      <c r="G1000" s="7" t="s">
        <v>15087</v>
      </c>
      <c r="H1000" s="7" t="s">
        <v>895</v>
      </c>
      <c r="I1000" s="8" t="s">
        <v>15072</v>
      </c>
      <c r="J1000" s="14" t="s">
        <v>15086</v>
      </c>
      <c r="K1000" s="10"/>
    </row>
    <row r="1001" spans="1:11" x14ac:dyDescent="0.25">
      <c r="A1001" s="14" t="s">
        <v>1238</v>
      </c>
      <c r="B1001" s="8" t="s">
        <v>15089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14591</v>
      </c>
      <c r="J1001" s="14" t="s">
        <v>1238</v>
      </c>
      <c r="K1001" s="10"/>
    </row>
    <row r="1002" spans="1:11" x14ac:dyDescent="0.25">
      <c r="A1002" s="14" t="s">
        <v>1240</v>
      </c>
      <c r="B1002" s="8" t="s">
        <v>15090</v>
      </c>
      <c r="C1002" s="7" t="s">
        <v>2501</v>
      </c>
      <c r="D1002" s="9" t="s">
        <v>15091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14591</v>
      </c>
      <c r="J1002" s="14" t="s">
        <v>1240</v>
      </c>
      <c r="K1002" s="10"/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14132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14591</v>
      </c>
      <c r="J1003" s="14" t="s">
        <v>164</v>
      </c>
      <c r="K1003" s="10"/>
    </row>
    <row r="1004" spans="1:11" x14ac:dyDescent="0.25">
      <c r="A1004" s="14" t="s">
        <v>165</v>
      </c>
      <c r="B1004" s="8" t="s">
        <v>15092</v>
      </c>
      <c r="C1004" s="7" t="s">
        <v>2501</v>
      </c>
      <c r="D1004" s="9" t="s">
        <v>15093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14591</v>
      </c>
      <c r="J1004" s="14" t="s">
        <v>165</v>
      </c>
      <c r="K1004" s="10"/>
    </row>
    <row r="1005" spans="1:11" x14ac:dyDescent="0.25">
      <c r="A1005" s="14" t="s">
        <v>167</v>
      </c>
      <c r="B1005" s="8" t="s">
        <v>15094</v>
      </c>
      <c r="C1005" s="7" t="s">
        <v>2501</v>
      </c>
      <c r="D1005" s="9" t="s">
        <v>15095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15096</v>
      </c>
      <c r="J1005" s="14" t="s">
        <v>167</v>
      </c>
      <c r="K1005" s="10"/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15096</v>
      </c>
      <c r="J1006" s="14" t="s">
        <v>169</v>
      </c>
      <c r="K1006" s="10"/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14270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4" t="s">
        <v>173</v>
      </c>
      <c r="K1007" s="10"/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14382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4" t="s">
        <v>176</v>
      </c>
      <c r="K1008" s="10"/>
    </row>
    <row r="1009" spans="1:28" x14ac:dyDescent="0.25">
      <c r="A1009" s="14" t="s">
        <v>180</v>
      </c>
      <c r="B1009" s="8" t="s">
        <v>181</v>
      </c>
      <c r="C1009" s="7" t="s">
        <v>2501</v>
      </c>
      <c r="D1009" s="9" t="s">
        <v>15097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4" t="s">
        <v>180</v>
      </c>
      <c r="K1009" s="10"/>
    </row>
    <row r="1010" spans="1:28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4" t="s">
        <v>184</v>
      </c>
      <c r="K1010" s="10"/>
    </row>
    <row r="1011" spans="1:28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4" t="s">
        <v>187</v>
      </c>
      <c r="K1011" s="10"/>
    </row>
    <row r="1012" spans="1:28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4" t="s">
        <v>192</v>
      </c>
      <c r="K1012" s="10"/>
    </row>
    <row r="1013" spans="1:28" x14ac:dyDescent="0.25">
      <c r="A1013" s="14" t="s">
        <v>196</v>
      </c>
      <c r="B1013" s="8" t="s">
        <v>197</v>
      </c>
      <c r="C1013" s="7" t="s">
        <v>2501</v>
      </c>
      <c r="D1013" s="9" t="s">
        <v>15098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4" t="s">
        <v>196</v>
      </c>
      <c r="K1013" s="10"/>
    </row>
    <row r="1014" spans="1:28" x14ac:dyDescent="0.25">
      <c r="A1014" s="14" t="s">
        <v>200</v>
      </c>
      <c r="B1014" s="8" t="s">
        <v>201</v>
      </c>
      <c r="C1014" s="7" t="s">
        <v>2501</v>
      </c>
      <c r="D1014" s="9" t="s">
        <v>14262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4" t="s">
        <v>200</v>
      </c>
      <c r="K1014" s="10"/>
    </row>
    <row r="1015" spans="1:28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4" t="s">
        <v>113</v>
      </c>
      <c r="K1015" s="10"/>
    </row>
    <row r="1016" spans="1:28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4" t="s">
        <v>117</v>
      </c>
      <c r="K1016" s="10"/>
    </row>
    <row r="1017" spans="1:28" x14ac:dyDescent="0.25">
      <c r="A1017" s="14" t="s">
        <v>119</v>
      </c>
      <c r="B1017" s="8" t="s">
        <v>120</v>
      </c>
      <c r="C1017" s="7" t="s">
        <v>2501</v>
      </c>
      <c r="D1017" s="9" t="s">
        <v>15099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4" t="s">
        <v>119</v>
      </c>
      <c r="K1017" s="10"/>
    </row>
    <row r="1018" spans="1:28" x14ac:dyDescent="0.25">
      <c r="A1018" s="14" t="s">
        <v>122</v>
      </c>
      <c r="B1018" s="8" t="s">
        <v>123</v>
      </c>
      <c r="C1018" s="7" t="s">
        <v>2501</v>
      </c>
      <c r="D1018" s="9" t="s">
        <v>15100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4" t="s">
        <v>122</v>
      </c>
      <c r="K1018" s="10"/>
    </row>
    <row r="1019" spans="1:28" x14ac:dyDescent="0.25">
      <c r="A1019" s="14" t="s">
        <v>126</v>
      </c>
      <c r="B1019" s="8" t="s">
        <v>127</v>
      </c>
      <c r="C1019" s="7" t="s">
        <v>2501</v>
      </c>
      <c r="D1019" s="9" t="s">
        <v>14132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4" t="s">
        <v>126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</row>
    <row r="1020" spans="1:28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4" t="s">
        <v>129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</row>
    <row r="1021" spans="1:28" x14ac:dyDescent="0.25">
      <c r="A1021" s="14" t="s">
        <v>2403</v>
      </c>
      <c r="B1021" s="8" t="s">
        <v>309</v>
      </c>
      <c r="C1021" s="7" t="s">
        <v>2501</v>
      </c>
      <c r="D1021" s="9" t="s">
        <v>14285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4" t="s">
        <v>2403</v>
      </c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</row>
    <row r="1022" spans="1:28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4" t="s">
        <v>2405</v>
      </c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</row>
    <row r="1023" spans="1:28" x14ac:dyDescent="0.25">
      <c r="A1023" s="14" t="s">
        <v>2409</v>
      </c>
      <c r="B1023" s="8" t="s">
        <v>3929</v>
      </c>
      <c r="C1023" s="7" t="s">
        <v>2501</v>
      </c>
      <c r="D1023" s="9" t="s">
        <v>14246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4" t="s">
        <v>2409</v>
      </c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</row>
    <row r="1024" spans="1:28" x14ac:dyDescent="0.25">
      <c r="A1024" s="14" t="s">
        <v>2411</v>
      </c>
      <c r="B1024" s="8" t="s">
        <v>1645</v>
      </c>
      <c r="C1024" s="7" t="s">
        <v>2501</v>
      </c>
      <c r="D1024" s="9" t="s">
        <v>15101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4" t="s">
        <v>2411</v>
      </c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</row>
    <row r="1025" spans="1:28" x14ac:dyDescent="0.25">
      <c r="A1025" s="14" t="s">
        <v>2414</v>
      </c>
      <c r="B1025" s="8" t="s">
        <v>2415</v>
      </c>
      <c r="C1025" s="7" t="s">
        <v>2501</v>
      </c>
      <c r="D1025" s="9" t="s">
        <v>14260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4" t="s">
        <v>2414</v>
      </c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</row>
    <row r="1026" spans="1:28" x14ac:dyDescent="0.25">
      <c r="A1026" s="14" t="s">
        <v>2417</v>
      </c>
      <c r="B1026" s="8" t="s">
        <v>4233</v>
      </c>
      <c r="C1026" s="7" t="s">
        <v>2501</v>
      </c>
      <c r="D1026" s="9" t="s">
        <v>14229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4" t="s">
        <v>2417</v>
      </c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</row>
    <row r="1027" spans="1:28" x14ac:dyDescent="0.25">
      <c r="A1027" s="14" t="s">
        <v>2419</v>
      </c>
      <c r="B1027" s="8" t="s">
        <v>15102</v>
      </c>
      <c r="C1027" s="7" t="s">
        <v>2501</v>
      </c>
      <c r="D1027" s="9" t="s">
        <v>15103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4" t="s">
        <v>2419</v>
      </c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</row>
    <row r="1028" spans="1:28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4" t="s">
        <v>2422</v>
      </c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</row>
    <row r="1029" spans="1:28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4" t="s">
        <v>2424</v>
      </c>
      <c r="K1029" s="10"/>
    </row>
    <row r="1030" spans="1:28" x14ac:dyDescent="0.25">
      <c r="A1030" s="14" t="s">
        <v>2427</v>
      </c>
      <c r="B1030" s="8" t="s">
        <v>2428</v>
      </c>
      <c r="C1030" s="7" t="s">
        <v>2501</v>
      </c>
      <c r="D1030" s="9" t="s">
        <v>15104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4" t="s">
        <v>2427</v>
      </c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</row>
    <row r="1031" spans="1:28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4" t="s">
        <v>2430</v>
      </c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</row>
    <row r="1032" spans="1:28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4" t="s">
        <v>2434</v>
      </c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</row>
    <row r="1033" spans="1:28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4" t="s">
        <v>2437</v>
      </c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</row>
    <row r="1034" spans="1:28" x14ac:dyDescent="0.25">
      <c r="A1034" s="14" t="s">
        <v>2439</v>
      </c>
      <c r="B1034" s="8" t="s">
        <v>2440</v>
      </c>
      <c r="C1034" s="7" t="s">
        <v>2501</v>
      </c>
      <c r="D1034" s="9" t="s">
        <v>15105</v>
      </c>
      <c r="E1034" s="7">
        <v>10523</v>
      </c>
      <c r="F1034" s="14" t="s">
        <v>2442</v>
      </c>
      <c r="G1034" s="7" t="s">
        <v>15106</v>
      </c>
      <c r="H1034" s="7" t="s">
        <v>2476</v>
      </c>
      <c r="I1034" s="8" t="s">
        <v>15096</v>
      </c>
      <c r="J1034" s="14" t="s">
        <v>2439</v>
      </c>
      <c r="K1034" s="10"/>
    </row>
    <row r="1035" spans="1:28" x14ac:dyDescent="0.25">
      <c r="A1035" s="14" t="s">
        <v>2443</v>
      </c>
      <c r="B1035" s="8" t="s">
        <v>2444</v>
      </c>
      <c r="C1035" s="7" t="s">
        <v>2501</v>
      </c>
      <c r="D1035" s="9" t="s">
        <v>15107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4" t="s">
        <v>2443</v>
      </c>
      <c r="K1035" s="10"/>
    </row>
    <row r="1036" spans="1:28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4" t="s">
        <v>2446</v>
      </c>
      <c r="K1036" s="10"/>
    </row>
    <row r="1037" spans="1:28" x14ac:dyDescent="0.25">
      <c r="A1037" s="14" t="s">
        <v>2448</v>
      </c>
      <c r="B1037" s="8" t="s">
        <v>1139</v>
      </c>
      <c r="C1037" s="7" t="s">
        <v>2501</v>
      </c>
      <c r="D1037" s="9" t="s">
        <v>15108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15096</v>
      </c>
      <c r="J1037" s="14" t="s">
        <v>2448</v>
      </c>
      <c r="K1037" s="10"/>
    </row>
    <row r="1038" spans="1:28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4" t="s">
        <v>2450</v>
      </c>
      <c r="K1038" s="10"/>
    </row>
    <row r="1039" spans="1:28" x14ac:dyDescent="0.25">
      <c r="A1039" s="14" t="s">
        <v>2454</v>
      </c>
      <c r="B1039" s="8" t="s">
        <v>1690</v>
      </c>
      <c r="C1039" s="7" t="s">
        <v>2501</v>
      </c>
      <c r="D1039" s="9" t="s">
        <v>14139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4" t="s">
        <v>2454</v>
      </c>
      <c r="K1039" s="10"/>
    </row>
    <row r="1040" spans="1:28" x14ac:dyDescent="0.25">
      <c r="A1040" s="14" t="s">
        <v>2456</v>
      </c>
      <c r="B1040" s="8" t="s">
        <v>2457</v>
      </c>
      <c r="C1040" s="7" t="s">
        <v>2501</v>
      </c>
      <c r="D1040" s="9" t="s">
        <v>14213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4" t="s">
        <v>2456</v>
      </c>
      <c r="K1040" s="10"/>
    </row>
    <row r="1041" spans="1:28" x14ac:dyDescent="0.25">
      <c r="A1041" s="14" t="s">
        <v>2459</v>
      </c>
      <c r="B1041" s="8" t="s">
        <v>2460</v>
      </c>
      <c r="C1041" s="7" t="s">
        <v>2501</v>
      </c>
      <c r="D1041" s="9" t="s">
        <v>14388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4" t="s">
        <v>2459</v>
      </c>
      <c r="K1041" s="10"/>
    </row>
    <row r="1042" spans="1:28" x14ac:dyDescent="0.25">
      <c r="A1042" s="14" t="s">
        <v>2462</v>
      </c>
      <c r="B1042" s="8" t="s">
        <v>2463</v>
      </c>
      <c r="C1042" s="7" t="s">
        <v>2501</v>
      </c>
      <c r="D1042" s="9" t="s">
        <v>15109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4" t="s">
        <v>2462</v>
      </c>
      <c r="K1042" s="10"/>
    </row>
    <row r="1043" spans="1:28" x14ac:dyDescent="0.25">
      <c r="A1043" s="14" t="s">
        <v>2465</v>
      </c>
      <c r="B1043" s="8" t="s">
        <v>15110</v>
      </c>
      <c r="C1043" s="7" t="s">
        <v>2501</v>
      </c>
      <c r="D1043" s="9" t="s">
        <v>15111</v>
      </c>
      <c r="E1043" s="7">
        <v>0</v>
      </c>
      <c r="F1043" s="14" t="s">
        <v>2466</v>
      </c>
      <c r="G1043" s="7" t="s">
        <v>15112</v>
      </c>
      <c r="H1043" s="7" t="s">
        <v>2476</v>
      </c>
      <c r="I1043" s="8" t="s">
        <v>2421</v>
      </c>
      <c r="J1043" s="14" t="s">
        <v>2465</v>
      </c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</row>
    <row r="1044" spans="1:28" x14ac:dyDescent="0.25">
      <c r="A1044" s="14" t="s">
        <v>931</v>
      </c>
      <c r="B1044" s="8" t="s">
        <v>932</v>
      </c>
      <c r="C1044" s="7" t="s">
        <v>2501</v>
      </c>
      <c r="D1044" s="9" t="s">
        <v>14246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4" t="s">
        <v>931</v>
      </c>
      <c r="K1044" s="10"/>
    </row>
    <row r="1045" spans="1:28" x14ac:dyDescent="0.25">
      <c r="A1045" s="14" t="s">
        <v>934</v>
      </c>
      <c r="B1045" s="8" t="s">
        <v>935</v>
      </c>
      <c r="C1045" s="7" t="s">
        <v>2501</v>
      </c>
      <c r="D1045" s="9" t="s">
        <v>14246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4" t="s">
        <v>934</v>
      </c>
      <c r="K1045" s="10"/>
    </row>
    <row r="1046" spans="1:28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15096</v>
      </c>
      <c r="J1046" s="14" t="s">
        <v>937</v>
      </c>
      <c r="K1046" s="10"/>
    </row>
    <row r="1047" spans="1:28" x14ac:dyDescent="0.25">
      <c r="A1047" s="14" t="s">
        <v>940</v>
      </c>
      <c r="B1047" s="8" t="s">
        <v>941</v>
      </c>
      <c r="C1047" s="7" t="s">
        <v>2501</v>
      </c>
      <c r="D1047" s="9" t="s">
        <v>14370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4" t="s">
        <v>940</v>
      </c>
      <c r="K1047" s="10"/>
    </row>
    <row r="1048" spans="1:28" x14ac:dyDescent="0.25">
      <c r="A1048" s="14" t="s">
        <v>15113</v>
      </c>
      <c r="B1048" s="8" t="s">
        <v>15114</v>
      </c>
      <c r="C1048" s="7" t="s">
        <v>2501</v>
      </c>
      <c r="D1048" s="9" t="s">
        <v>15115</v>
      </c>
      <c r="E1048" s="7">
        <v>0</v>
      </c>
      <c r="F1048" s="14" t="s">
        <v>15116</v>
      </c>
      <c r="G1048" s="7" t="s">
        <v>15117</v>
      </c>
      <c r="H1048" s="7" t="s">
        <v>2476</v>
      </c>
      <c r="I1048" s="8" t="s">
        <v>1645</v>
      </c>
      <c r="J1048" s="14" t="s">
        <v>15113</v>
      </c>
      <c r="K1048" s="10"/>
    </row>
    <row r="1049" spans="1:28" x14ac:dyDescent="0.25">
      <c r="A1049" s="14" t="s">
        <v>15118</v>
      </c>
      <c r="B1049" s="8" t="s">
        <v>15119</v>
      </c>
      <c r="C1049" s="7" t="s">
        <v>2501</v>
      </c>
      <c r="D1049" s="9" t="s">
        <v>15120</v>
      </c>
      <c r="E1049" s="7">
        <v>0</v>
      </c>
      <c r="F1049" s="14" t="s">
        <v>15121</v>
      </c>
      <c r="G1049" s="7" t="s">
        <v>15119</v>
      </c>
      <c r="H1049" s="7" t="s">
        <v>2476</v>
      </c>
      <c r="I1049" s="8" t="s">
        <v>2421</v>
      </c>
      <c r="J1049" s="14" t="s">
        <v>15118</v>
      </c>
      <c r="K1049" s="10"/>
    </row>
    <row r="1050" spans="1:28" x14ac:dyDescent="0.25">
      <c r="A1050" s="14" t="s">
        <v>15122</v>
      </c>
      <c r="B1050" s="8" t="s">
        <v>15123</v>
      </c>
      <c r="C1050" s="7" t="s">
        <v>2501</v>
      </c>
      <c r="D1050" s="9" t="s">
        <v>15124</v>
      </c>
      <c r="E1050" s="7">
        <v>0</v>
      </c>
      <c r="F1050" s="14" t="s">
        <v>15125</v>
      </c>
      <c r="G1050" s="7" t="s">
        <v>15123</v>
      </c>
      <c r="H1050" s="7" t="s">
        <v>2476</v>
      </c>
      <c r="I1050" s="8" t="s">
        <v>1491</v>
      </c>
      <c r="J1050" s="14" t="s">
        <v>15122</v>
      </c>
      <c r="K1050" s="10"/>
    </row>
    <row r="1051" spans="1:28" x14ac:dyDescent="0.25">
      <c r="A1051" s="14" t="s">
        <v>15126</v>
      </c>
      <c r="B1051" s="8" t="s">
        <v>15127</v>
      </c>
      <c r="C1051" s="7" t="s">
        <v>2501</v>
      </c>
      <c r="D1051" s="9" t="s">
        <v>15127</v>
      </c>
      <c r="E1051" s="7">
        <v>0</v>
      </c>
      <c r="F1051" s="14" t="s">
        <v>15128</v>
      </c>
      <c r="G1051" s="7" t="s">
        <v>15129</v>
      </c>
      <c r="H1051" s="7" t="s">
        <v>2476</v>
      </c>
      <c r="I1051" s="8" t="s">
        <v>3929</v>
      </c>
      <c r="J1051" s="14" t="s">
        <v>15126</v>
      </c>
      <c r="K1051" s="10"/>
    </row>
    <row r="1052" spans="1:28" x14ac:dyDescent="0.25">
      <c r="A1052" s="14" t="s">
        <v>943</v>
      </c>
      <c r="B1052" s="8" t="s">
        <v>944</v>
      </c>
      <c r="C1052" s="7" t="s">
        <v>2501</v>
      </c>
      <c r="D1052" s="9" t="s">
        <v>15130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14591</v>
      </c>
      <c r="J1052" s="14" t="s">
        <v>943</v>
      </c>
      <c r="K1052" s="10"/>
    </row>
    <row r="1053" spans="1:28" x14ac:dyDescent="0.25">
      <c r="A1053" s="14" t="s">
        <v>947</v>
      </c>
      <c r="B1053" s="8" t="s">
        <v>948</v>
      </c>
      <c r="C1053" s="7" t="s">
        <v>2501</v>
      </c>
      <c r="D1053" s="9" t="s">
        <v>14229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4" t="s">
        <v>947</v>
      </c>
      <c r="K1053" s="10"/>
    </row>
    <row r="1054" spans="1:28" x14ac:dyDescent="0.25">
      <c r="A1054" s="14" t="s">
        <v>950</v>
      </c>
      <c r="B1054" s="8" t="s">
        <v>951</v>
      </c>
      <c r="C1054" s="7" t="s">
        <v>2501</v>
      </c>
      <c r="D1054" s="9" t="s">
        <v>14697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4" t="s">
        <v>950</v>
      </c>
      <c r="K1054" s="10"/>
    </row>
    <row r="1055" spans="1:28" x14ac:dyDescent="0.25">
      <c r="A1055" s="14" t="s">
        <v>953</v>
      </c>
      <c r="B1055" s="8" t="s">
        <v>954</v>
      </c>
      <c r="C1055" s="7" t="s">
        <v>2501</v>
      </c>
      <c r="D1055" s="9" t="s">
        <v>15131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15132</v>
      </c>
      <c r="J1055" s="14" t="s">
        <v>953</v>
      </c>
      <c r="K1055" s="10"/>
    </row>
    <row r="1056" spans="1:28" x14ac:dyDescent="0.25">
      <c r="A1056" s="14" t="s">
        <v>957</v>
      </c>
      <c r="B1056" s="8" t="s">
        <v>958</v>
      </c>
      <c r="C1056" s="7" t="s">
        <v>2501</v>
      </c>
      <c r="D1056" s="9" t="s">
        <v>14697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4" t="s">
        <v>957</v>
      </c>
      <c r="K1056" s="10"/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15133</v>
      </c>
      <c r="J1057" s="14" t="s">
        <v>960</v>
      </c>
      <c r="K1057" s="10"/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14863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4" t="s">
        <v>1868</v>
      </c>
      <c r="K1058" s="10"/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14262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15132</v>
      </c>
      <c r="J1059" s="14" t="s">
        <v>1871</v>
      </c>
      <c r="K1059" s="10"/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15134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4" t="s">
        <v>1874</v>
      </c>
      <c r="K1060" s="10"/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15135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4" t="s">
        <v>1877</v>
      </c>
      <c r="K1061" s="10"/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4" t="s">
        <v>1879</v>
      </c>
      <c r="K1062" s="10"/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14705</v>
      </c>
      <c r="J1063" s="14" t="s">
        <v>1882</v>
      </c>
      <c r="K1063" s="10"/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14132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4" t="s">
        <v>2555</v>
      </c>
      <c r="K1064" s="10"/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4" t="s">
        <v>2558</v>
      </c>
      <c r="K1065" s="10"/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4" t="s">
        <v>2563</v>
      </c>
      <c r="K1066" s="10"/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15136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4" t="s">
        <v>4169</v>
      </c>
      <c r="K1067" s="10"/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15132</v>
      </c>
      <c r="J1068" s="14" t="s">
        <v>4172</v>
      </c>
      <c r="K1068" s="10"/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14132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4" t="s">
        <v>4176</v>
      </c>
      <c r="K1069" s="10"/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15137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15138</v>
      </c>
      <c r="J1070" s="14" t="s">
        <v>237</v>
      </c>
      <c r="K1070" s="10"/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14152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4" t="s">
        <v>240</v>
      </c>
      <c r="K1071" s="10"/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14132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4" t="s">
        <v>244</v>
      </c>
      <c r="K1072" s="10"/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14297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4" t="s">
        <v>248</v>
      </c>
      <c r="K1073" s="10"/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14812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4" t="s">
        <v>1838</v>
      </c>
      <c r="K1074" s="10"/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14154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4" t="s">
        <v>1841</v>
      </c>
      <c r="K1075" s="10"/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4" t="s">
        <v>1844</v>
      </c>
      <c r="K1076" s="10"/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15139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4" t="s">
        <v>1846</v>
      </c>
      <c r="K1077" s="10"/>
    </row>
    <row r="1078" spans="1:11" x14ac:dyDescent="0.25">
      <c r="A1078" s="14" t="s">
        <v>1849</v>
      </c>
      <c r="B1078" s="8" t="s">
        <v>15140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4" t="s">
        <v>1849</v>
      </c>
      <c r="K1078" s="10"/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14591</v>
      </c>
      <c r="J1079" s="14" t="s">
        <v>4179</v>
      </c>
      <c r="K1079" s="10"/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15141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14591</v>
      </c>
      <c r="J1080" s="14" t="s">
        <v>4183</v>
      </c>
      <c r="K1080" s="10"/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4" t="s">
        <v>4186</v>
      </c>
      <c r="K1081" s="10"/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4" t="s">
        <v>4190</v>
      </c>
      <c r="K1082" s="10"/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14705</v>
      </c>
      <c r="J1083" s="14" t="s">
        <v>4238</v>
      </c>
      <c r="K1083" s="10"/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14297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4" t="s">
        <v>4242</v>
      </c>
      <c r="K1084" s="10"/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15142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4" t="s">
        <v>4245</v>
      </c>
      <c r="K1085" s="10"/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4" t="s">
        <v>4248</v>
      </c>
      <c r="K1086" s="10"/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14292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4" t="s">
        <v>4250</v>
      </c>
      <c r="K1087" s="10"/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14297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4" t="s">
        <v>4252</v>
      </c>
      <c r="K1088" s="10"/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15138</v>
      </c>
      <c r="J1089" s="14" t="s">
        <v>4255</v>
      </c>
      <c r="K1089" s="10"/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15143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15133</v>
      </c>
      <c r="J1090" s="14" t="s">
        <v>4258</v>
      </c>
      <c r="K1090" s="10"/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15144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4" t="s">
        <v>4261</v>
      </c>
      <c r="K1091" s="10"/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15145</v>
      </c>
      <c r="J1092" s="14" t="s">
        <v>3675</v>
      </c>
      <c r="K1092" s="10"/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14490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4" t="s">
        <v>3678</v>
      </c>
      <c r="K1093" s="10"/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15146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14826</v>
      </c>
      <c r="J1094" s="14" t="s">
        <v>3681</v>
      </c>
      <c r="K1094" s="10"/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15145</v>
      </c>
      <c r="J1095" s="14" t="s">
        <v>3684</v>
      </c>
      <c r="K1095" s="10"/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14359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4" t="s">
        <v>3686</v>
      </c>
      <c r="K1096" s="10"/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14229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4" t="s">
        <v>3689</v>
      </c>
      <c r="K1097" s="10"/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14325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15145</v>
      </c>
      <c r="J1098" s="14" t="s">
        <v>3692</v>
      </c>
      <c r="K1098" s="10"/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14139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15147</v>
      </c>
      <c r="J1099" s="14" t="s">
        <v>3695</v>
      </c>
      <c r="K1099" s="10"/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15148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15149</v>
      </c>
      <c r="J1100" s="14" t="s">
        <v>3698</v>
      </c>
      <c r="K1100" s="10"/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15150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4" t="s">
        <v>3701</v>
      </c>
      <c r="K1101" s="10"/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15151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15152</v>
      </c>
      <c r="J1102" s="14" t="s">
        <v>3704</v>
      </c>
      <c r="K1102" s="10"/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15153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4" t="s">
        <v>3707</v>
      </c>
      <c r="K1103" s="10"/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14297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15145</v>
      </c>
      <c r="J1104" s="14" t="s">
        <v>1381</v>
      </c>
      <c r="K1104" s="10"/>
    </row>
    <row r="1105" spans="1:11" x14ac:dyDescent="0.25">
      <c r="A1105" s="14" t="s">
        <v>1384</v>
      </c>
      <c r="B1105" s="8" t="s">
        <v>15154</v>
      </c>
      <c r="C1105" s="7" t="s">
        <v>2501</v>
      </c>
      <c r="D1105" s="9" t="s">
        <v>14437</v>
      </c>
      <c r="E1105" s="7">
        <v>0</v>
      </c>
      <c r="F1105" s="14" t="s">
        <v>1385</v>
      </c>
      <c r="G1105" s="7" t="s">
        <v>15154</v>
      </c>
      <c r="H1105" s="7" t="s">
        <v>3676</v>
      </c>
      <c r="I1105" s="8" t="s">
        <v>15154</v>
      </c>
      <c r="J1105" s="14" t="s">
        <v>1384</v>
      </c>
      <c r="K1105" s="10"/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15155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15145</v>
      </c>
      <c r="J1106" s="14" t="s">
        <v>1386</v>
      </c>
      <c r="K1106" s="10"/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14126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15145</v>
      </c>
      <c r="J1107" s="14" t="s">
        <v>1389</v>
      </c>
      <c r="K1107" s="10"/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15145</v>
      </c>
      <c r="J1108" s="14" t="s">
        <v>1392</v>
      </c>
      <c r="K1108" s="10"/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14297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4" t="s">
        <v>1396</v>
      </c>
      <c r="K1109" s="10"/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15156</v>
      </c>
      <c r="J1110" s="14" t="s">
        <v>1399</v>
      </c>
      <c r="K1110" s="10"/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14139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15157</v>
      </c>
      <c r="J1111" s="14" t="s">
        <v>1402</v>
      </c>
      <c r="K1111" s="10"/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15158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15159</v>
      </c>
      <c r="J1112" s="14" t="s">
        <v>1405</v>
      </c>
      <c r="K1112" s="10"/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15159</v>
      </c>
      <c r="J1113" s="14" t="s">
        <v>1408</v>
      </c>
      <c r="K1113" s="10"/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14270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15160</v>
      </c>
      <c r="J1114" s="14" t="s">
        <v>1412</v>
      </c>
      <c r="K1114" s="10"/>
    </row>
    <row r="1115" spans="1:11" x14ac:dyDescent="0.25">
      <c r="A1115" s="14" t="s">
        <v>15161</v>
      </c>
      <c r="B1115" s="8" t="s">
        <v>15162</v>
      </c>
      <c r="C1115" s="7" t="s">
        <v>2501</v>
      </c>
      <c r="D1115" s="9" t="s">
        <v>1223</v>
      </c>
      <c r="E1115" s="7">
        <v>0</v>
      </c>
      <c r="F1115" s="14" t="s">
        <v>15163</v>
      </c>
      <c r="G1115" s="7" t="s">
        <v>15162</v>
      </c>
      <c r="H1115" s="7" t="s">
        <v>3676</v>
      </c>
      <c r="I1115" s="8" t="s">
        <v>14826</v>
      </c>
      <c r="J1115" s="14" t="s">
        <v>15161</v>
      </c>
      <c r="K1115" s="10"/>
    </row>
    <row r="1116" spans="1:11" x14ac:dyDescent="0.25">
      <c r="A1116" s="14" t="s">
        <v>1415</v>
      </c>
      <c r="B1116" s="8" t="s">
        <v>15164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15164</v>
      </c>
      <c r="H1116" s="7" t="s">
        <v>3676</v>
      </c>
      <c r="I1116" s="8" t="s">
        <v>15154</v>
      </c>
      <c r="J1116" s="14" t="s">
        <v>1415</v>
      </c>
      <c r="K1116" s="10"/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14761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15165</v>
      </c>
      <c r="J1117" s="14" t="s">
        <v>1418</v>
      </c>
      <c r="K1117" s="10"/>
    </row>
    <row r="1118" spans="1:11" x14ac:dyDescent="0.25">
      <c r="A1118" s="14" t="s">
        <v>15166</v>
      </c>
      <c r="B1118" s="8" t="s">
        <v>15167</v>
      </c>
      <c r="C1118" s="7" t="s">
        <v>2501</v>
      </c>
      <c r="D1118" s="9" t="s">
        <v>15168</v>
      </c>
      <c r="E1118" s="7">
        <v>1450</v>
      </c>
      <c r="F1118" s="14" t="s">
        <v>15169</v>
      </c>
      <c r="G1118" s="7" t="s">
        <v>3728</v>
      </c>
      <c r="H1118" s="7" t="s">
        <v>3729</v>
      </c>
      <c r="I1118" s="8" t="s">
        <v>15165</v>
      </c>
      <c r="J1118" s="14" t="s">
        <v>15166</v>
      </c>
      <c r="K1118" s="10"/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14247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4" t="s">
        <v>3730</v>
      </c>
      <c r="K1119" s="10"/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4" t="s">
        <v>3733</v>
      </c>
      <c r="K1120" s="10"/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14246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4" t="s">
        <v>3737</v>
      </c>
      <c r="K1121" s="10"/>
    </row>
    <row r="1122" spans="1:11" x14ac:dyDescent="0.25">
      <c r="A1122" s="14" t="s">
        <v>3740</v>
      </c>
      <c r="B1122" s="8" t="s">
        <v>15170</v>
      </c>
      <c r="C1122" s="7" t="s">
        <v>2501</v>
      </c>
      <c r="D1122" s="9" t="s">
        <v>15171</v>
      </c>
      <c r="E1122" s="7">
        <v>0</v>
      </c>
      <c r="F1122" s="14" t="s">
        <v>3741</v>
      </c>
      <c r="G1122" s="7" t="s">
        <v>15170</v>
      </c>
      <c r="H1122" s="7" t="s">
        <v>3729</v>
      </c>
      <c r="I1122" s="8" t="s">
        <v>15170</v>
      </c>
      <c r="J1122" s="14" t="s">
        <v>3740</v>
      </c>
      <c r="K1122" s="10"/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15172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4" t="s">
        <v>3742</v>
      </c>
      <c r="K1123" s="10"/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14297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15165</v>
      </c>
      <c r="J1124" s="14" t="s">
        <v>1345</v>
      </c>
      <c r="K1124" s="10"/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15173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4" t="s">
        <v>1348</v>
      </c>
      <c r="K1125" s="10"/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15174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4" t="s">
        <v>1351</v>
      </c>
      <c r="K1126" s="10"/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4" t="s">
        <v>1354</v>
      </c>
      <c r="K1127" s="10"/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14297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4" t="s">
        <v>1357</v>
      </c>
      <c r="K1128" s="10"/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4" t="s">
        <v>1360</v>
      </c>
      <c r="K1129" s="10"/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15175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4" t="s">
        <v>1363</v>
      </c>
      <c r="K1130" s="10"/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15176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4" t="s">
        <v>1366</v>
      </c>
      <c r="K1131" s="10"/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4" t="s">
        <v>1369</v>
      </c>
      <c r="K1132" s="10"/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14229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4" t="s">
        <v>1372</v>
      </c>
      <c r="K1133" s="10"/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14986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4" t="s">
        <v>1376</v>
      </c>
      <c r="K1134" s="10"/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14325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4" t="s">
        <v>1424</v>
      </c>
      <c r="K1135" s="10"/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14424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4" t="s">
        <v>1428</v>
      </c>
      <c r="K1136" s="10"/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15177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4" t="s">
        <v>1432</v>
      </c>
      <c r="K1137" s="10"/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14246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4" t="s">
        <v>1435</v>
      </c>
      <c r="K1138" s="10"/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14548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4" t="s">
        <v>1438</v>
      </c>
      <c r="K1139" s="10"/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14290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14373</v>
      </c>
      <c r="J1140" s="14" t="s">
        <v>1441</v>
      </c>
      <c r="K1140" s="10"/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14132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4" t="s">
        <v>1444</v>
      </c>
      <c r="K1141" s="10"/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4" t="s">
        <v>1447</v>
      </c>
      <c r="K1142" s="10"/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15178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4" t="s">
        <v>1450</v>
      </c>
      <c r="K1143" s="10"/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4" t="s">
        <v>1453</v>
      </c>
      <c r="K1144" s="10"/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14388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15179</v>
      </c>
      <c r="J1145" s="14" t="s">
        <v>1456</v>
      </c>
      <c r="K1145" s="10"/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14213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14335</v>
      </c>
      <c r="J1146" s="14" t="s">
        <v>1459</v>
      </c>
      <c r="K1146" s="10"/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15180</v>
      </c>
      <c r="J1147" s="14" t="s">
        <v>1461</v>
      </c>
      <c r="K1147" s="10"/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14168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15179</v>
      </c>
      <c r="J1148" s="14" t="s">
        <v>3773</v>
      </c>
      <c r="K1148" s="10"/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15181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4" t="s">
        <v>3776</v>
      </c>
      <c r="K1149" s="10"/>
    </row>
    <row r="1150" spans="1:11" x14ac:dyDescent="0.25">
      <c r="A1150" s="14" t="s">
        <v>15182</v>
      </c>
      <c r="B1150" s="8" t="s">
        <v>15183</v>
      </c>
      <c r="C1150" s="7" t="s">
        <v>2501</v>
      </c>
      <c r="D1150" s="9" t="s">
        <v>15184</v>
      </c>
      <c r="E1150" s="7">
        <v>0</v>
      </c>
      <c r="F1150" s="14" t="s">
        <v>15185</v>
      </c>
      <c r="G1150" s="7" t="s">
        <v>15183</v>
      </c>
      <c r="H1150" s="7" t="s">
        <v>3729</v>
      </c>
      <c r="I1150" s="8" t="s">
        <v>15186</v>
      </c>
      <c r="J1150" s="14" t="s">
        <v>15182</v>
      </c>
      <c r="K1150" s="10"/>
    </row>
    <row r="1151" spans="1:11" x14ac:dyDescent="0.25">
      <c r="A1151" s="14" t="s">
        <v>15187</v>
      </c>
      <c r="B1151" s="8" t="s">
        <v>15188</v>
      </c>
      <c r="C1151" s="7" t="s">
        <v>2501</v>
      </c>
      <c r="D1151" s="9" t="s">
        <v>14297</v>
      </c>
      <c r="E1151" s="7">
        <v>0</v>
      </c>
      <c r="F1151" s="14" t="s">
        <v>15189</v>
      </c>
      <c r="G1151" s="7" t="s">
        <v>15190</v>
      </c>
      <c r="H1151" s="7" t="s">
        <v>3729</v>
      </c>
      <c r="I1151" s="8" t="s">
        <v>208</v>
      </c>
      <c r="J1151" s="14" t="s">
        <v>15187</v>
      </c>
      <c r="K1151" s="10"/>
    </row>
    <row r="1152" spans="1:11" x14ac:dyDescent="0.25">
      <c r="A1152" s="14" t="s">
        <v>15191</v>
      </c>
      <c r="B1152" s="8" t="s">
        <v>15192</v>
      </c>
      <c r="C1152" s="7" t="s">
        <v>2501</v>
      </c>
      <c r="D1152" s="9" t="s">
        <v>14297</v>
      </c>
      <c r="E1152" s="7">
        <v>0</v>
      </c>
      <c r="F1152" s="14" t="s">
        <v>15193</v>
      </c>
      <c r="G1152" s="7" t="s">
        <v>15192</v>
      </c>
      <c r="H1152" s="7" t="s">
        <v>3729</v>
      </c>
      <c r="I1152" s="8" t="s">
        <v>208</v>
      </c>
      <c r="J1152" s="14" t="s">
        <v>15191</v>
      </c>
      <c r="K1152" s="10"/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15179</v>
      </c>
      <c r="J1153" s="14" t="s">
        <v>3779</v>
      </c>
      <c r="K1153" s="10"/>
    </row>
    <row r="1154" spans="1:11" x14ac:dyDescent="0.25">
      <c r="A1154" s="14" t="s">
        <v>15194</v>
      </c>
      <c r="B1154" s="8" t="s">
        <v>15195</v>
      </c>
      <c r="C1154" s="7" t="s">
        <v>2501</v>
      </c>
      <c r="D1154" s="9" t="s">
        <v>15196</v>
      </c>
      <c r="E1154" s="7">
        <v>605</v>
      </c>
      <c r="F1154" s="14" t="s">
        <v>15197</v>
      </c>
      <c r="G1154" s="7" t="s">
        <v>15198</v>
      </c>
      <c r="H1154" s="7" t="s">
        <v>3729</v>
      </c>
      <c r="I1154" s="8" t="s">
        <v>1994</v>
      </c>
      <c r="J1154" s="14" t="s">
        <v>15194</v>
      </c>
      <c r="K1154" s="10"/>
    </row>
    <row r="1155" spans="1:11" x14ac:dyDescent="0.25">
      <c r="A1155" s="14" t="s">
        <v>15199</v>
      </c>
      <c r="B1155" s="8" t="s">
        <v>15200</v>
      </c>
      <c r="C1155" s="7" t="s">
        <v>2501</v>
      </c>
      <c r="D1155" s="9" t="s">
        <v>15201</v>
      </c>
      <c r="E1155" s="7">
        <v>764</v>
      </c>
      <c r="F1155" s="14" t="s">
        <v>15202</v>
      </c>
      <c r="G1155" s="7" t="s">
        <v>15200</v>
      </c>
      <c r="H1155" s="7" t="s">
        <v>3729</v>
      </c>
      <c r="I1155" s="8" t="s">
        <v>14373</v>
      </c>
      <c r="J1155" s="14" t="s">
        <v>15199</v>
      </c>
      <c r="K1155" s="10"/>
    </row>
    <row r="1156" spans="1:11" x14ac:dyDescent="0.25">
      <c r="A1156" s="14" t="s">
        <v>15203</v>
      </c>
      <c r="B1156" s="8" t="s">
        <v>15204</v>
      </c>
      <c r="C1156" s="7" t="s">
        <v>2501</v>
      </c>
      <c r="D1156" s="9" t="s">
        <v>14156</v>
      </c>
      <c r="E1156" s="7">
        <v>134</v>
      </c>
      <c r="F1156" s="14" t="s">
        <v>15205</v>
      </c>
      <c r="G1156" s="7" t="s">
        <v>1367</v>
      </c>
      <c r="H1156" s="7" t="s">
        <v>3729</v>
      </c>
      <c r="I1156" s="8" t="s">
        <v>1427</v>
      </c>
      <c r="J1156" s="14" t="s">
        <v>15203</v>
      </c>
      <c r="K1156" s="10"/>
    </row>
    <row r="1157" spans="1:11" x14ac:dyDescent="0.25">
      <c r="A1157" s="14" t="s">
        <v>15206</v>
      </c>
      <c r="B1157" s="8" t="s">
        <v>15207</v>
      </c>
      <c r="C1157" s="7" t="s">
        <v>2501</v>
      </c>
      <c r="D1157" s="9" t="s">
        <v>14290</v>
      </c>
      <c r="E1157" s="7">
        <v>830</v>
      </c>
      <c r="F1157" s="14" t="s">
        <v>15208</v>
      </c>
      <c r="G1157" s="7" t="s">
        <v>3728</v>
      </c>
      <c r="H1157" s="7" t="s">
        <v>3729</v>
      </c>
      <c r="I1157" s="8" t="s">
        <v>15165</v>
      </c>
      <c r="J1157" s="14" t="s">
        <v>15206</v>
      </c>
      <c r="K1157" s="10"/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14591</v>
      </c>
      <c r="J1158" s="14" t="s">
        <v>2496</v>
      </c>
      <c r="K1158" s="10"/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14417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4" t="s">
        <v>2499</v>
      </c>
      <c r="K1159" s="10"/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15209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15210</v>
      </c>
      <c r="J1160" s="14" t="s">
        <v>2503</v>
      </c>
      <c r="K1160" s="10"/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14154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4" t="s">
        <v>2506</v>
      </c>
      <c r="K1161" s="10"/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15211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4" t="s">
        <v>2509</v>
      </c>
      <c r="K1162" s="10"/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14986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4" t="s">
        <v>206</v>
      </c>
      <c r="K1163" s="10"/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4" t="s">
        <v>211</v>
      </c>
      <c r="K1164" s="10"/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15212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4" t="s">
        <v>214</v>
      </c>
      <c r="K1165" s="10"/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15213</v>
      </c>
      <c r="J1166" s="14" t="s">
        <v>217</v>
      </c>
      <c r="K1166" s="10"/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15214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4" t="s">
        <v>221</v>
      </c>
      <c r="K1167" s="10"/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14132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4" t="s">
        <v>224</v>
      </c>
      <c r="K1168" s="10"/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4" t="s">
        <v>227</v>
      </c>
      <c r="K1169" s="10"/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15215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4" t="s">
        <v>231</v>
      </c>
      <c r="K1170" s="10"/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15216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4" t="s">
        <v>2543</v>
      </c>
      <c r="K1171" s="10"/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14417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15213</v>
      </c>
      <c r="J1172" s="14" t="s">
        <v>2546</v>
      </c>
      <c r="K1172" s="10"/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14285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15210</v>
      </c>
      <c r="J1173" s="14" t="s">
        <v>2549</v>
      </c>
      <c r="K1173" s="10"/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15217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4" t="s">
        <v>4159</v>
      </c>
      <c r="K1174" s="10"/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14697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15213</v>
      </c>
      <c r="J1175" s="14" t="s">
        <v>4162</v>
      </c>
      <c r="K1175" s="10"/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14297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4" t="s">
        <v>1888</v>
      </c>
      <c r="K1176" s="10"/>
    </row>
    <row r="1177" spans="1:11" x14ac:dyDescent="0.25">
      <c r="A1177" s="14" t="s">
        <v>15218</v>
      </c>
      <c r="B1177" s="8" t="s">
        <v>1491</v>
      </c>
      <c r="C1177" s="7" t="s">
        <v>2501</v>
      </c>
      <c r="D1177" s="9" t="s">
        <v>15219</v>
      </c>
      <c r="E1177" s="7">
        <v>100</v>
      </c>
      <c r="F1177" s="14" t="s">
        <v>15220</v>
      </c>
      <c r="G1177" s="7" t="s">
        <v>1491</v>
      </c>
      <c r="H1177" s="7" t="s">
        <v>2497</v>
      </c>
      <c r="I1177" s="8" t="s">
        <v>1491</v>
      </c>
      <c r="J1177" s="14" t="s">
        <v>15218</v>
      </c>
      <c r="K1177" s="10"/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15221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4" t="s">
        <v>1892</v>
      </c>
      <c r="K1178" s="10"/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4" t="s">
        <v>1895</v>
      </c>
      <c r="K1179" s="10"/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15222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15223</v>
      </c>
      <c r="J1180" s="14" t="s">
        <v>1899</v>
      </c>
      <c r="K1180" s="10"/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14417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4" t="s">
        <v>1903</v>
      </c>
      <c r="K1181" s="10"/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15224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15213</v>
      </c>
      <c r="J1182" s="14" t="s">
        <v>1906</v>
      </c>
      <c r="K1182" s="10"/>
    </row>
    <row r="1183" spans="1:11" x14ac:dyDescent="0.25">
      <c r="A1183" s="14" t="s">
        <v>15225</v>
      </c>
      <c r="B1183" s="8" t="s">
        <v>15226</v>
      </c>
      <c r="C1183" s="7" t="s">
        <v>2501</v>
      </c>
      <c r="D1183" s="9" t="s">
        <v>15227</v>
      </c>
      <c r="E1183" s="7">
        <v>150</v>
      </c>
      <c r="F1183" s="14" t="s">
        <v>15228</v>
      </c>
      <c r="G1183" s="7" t="s">
        <v>15226</v>
      </c>
      <c r="H1183" s="7" t="s">
        <v>2497</v>
      </c>
      <c r="I1183" s="8" t="s">
        <v>15229</v>
      </c>
      <c r="J1183" s="14" t="s">
        <v>15225</v>
      </c>
      <c r="K1183" s="10"/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14213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15230</v>
      </c>
      <c r="J1184" s="14" t="s">
        <v>1909</v>
      </c>
      <c r="K1184" s="10"/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14417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4" t="s">
        <v>1913</v>
      </c>
      <c r="K1185" s="10"/>
    </row>
    <row r="1186" spans="1:11" x14ac:dyDescent="0.25">
      <c r="A1186" s="14" t="s">
        <v>15231</v>
      </c>
      <c r="B1186" s="8" t="s">
        <v>15232</v>
      </c>
      <c r="C1186" s="7" t="s">
        <v>2501</v>
      </c>
      <c r="D1186" s="9" t="s">
        <v>14229</v>
      </c>
      <c r="E1186" s="7">
        <v>0</v>
      </c>
      <c r="F1186" s="14" t="s">
        <v>15233</v>
      </c>
      <c r="G1186" s="7" t="s">
        <v>15232</v>
      </c>
      <c r="H1186" s="7" t="s">
        <v>2497</v>
      </c>
      <c r="I1186" s="8" t="s">
        <v>15232</v>
      </c>
      <c r="J1186" s="14" t="s">
        <v>15231</v>
      </c>
      <c r="K1186" s="10"/>
    </row>
    <row r="1187" spans="1:11" x14ac:dyDescent="0.25">
      <c r="A1187" s="14" t="s">
        <v>15234</v>
      </c>
      <c r="B1187" s="8" t="s">
        <v>15235</v>
      </c>
      <c r="C1187" s="7" t="s">
        <v>2501</v>
      </c>
      <c r="D1187" s="9" t="s">
        <v>14723</v>
      </c>
      <c r="E1187" s="7">
        <v>0</v>
      </c>
      <c r="F1187" s="14" t="s">
        <v>15236</v>
      </c>
      <c r="G1187" s="7" t="s">
        <v>15235</v>
      </c>
      <c r="H1187" s="7" t="s">
        <v>2497</v>
      </c>
      <c r="I1187" s="8" t="s">
        <v>14591</v>
      </c>
      <c r="J1187" s="14" t="s">
        <v>15234</v>
      </c>
      <c r="K1187" s="10"/>
    </row>
    <row r="1188" spans="1:11" x14ac:dyDescent="0.25">
      <c r="A1188" s="14" t="s">
        <v>15237</v>
      </c>
      <c r="B1188" s="8" t="s">
        <v>15238</v>
      </c>
      <c r="C1188" s="7" t="s">
        <v>2501</v>
      </c>
      <c r="D1188" s="9" t="s">
        <v>15034</v>
      </c>
      <c r="E1188" s="7">
        <v>0</v>
      </c>
      <c r="F1188" s="14" t="s">
        <v>15239</v>
      </c>
      <c r="G1188" s="7" t="s">
        <v>15238</v>
      </c>
      <c r="H1188" s="7" t="s">
        <v>2497</v>
      </c>
      <c r="I1188" s="8" t="s">
        <v>1898</v>
      </c>
      <c r="J1188" s="14" t="s">
        <v>15237</v>
      </c>
      <c r="K1188" s="10"/>
    </row>
    <row r="1189" spans="1:11" x14ac:dyDescent="0.25">
      <c r="A1189" s="14" t="s">
        <v>1916</v>
      </c>
      <c r="B1189" s="8" t="s">
        <v>15240</v>
      </c>
      <c r="C1189" s="7" t="s">
        <v>2501</v>
      </c>
      <c r="D1189" s="9" t="s">
        <v>14955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14591</v>
      </c>
      <c r="J1189" s="14" t="s">
        <v>1916</v>
      </c>
      <c r="K1189" s="10"/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14132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4" t="s">
        <v>1918</v>
      </c>
      <c r="K1190" s="10"/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4" t="s">
        <v>1921</v>
      </c>
      <c r="K1191" s="10"/>
    </row>
    <row r="1192" spans="1:11" x14ac:dyDescent="0.25">
      <c r="A1192" s="14" t="s">
        <v>15241</v>
      </c>
      <c r="B1192" s="8" t="s">
        <v>15242</v>
      </c>
      <c r="C1192" s="7" t="s">
        <v>2501</v>
      </c>
      <c r="D1192" s="9" t="s">
        <v>15243</v>
      </c>
      <c r="E1192" s="7">
        <v>0</v>
      </c>
      <c r="F1192" s="14" t="s">
        <v>15244</v>
      </c>
      <c r="G1192" s="7" t="s">
        <v>15245</v>
      </c>
      <c r="H1192" s="7" t="s">
        <v>2497</v>
      </c>
      <c r="I1192" s="8" t="s">
        <v>1491</v>
      </c>
      <c r="J1192" s="14" t="s">
        <v>15241</v>
      </c>
      <c r="K1192" s="10"/>
    </row>
    <row r="1193" spans="1:11" x14ac:dyDescent="0.25">
      <c r="A1193" s="14" t="s">
        <v>1925</v>
      </c>
      <c r="B1193" s="8" t="s">
        <v>15246</v>
      </c>
      <c r="C1193" s="7" t="s">
        <v>2501</v>
      </c>
      <c r="D1193" s="9" t="s">
        <v>14540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14591</v>
      </c>
      <c r="J1193" s="14" t="s">
        <v>1925</v>
      </c>
      <c r="K1193" s="10"/>
    </row>
    <row r="1194" spans="1:11" x14ac:dyDescent="0.25">
      <c r="A1194" s="14" t="s">
        <v>15247</v>
      </c>
      <c r="B1194" s="8" t="s">
        <v>15248</v>
      </c>
      <c r="C1194" s="7" t="s">
        <v>2501</v>
      </c>
      <c r="D1194" s="9" t="s">
        <v>15249</v>
      </c>
      <c r="E1194" s="7">
        <v>0</v>
      </c>
      <c r="F1194" s="14" t="s">
        <v>15250</v>
      </c>
      <c r="G1194" s="7" t="s">
        <v>2497</v>
      </c>
      <c r="H1194" s="7" t="s">
        <v>2497</v>
      </c>
      <c r="I1194" s="8" t="s">
        <v>14591</v>
      </c>
      <c r="J1194" s="14" t="s">
        <v>15247</v>
      </c>
      <c r="K1194" s="10"/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15210</v>
      </c>
      <c r="J1195" s="14" t="s">
        <v>1927</v>
      </c>
      <c r="K1195" s="10"/>
    </row>
    <row r="1196" spans="1:11" x14ac:dyDescent="0.25">
      <c r="A1196" s="14" t="s">
        <v>15251</v>
      </c>
      <c r="B1196" s="8" t="s">
        <v>15252</v>
      </c>
      <c r="C1196" s="7" t="s">
        <v>2501</v>
      </c>
      <c r="D1196" s="9" t="s">
        <v>15253</v>
      </c>
      <c r="E1196" s="7">
        <v>0</v>
      </c>
      <c r="F1196" s="14" t="s">
        <v>15254</v>
      </c>
      <c r="G1196" s="7" t="s">
        <v>2497</v>
      </c>
      <c r="H1196" s="7" t="s">
        <v>2497</v>
      </c>
      <c r="I1196" s="8" t="s">
        <v>14591</v>
      </c>
      <c r="J1196" s="14" t="s">
        <v>15251</v>
      </c>
      <c r="K1196" s="10"/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15255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14591</v>
      </c>
      <c r="J1197" s="14" t="s">
        <v>2982</v>
      </c>
      <c r="K1197" s="10"/>
    </row>
    <row r="1198" spans="1:11" x14ac:dyDescent="0.25">
      <c r="A1198" s="14" t="s">
        <v>2984</v>
      </c>
      <c r="B1198" s="8" t="s">
        <v>15256</v>
      </c>
      <c r="C1198" s="7" t="s">
        <v>2501</v>
      </c>
      <c r="D1198" s="9" t="s">
        <v>14450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4" t="s">
        <v>2984</v>
      </c>
      <c r="K1198" s="10"/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4" t="s">
        <v>2986</v>
      </c>
      <c r="K1199" s="10"/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15257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4" t="s">
        <v>2991</v>
      </c>
      <c r="K1200" s="10"/>
    </row>
    <row r="1201" spans="1:11" x14ac:dyDescent="0.25">
      <c r="A1201" s="14" t="s">
        <v>15258</v>
      </c>
      <c r="B1201" s="8" t="s">
        <v>15259</v>
      </c>
      <c r="C1201" s="7" t="s">
        <v>2501</v>
      </c>
      <c r="D1201" s="9" t="s">
        <v>14628</v>
      </c>
      <c r="E1201" s="7">
        <v>10</v>
      </c>
      <c r="F1201" s="14" t="s">
        <v>15260</v>
      </c>
      <c r="G1201" s="7" t="s">
        <v>15259</v>
      </c>
      <c r="H1201" s="7" t="s">
        <v>3126</v>
      </c>
      <c r="I1201" s="8" t="s">
        <v>15261</v>
      </c>
      <c r="J1201" s="14" t="s">
        <v>15258</v>
      </c>
      <c r="K1201" s="10"/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14325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4" t="s">
        <v>3086</v>
      </c>
      <c r="K1202" s="10"/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14812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4" t="s">
        <v>3089</v>
      </c>
      <c r="K1203" s="10"/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15262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4" t="s">
        <v>3093</v>
      </c>
      <c r="K1204" s="10"/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14136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4" t="s">
        <v>3096</v>
      </c>
      <c r="K1205" s="10"/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4" t="s">
        <v>3099</v>
      </c>
      <c r="K1206" s="10"/>
    </row>
    <row r="1207" spans="1:11" x14ac:dyDescent="0.25">
      <c r="A1207" s="14" t="s">
        <v>15263</v>
      </c>
      <c r="B1207" s="8" t="s">
        <v>15261</v>
      </c>
      <c r="C1207" s="7" t="s">
        <v>2501</v>
      </c>
      <c r="D1207" s="9" t="s">
        <v>15264</v>
      </c>
      <c r="E1207" s="7">
        <v>10</v>
      </c>
      <c r="F1207" s="14" t="s">
        <v>15265</v>
      </c>
      <c r="G1207" s="7" t="s">
        <v>15261</v>
      </c>
      <c r="H1207" s="7" t="s">
        <v>3126</v>
      </c>
      <c r="I1207" s="8" t="s">
        <v>15261</v>
      </c>
      <c r="J1207" s="14" t="s">
        <v>15263</v>
      </c>
      <c r="K1207" s="10"/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4" t="s">
        <v>3102</v>
      </c>
      <c r="K1208" s="10"/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15266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15261</v>
      </c>
      <c r="J1209" s="14" t="s">
        <v>3105</v>
      </c>
      <c r="K1209" s="10"/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15257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4" t="s">
        <v>3107</v>
      </c>
      <c r="K1210" s="10"/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15267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4" t="s">
        <v>3110</v>
      </c>
      <c r="K1211" s="10"/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15261</v>
      </c>
      <c r="J1212" s="14" t="s">
        <v>3113</v>
      </c>
      <c r="K1212" s="10"/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4" t="s">
        <v>3117</v>
      </c>
      <c r="K1213" s="10"/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4" t="s">
        <v>3120</v>
      </c>
      <c r="K1214" s="10"/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15268</v>
      </c>
      <c r="J1215" s="14" t="s">
        <v>1595</v>
      </c>
      <c r="K1215" s="10"/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14229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15269</v>
      </c>
      <c r="J1216" s="14" t="s">
        <v>1598</v>
      </c>
      <c r="K1216" s="10"/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15262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4" t="s">
        <v>1601</v>
      </c>
      <c r="K1217" s="10"/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4" t="s">
        <v>1604</v>
      </c>
      <c r="K1218" s="10"/>
    </row>
    <row r="1219" spans="1:11" x14ac:dyDescent="0.25">
      <c r="A1219" s="14" t="s">
        <v>1607</v>
      </c>
      <c r="B1219" s="8" t="s">
        <v>15270</v>
      </c>
      <c r="C1219" s="7" t="s">
        <v>2501</v>
      </c>
      <c r="D1219" s="9" t="s">
        <v>14270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4" t="s">
        <v>1607</v>
      </c>
      <c r="K1219" s="10"/>
    </row>
    <row r="1220" spans="1:11" x14ac:dyDescent="0.25">
      <c r="A1220" s="14" t="s">
        <v>15271</v>
      </c>
      <c r="B1220" s="8" t="s">
        <v>1757</v>
      </c>
      <c r="C1220" s="7" t="s">
        <v>2501</v>
      </c>
      <c r="D1220" s="9" t="s">
        <v>15272</v>
      </c>
      <c r="E1220" s="7">
        <v>0</v>
      </c>
      <c r="F1220" s="14" t="s">
        <v>15273</v>
      </c>
      <c r="G1220" s="7" t="s">
        <v>1757</v>
      </c>
      <c r="H1220" s="7" t="s">
        <v>3126</v>
      </c>
      <c r="I1220" s="8" t="s">
        <v>3103</v>
      </c>
      <c r="J1220" s="14" t="s">
        <v>15271</v>
      </c>
      <c r="K1220" s="10"/>
    </row>
    <row r="1221" spans="1:11" x14ac:dyDescent="0.25">
      <c r="A1221" s="14" t="s">
        <v>15274</v>
      </c>
      <c r="B1221" s="8" t="s">
        <v>15275</v>
      </c>
      <c r="C1221" s="7" t="s">
        <v>2501</v>
      </c>
      <c r="D1221" s="9" t="s">
        <v>15276</v>
      </c>
      <c r="E1221" s="7">
        <v>0</v>
      </c>
      <c r="F1221" s="14" t="s">
        <v>15277</v>
      </c>
      <c r="G1221" s="7" t="s">
        <v>15275</v>
      </c>
      <c r="H1221" s="7" t="s">
        <v>3126</v>
      </c>
      <c r="I1221" s="8" t="s">
        <v>3121</v>
      </c>
      <c r="J1221" s="14" t="s">
        <v>15274</v>
      </c>
      <c r="K1221" s="10"/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15278</v>
      </c>
      <c r="G1222" s="7" t="s">
        <v>882</v>
      </c>
      <c r="H1222" s="7" t="s">
        <v>882</v>
      </c>
      <c r="I1222" s="8" t="s">
        <v>15279</v>
      </c>
      <c r="J1222" s="14" t="s">
        <v>1714</v>
      </c>
      <c r="K1222" s="10"/>
    </row>
    <row r="1223" spans="1:11" x14ac:dyDescent="0.25">
      <c r="A1223" s="14" t="s">
        <v>1715</v>
      </c>
      <c r="B1223" s="8" t="s">
        <v>15280</v>
      </c>
      <c r="C1223" s="7" t="s">
        <v>2501</v>
      </c>
      <c r="D1223" s="9" t="s">
        <v>14212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15279</v>
      </c>
      <c r="J1223" s="14" t="s">
        <v>1715</v>
      </c>
      <c r="K1223" s="10"/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15281</v>
      </c>
      <c r="J1224" s="14" t="s">
        <v>1717</v>
      </c>
      <c r="K1224" s="10"/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14720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15281</v>
      </c>
      <c r="J1225" s="14" t="s">
        <v>1721</v>
      </c>
      <c r="K1225" s="10"/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4" t="s">
        <v>3286</v>
      </c>
      <c r="K1226" s="10"/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14213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4" t="s">
        <v>3289</v>
      </c>
      <c r="K1227" s="10"/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14157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15282</v>
      </c>
      <c r="J1228" s="14" t="s">
        <v>3292</v>
      </c>
      <c r="K1228" s="10"/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4" t="s">
        <v>3295</v>
      </c>
      <c r="K1229" s="10"/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14720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4" t="s">
        <v>1754</v>
      </c>
      <c r="K1230" s="10"/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15283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15282</v>
      </c>
      <c r="J1231" s="14" t="s">
        <v>1756</v>
      </c>
      <c r="K1231" s="10"/>
    </row>
    <row r="1232" spans="1:11" x14ac:dyDescent="0.25">
      <c r="A1232" s="14" t="s">
        <v>1759</v>
      </c>
      <c r="B1232" s="8" t="s">
        <v>15284</v>
      </c>
      <c r="C1232" s="7" t="s">
        <v>2501</v>
      </c>
      <c r="D1232" s="9" t="s">
        <v>14188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15282</v>
      </c>
      <c r="J1232" s="14" t="s">
        <v>1759</v>
      </c>
      <c r="K1232" s="10"/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15285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4" t="s">
        <v>1761</v>
      </c>
      <c r="K1233" s="10"/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4" t="s">
        <v>1763</v>
      </c>
      <c r="K1234" s="10"/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15281</v>
      </c>
      <c r="J1235" s="14" t="s">
        <v>1766</v>
      </c>
      <c r="K1235" s="10"/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4" t="s">
        <v>1769</v>
      </c>
      <c r="K1236" s="10"/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14229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4" t="s">
        <v>1772</v>
      </c>
      <c r="K1237" s="10"/>
    </row>
    <row r="1238" spans="1:11" x14ac:dyDescent="0.25">
      <c r="A1238" s="14" t="s">
        <v>1776</v>
      </c>
      <c r="B1238" s="8" t="s">
        <v>15270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4" t="s">
        <v>1776</v>
      </c>
      <c r="K1238" s="10"/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14213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4" t="s">
        <v>1779</v>
      </c>
      <c r="K1239" s="10"/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14720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4" t="s">
        <v>3338</v>
      </c>
      <c r="K1240" s="10"/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15286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15281</v>
      </c>
      <c r="J1241" s="14" t="s">
        <v>3341</v>
      </c>
      <c r="K1241" s="10"/>
    </row>
    <row r="1242" spans="1:11" x14ac:dyDescent="0.25">
      <c r="A1242" s="14" t="s">
        <v>15287</v>
      </c>
      <c r="B1242" s="8" t="s">
        <v>15288</v>
      </c>
      <c r="C1242" s="7" t="s">
        <v>2501</v>
      </c>
      <c r="D1242" s="9" t="s">
        <v>15289</v>
      </c>
      <c r="E1242" s="7">
        <v>0</v>
      </c>
      <c r="F1242" s="14" t="s">
        <v>15290</v>
      </c>
      <c r="G1242" s="7" t="s">
        <v>15288</v>
      </c>
      <c r="H1242" s="7" t="s">
        <v>882</v>
      </c>
      <c r="I1242" s="8" t="s">
        <v>15282</v>
      </c>
      <c r="J1242" s="14" t="s">
        <v>15287</v>
      </c>
      <c r="K1242" s="10"/>
    </row>
    <row r="1243" spans="1:11" x14ac:dyDescent="0.25">
      <c r="A1243" s="14" t="s">
        <v>15291</v>
      </c>
      <c r="B1243" s="8" t="s">
        <v>15292</v>
      </c>
      <c r="C1243" s="7" t="s">
        <v>2501</v>
      </c>
      <c r="D1243" s="9">
        <v>0</v>
      </c>
      <c r="E1243" s="7">
        <v>0</v>
      </c>
      <c r="F1243" s="14" t="s">
        <v>15293</v>
      </c>
      <c r="G1243" s="7" t="s">
        <v>15294</v>
      </c>
      <c r="H1243" s="7" t="s">
        <v>882</v>
      </c>
      <c r="I1243" s="8" t="s">
        <v>15279</v>
      </c>
      <c r="J1243" s="14" t="s">
        <v>15291</v>
      </c>
      <c r="K1243" s="10"/>
    </row>
    <row r="1244" spans="1:11" x14ac:dyDescent="0.25">
      <c r="A1244" s="14" t="s">
        <v>15295</v>
      </c>
      <c r="B1244" s="8" t="s">
        <v>15296</v>
      </c>
      <c r="C1244" s="7" t="s">
        <v>2501</v>
      </c>
      <c r="D1244" s="9">
        <v>0</v>
      </c>
      <c r="E1244" s="7">
        <v>0</v>
      </c>
      <c r="F1244" s="14" t="s">
        <v>15297</v>
      </c>
      <c r="G1244" s="7" t="s">
        <v>15296</v>
      </c>
      <c r="H1244" s="7" t="s">
        <v>882</v>
      </c>
      <c r="I1244" s="8" t="s">
        <v>15279</v>
      </c>
      <c r="J1244" s="14" t="s">
        <v>15295</v>
      </c>
      <c r="K1244" s="10"/>
    </row>
    <row r="1245" spans="1:11" x14ac:dyDescent="0.25">
      <c r="A1245" s="14" t="s">
        <v>15298</v>
      </c>
      <c r="B1245" s="8" t="s">
        <v>15299</v>
      </c>
      <c r="C1245" s="7" t="s">
        <v>2501</v>
      </c>
      <c r="D1245" s="9">
        <v>0</v>
      </c>
      <c r="E1245" s="7">
        <v>0</v>
      </c>
      <c r="F1245" s="14" t="s">
        <v>15300</v>
      </c>
      <c r="G1245" s="7" t="s">
        <v>15299</v>
      </c>
      <c r="H1245" s="7" t="s">
        <v>882</v>
      </c>
      <c r="I1245" s="8" t="s">
        <v>3749</v>
      </c>
      <c r="J1245" s="14" t="s">
        <v>15298</v>
      </c>
      <c r="K1245" s="10"/>
    </row>
    <row r="1246" spans="1:11" x14ac:dyDescent="0.25">
      <c r="A1246" s="14" t="s">
        <v>15301</v>
      </c>
      <c r="B1246" s="8" t="s">
        <v>15302</v>
      </c>
      <c r="C1246" s="7" t="s">
        <v>2501</v>
      </c>
      <c r="D1246" s="9" t="s">
        <v>14357</v>
      </c>
      <c r="E1246" s="7">
        <v>0</v>
      </c>
      <c r="F1246" s="14" t="s">
        <v>15303</v>
      </c>
      <c r="G1246" s="7" t="s">
        <v>15304</v>
      </c>
      <c r="H1246" s="7" t="s">
        <v>882</v>
      </c>
      <c r="I1246" s="8" t="s">
        <v>3138</v>
      </c>
      <c r="J1246" s="14" t="s">
        <v>15301</v>
      </c>
      <c r="K1246" s="10"/>
    </row>
    <row r="1247" spans="1:11" x14ac:dyDescent="0.25">
      <c r="A1247" s="14" t="s">
        <v>15305</v>
      </c>
      <c r="B1247" s="8" t="s">
        <v>15306</v>
      </c>
      <c r="C1247" s="7" t="s">
        <v>2501</v>
      </c>
      <c r="D1247" s="9" t="s">
        <v>1580</v>
      </c>
      <c r="E1247" s="7">
        <v>945</v>
      </c>
      <c r="F1247" s="14" t="s">
        <v>15307</v>
      </c>
      <c r="G1247" s="7" t="s">
        <v>882</v>
      </c>
      <c r="H1247" s="7" t="s">
        <v>882</v>
      </c>
      <c r="I1247" s="8" t="s">
        <v>15279</v>
      </c>
      <c r="J1247" s="14" t="s">
        <v>15305</v>
      </c>
      <c r="K1247" s="10"/>
    </row>
    <row r="1248" spans="1:11" x14ac:dyDescent="0.25">
      <c r="A1248" s="14" t="s">
        <v>15308</v>
      </c>
      <c r="B1248" s="8" t="s">
        <v>15309</v>
      </c>
      <c r="C1248" s="7" t="s">
        <v>2501</v>
      </c>
      <c r="D1248" s="9" t="s">
        <v>14244</v>
      </c>
      <c r="E1248" s="7">
        <v>0</v>
      </c>
      <c r="F1248" s="14" t="s">
        <v>15310</v>
      </c>
      <c r="G1248" s="7" t="s">
        <v>15311</v>
      </c>
      <c r="H1248" s="7" t="s">
        <v>882</v>
      </c>
      <c r="I1248" s="8" t="s">
        <v>15279</v>
      </c>
      <c r="J1248" s="14" t="s">
        <v>15308</v>
      </c>
      <c r="K1248" s="10"/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15312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15313</v>
      </c>
      <c r="J1249" s="14" t="s">
        <v>3565</v>
      </c>
      <c r="K1249" s="10"/>
    </row>
    <row r="1250" spans="1:11" x14ac:dyDescent="0.25">
      <c r="A1250" s="14" t="s">
        <v>3568</v>
      </c>
      <c r="B1250" s="8" t="s">
        <v>15314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15313</v>
      </c>
      <c r="J1250" s="14" t="s">
        <v>3568</v>
      </c>
      <c r="K1250" s="10"/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14284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15315</v>
      </c>
      <c r="J1251" s="14" t="s">
        <v>3571</v>
      </c>
      <c r="K1251" s="10"/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15316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15317</v>
      </c>
      <c r="J1252" s="14" t="s">
        <v>3574</v>
      </c>
      <c r="K1252" s="10"/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14262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15318</v>
      </c>
      <c r="J1253" s="14" t="s">
        <v>3578</v>
      </c>
      <c r="K1253" s="10"/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14132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15319</v>
      </c>
      <c r="J1254" s="14" t="s">
        <v>3581</v>
      </c>
      <c r="K1254" s="10"/>
    </row>
    <row r="1255" spans="1:11" x14ac:dyDescent="0.25">
      <c r="A1255" s="14" t="s">
        <v>3585</v>
      </c>
      <c r="B1255" s="8" t="s">
        <v>15320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15320</v>
      </c>
      <c r="H1255" s="7" t="s">
        <v>1297</v>
      </c>
      <c r="I1255" s="8" t="s">
        <v>15321</v>
      </c>
      <c r="J1255" s="14" t="s">
        <v>3585</v>
      </c>
      <c r="K1255" s="10"/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14175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15317</v>
      </c>
      <c r="J1256" s="14" t="s">
        <v>3587</v>
      </c>
      <c r="K1256" s="10"/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14213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15321</v>
      </c>
      <c r="J1257" s="14" t="s">
        <v>3590</v>
      </c>
      <c r="K1257" s="10"/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15315</v>
      </c>
      <c r="J1258" s="14" t="s">
        <v>3593</v>
      </c>
      <c r="K1258" s="10"/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15322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15313</v>
      </c>
      <c r="J1259" s="14" t="s">
        <v>3596</v>
      </c>
      <c r="K1259" s="10"/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14145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15313</v>
      </c>
      <c r="J1260" s="14" t="s">
        <v>3599</v>
      </c>
      <c r="K1260" s="10"/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15313</v>
      </c>
      <c r="J1261" s="14" t="s">
        <v>3602</v>
      </c>
      <c r="K1261" s="10"/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15321</v>
      </c>
      <c r="J1262" s="14" t="s">
        <v>3605</v>
      </c>
      <c r="K1262" s="10"/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15323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15324</v>
      </c>
      <c r="J1263" s="14" t="s">
        <v>3607</v>
      </c>
      <c r="K1263" s="10"/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15325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15324</v>
      </c>
      <c r="J1264" s="14" t="s">
        <v>3610</v>
      </c>
      <c r="K1264" s="10"/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14326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15321</v>
      </c>
      <c r="J1265" s="14" t="s">
        <v>3613</v>
      </c>
      <c r="K1265" s="10"/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14229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15321</v>
      </c>
      <c r="J1266" s="14" t="s">
        <v>3616</v>
      </c>
      <c r="K1266" s="10"/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15326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15315</v>
      </c>
      <c r="J1267" s="14" t="s">
        <v>3619</v>
      </c>
      <c r="K1267" s="10"/>
    </row>
    <row r="1268" spans="1:11" x14ac:dyDescent="0.25">
      <c r="A1268" s="14" t="s">
        <v>15327</v>
      </c>
      <c r="B1268" s="8" t="s">
        <v>15328</v>
      </c>
      <c r="C1268" s="7" t="s">
        <v>2501</v>
      </c>
      <c r="D1268" s="9" t="s">
        <v>15329</v>
      </c>
      <c r="E1268" s="7">
        <v>0</v>
      </c>
      <c r="F1268" s="14" t="s">
        <v>15330</v>
      </c>
      <c r="G1268" s="7" t="s">
        <v>15331</v>
      </c>
      <c r="H1268" s="7" t="s">
        <v>1297</v>
      </c>
      <c r="I1268" s="8" t="s">
        <v>15318</v>
      </c>
      <c r="J1268" s="14" t="s">
        <v>15327</v>
      </c>
      <c r="K1268" s="10"/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15332</v>
      </c>
      <c r="J1269" s="14" t="s">
        <v>3783</v>
      </c>
      <c r="K1269" s="10"/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14229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15332</v>
      </c>
      <c r="J1270" s="14" t="s">
        <v>3785</v>
      </c>
      <c r="K1270" s="10"/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15333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15332</v>
      </c>
      <c r="J1271" s="14" t="s">
        <v>3787</v>
      </c>
      <c r="K1271" s="10"/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15332</v>
      </c>
      <c r="J1272" s="14" t="s">
        <v>3789</v>
      </c>
      <c r="K1272" s="10"/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14797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15332</v>
      </c>
      <c r="J1273" s="14" t="s">
        <v>3791</v>
      </c>
      <c r="K1273" s="10"/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14355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15332</v>
      </c>
      <c r="J1274" s="14" t="s">
        <v>3793</v>
      </c>
      <c r="K1274" s="10"/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14359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15332</v>
      </c>
      <c r="J1275" s="14" t="s">
        <v>3829</v>
      </c>
      <c r="K1275" s="10"/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15334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15332</v>
      </c>
      <c r="J1276" s="14" t="s">
        <v>3832</v>
      </c>
      <c r="K1276" s="10"/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15335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15332</v>
      </c>
      <c r="J1277" s="14" t="s">
        <v>3835</v>
      </c>
      <c r="K1277" s="10"/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14297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4" t="s">
        <v>2210</v>
      </c>
      <c r="K1278" s="10"/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15336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15337</v>
      </c>
      <c r="J1279" s="14" t="s">
        <v>2213</v>
      </c>
      <c r="K1279" s="10"/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15338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15339</v>
      </c>
      <c r="J1280" s="14" t="s">
        <v>2216</v>
      </c>
      <c r="K1280" s="10"/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14229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4" t="s">
        <v>2219</v>
      </c>
      <c r="K1281" s="10"/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15337</v>
      </c>
      <c r="J1282" s="14" t="s">
        <v>2222</v>
      </c>
      <c r="K1282" s="10"/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14207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15340</v>
      </c>
      <c r="J1283" s="14" t="s">
        <v>2225</v>
      </c>
      <c r="K1283" s="10"/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15341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15339</v>
      </c>
      <c r="J1284" s="14" t="s">
        <v>2227</v>
      </c>
      <c r="K1284" s="10"/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15339</v>
      </c>
      <c r="J1285" s="14" t="s">
        <v>2230</v>
      </c>
      <c r="K1285" s="10"/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15339</v>
      </c>
      <c r="J1286" s="14" t="s">
        <v>2234</v>
      </c>
      <c r="K1286" s="10"/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14285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4" t="s">
        <v>3765</v>
      </c>
      <c r="K1287" s="10"/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15342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15343</v>
      </c>
      <c r="J1288" s="14" t="s">
        <v>3767</v>
      </c>
      <c r="K1288" s="10"/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14856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4" t="s">
        <v>3770</v>
      </c>
      <c r="K1289" s="10"/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15337</v>
      </c>
      <c r="J1290" s="14" t="s">
        <v>2154</v>
      </c>
      <c r="K1290" s="10"/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14246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4" t="s">
        <v>2159</v>
      </c>
      <c r="K1291" s="10"/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15342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15339</v>
      </c>
      <c r="J1292" s="14" t="s">
        <v>3799</v>
      </c>
      <c r="K1292" s="10"/>
    </row>
    <row r="1293" spans="1:11" x14ac:dyDescent="0.25">
      <c r="A1293" s="14" t="s">
        <v>3922</v>
      </c>
      <c r="B1293" s="8" t="s">
        <v>15344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15344</v>
      </c>
      <c r="H1293" s="7" t="s">
        <v>1929</v>
      </c>
      <c r="I1293" s="8" t="s">
        <v>219</v>
      </c>
      <c r="J1293" s="14" t="s">
        <v>3922</v>
      </c>
      <c r="K1293" s="10"/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4" t="s">
        <v>3924</v>
      </c>
      <c r="K1294" s="10"/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15345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15339</v>
      </c>
      <c r="J1295" s="14" t="s">
        <v>2237</v>
      </c>
      <c r="K1295" s="10"/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15346</v>
      </c>
      <c r="J1296" s="14" t="s">
        <v>2240</v>
      </c>
      <c r="K1296" s="10"/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14229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15346</v>
      </c>
      <c r="J1297" s="14" t="s">
        <v>2243</v>
      </c>
      <c r="K1297" s="10"/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15347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4" t="s">
        <v>2246</v>
      </c>
      <c r="K1298" s="10"/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15348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15346</v>
      </c>
      <c r="J1299" s="14" t="s">
        <v>2249</v>
      </c>
      <c r="K1299" s="10"/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15340</v>
      </c>
      <c r="J1300" s="14" t="s">
        <v>2252</v>
      </c>
      <c r="K1300" s="10"/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14262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15346</v>
      </c>
      <c r="J1301" s="14" t="s">
        <v>2255</v>
      </c>
      <c r="K1301" s="10"/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15349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15337</v>
      </c>
      <c r="J1302" s="14" t="s">
        <v>2258</v>
      </c>
      <c r="K1302" s="10"/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14136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15339</v>
      </c>
      <c r="J1303" s="14" t="s">
        <v>2261</v>
      </c>
      <c r="K1303" s="10"/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15339</v>
      </c>
      <c r="J1304" s="14" t="s">
        <v>3872</v>
      </c>
      <c r="K1304" s="10"/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15350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4" t="s">
        <v>3875</v>
      </c>
      <c r="K1305" s="10"/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15343</v>
      </c>
      <c r="J1306" s="14" t="s">
        <v>2276</v>
      </c>
      <c r="K1306" s="10"/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14293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4" t="s">
        <v>2279</v>
      </c>
      <c r="K1307" s="10"/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14290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15337</v>
      </c>
      <c r="J1308" s="14" t="s">
        <v>2282</v>
      </c>
      <c r="K1308" s="10"/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14132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15346</v>
      </c>
      <c r="J1309" s="14" t="s">
        <v>2286</v>
      </c>
      <c r="K1309" s="10"/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14285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15339</v>
      </c>
      <c r="J1310" s="14" t="s">
        <v>2289</v>
      </c>
      <c r="K1310" s="10"/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14136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4" t="s">
        <v>2291</v>
      </c>
      <c r="K1311" s="10"/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4" t="s">
        <v>2294</v>
      </c>
      <c r="K1312" s="10"/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14285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4" t="s">
        <v>2297</v>
      </c>
      <c r="K1313" s="10"/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15332</v>
      </c>
      <c r="J1314" s="14" t="s">
        <v>2300</v>
      </c>
      <c r="K1314" s="10"/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15351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15340</v>
      </c>
      <c r="J1315" s="14" t="s">
        <v>2303</v>
      </c>
      <c r="K1315" s="10"/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15337</v>
      </c>
      <c r="J1316" s="14" t="s">
        <v>2306</v>
      </c>
      <c r="K1316" s="10"/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14955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15332</v>
      </c>
      <c r="J1317" s="14" t="s">
        <v>2309</v>
      </c>
      <c r="K1317" s="10"/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15339</v>
      </c>
      <c r="J1318" s="14" t="s">
        <v>2312</v>
      </c>
      <c r="K1318" s="10"/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14244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4" t="s">
        <v>1</v>
      </c>
      <c r="K1319" s="10"/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15352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4" t="s">
        <v>4</v>
      </c>
      <c r="K1320" s="10"/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15339</v>
      </c>
      <c r="J1321" s="14" t="s">
        <v>3040</v>
      </c>
      <c r="K1321" s="10"/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15353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15340</v>
      </c>
      <c r="J1322" s="14" t="s">
        <v>703</v>
      </c>
      <c r="K1322" s="10"/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14469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4" t="s">
        <v>706</v>
      </c>
      <c r="K1323" s="10"/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14136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4" t="s">
        <v>709</v>
      </c>
      <c r="K1324" s="10"/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15337</v>
      </c>
      <c r="J1325" s="14" t="s">
        <v>712</v>
      </c>
      <c r="K1325" s="10"/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4" t="s">
        <v>715</v>
      </c>
      <c r="K1326" s="10"/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14941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4" t="s">
        <v>718</v>
      </c>
      <c r="K1327" s="10"/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14213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15339</v>
      </c>
      <c r="J1328" s="14" t="s">
        <v>721</v>
      </c>
      <c r="K1328" s="10"/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15332</v>
      </c>
      <c r="J1329" s="14" t="s">
        <v>12</v>
      </c>
      <c r="K1329" s="10"/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4" t="s">
        <v>15</v>
      </c>
      <c r="K1330" s="10"/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15346</v>
      </c>
      <c r="J1331" s="14" t="s">
        <v>18</v>
      </c>
      <c r="K1331" s="10"/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14964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15346</v>
      </c>
      <c r="J1332" s="14" t="s">
        <v>20</v>
      </c>
      <c r="K1332" s="10"/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15337</v>
      </c>
      <c r="J1333" s="14" t="s">
        <v>23</v>
      </c>
      <c r="K1333" s="10"/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15354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15332</v>
      </c>
      <c r="J1334" s="14" t="s">
        <v>27</v>
      </c>
      <c r="K1334" s="10"/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14370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15337</v>
      </c>
      <c r="J1335" s="14" t="s">
        <v>29</v>
      </c>
      <c r="K1335" s="10"/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15340</v>
      </c>
      <c r="J1336" s="14" t="s">
        <v>32</v>
      </c>
      <c r="K1336" s="10"/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15355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4" t="s">
        <v>35</v>
      </c>
      <c r="K1337" s="10"/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15346</v>
      </c>
      <c r="J1338" s="14" t="s">
        <v>38</v>
      </c>
      <c r="K1338" s="10"/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15222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15346</v>
      </c>
      <c r="J1339" s="14" t="s">
        <v>42</v>
      </c>
      <c r="K1339" s="10"/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15342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15346</v>
      </c>
      <c r="J1340" s="14" t="s">
        <v>45</v>
      </c>
      <c r="K1340" s="10"/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14720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4" t="s">
        <v>48</v>
      </c>
      <c r="K1341" s="10"/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4" t="s">
        <v>50</v>
      </c>
      <c r="K1342" s="10"/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4" t="s">
        <v>680</v>
      </c>
      <c r="K1343" s="10"/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15346</v>
      </c>
      <c r="J1344" s="14" t="s">
        <v>682</v>
      </c>
      <c r="K1344" s="10"/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14539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4" t="s">
        <v>685</v>
      </c>
      <c r="K1345" s="10"/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15356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15332</v>
      </c>
      <c r="J1346" s="14" t="s">
        <v>688</v>
      </c>
      <c r="K1346" s="10"/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15357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4" t="s">
        <v>3014</v>
      </c>
      <c r="K1347" s="10"/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15358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4" t="s">
        <v>3016</v>
      </c>
      <c r="K1348" s="10"/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14641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15337</v>
      </c>
      <c r="J1349" s="14" t="s">
        <v>724</v>
      </c>
      <c r="K1349" s="10"/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15359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15346</v>
      </c>
      <c r="J1350" s="14" t="s">
        <v>726</v>
      </c>
      <c r="K1350" s="10"/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15337</v>
      </c>
      <c r="J1351" s="14" t="s">
        <v>730</v>
      </c>
      <c r="K1351" s="10"/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15342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15343</v>
      </c>
      <c r="J1352" s="14" t="s">
        <v>734</v>
      </c>
      <c r="K1352" s="10"/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15332</v>
      </c>
      <c r="J1353" s="14" t="s">
        <v>737</v>
      </c>
      <c r="K1353" s="10"/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14370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15346</v>
      </c>
      <c r="J1354" s="14" t="s">
        <v>740</v>
      </c>
      <c r="K1354" s="10"/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15360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4" t="s">
        <v>742</v>
      </c>
      <c r="K1355" s="10"/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4" t="s">
        <v>745</v>
      </c>
      <c r="K1356" s="10"/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15020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15337</v>
      </c>
      <c r="J1357" s="14" t="s">
        <v>748</v>
      </c>
      <c r="K1357" s="10"/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15361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15339</v>
      </c>
      <c r="J1358" s="14" t="s">
        <v>751</v>
      </c>
      <c r="K1358" s="10"/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15339</v>
      </c>
      <c r="J1359" s="14" t="s">
        <v>754</v>
      </c>
      <c r="K1359" s="10"/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14175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15337</v>
      </c>
      <c r="J1360" s="14" t="s">
        <v>2316</v>
      </c>
      <c r="K1360" s="10"/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14326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4" t="s">
        <v>2319</v>
      </c>
      <c r="K1361" s="10"/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4" t="s">
        <v>2322</v>
      </c>
      <c r="K1362" s="10"/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4" t="s">
        <v>2325</v>
      </c>
      <c r="K1363" s="10"/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4" t="s">
        <v>2329</v>
      </c>
      <c r="K1364" s="10"/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15337</v>
      </c>
      <c r="J1365" s="14" t="s">
        <v>2332</v>
      </c>
      <c r="K1365" s="10"/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14292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15340</v>
      </c>
      <c r="J1366" s="14" t="s">
        <v>2335</v>
      </c>
      <c r="K1366" s="10"/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15362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15340</v>
      </c>
      <c r="J1367" s="14" t="s">
        <v>2338</v>
      </c>
      <c r="K1367" s="10"/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14136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15340</v>
      </c>
      <c r="J1368" s="14" t="s">
        <v>2341</v>
      </c>
      <c r="K1368" s="10"/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15363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4" t="s">
        <v>2344</v>
      </c>
      <c r="K1369" s="10"/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4" t="s">
        <v>2347</v>
      </c>
      <c r="K1370" s="10"/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14213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15337</v>
      </c>
      <c r="J1371" s="14" t="s">
        <v>2350</v>
      </c>
      <c r="K1371" s="10"/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15332</v>
      </c>
      <c r="J1372" s="14" t="s">
        <v>2353</v>
      </c>
      <c r="K1372" s="10"/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4" t="s">
        <v>2356</v>
      </c>
      <c r="K1373" s="10"/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14856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4" t="s">
        <v>2359</v>
      </c>
      <c r="K1374" s="10"/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4" t="s">
        <v>2362</v>
      </c>
      <c r="K1375" s="10"/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14524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4" t="s">
        <v>819</v>
      </c>
      <c r="K1376" s="10"/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15364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4" t="s">
        <v>822</v>
      </c>
      <c r="K1377" s="10"/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15364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4" t="s">
        <v>825</v>
      </c>
      <c r="K1378" s="10"/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15365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4" t="s">
        <v>828</v>
      </c>
      <c r="K1379" s="10"/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15366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4" t="s">
        <v>831</v>
      </c>
      <c r="K1380" s="10"/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15367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4" t="s">
        <v>3237</v>
      </c>
      <c r="K1381" s="10"/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15368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4" t="s">
        <v>3240</v>
      </c>
      <c r="K1382" s="10"/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15369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15370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4" t="s">
        <v>3258</v>
      </c>
    </row>
    <row r="1389" spans="1:11" s="10" customFormat="1" x14ac:dyDescent="0.25">
      <c r="A1389" s="14" t="s">
        <v>3261</v>
      </c>
      <c r="B1389" s="8" t="s">
        <v>15371</v>
      </c>
      <c r="C1389" s="7" t="s">
        <v>2501</v>
      </c>
      <c r="D1389" s="9" t="s">
        <v>14124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15364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15372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4" t="s">
        <v>3269</v>
      </c>
    </row>
    <row r="1393" spans="1:10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4" t="s">
        <v>3272</v>
      </c>
    </row>
    <row r="1394" spans="1:10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15373</v>
      </c>
      <c r="J1394" s="14" t="s">
        <v>3275</v>
      </c>
    </row>
    <row r="1395" spans="1:10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4" t="s">
        <v>3278</v>
      </c>
    </row>
    <row r="1396" spans="1:10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4" t="s">
        <v>3282</v>
      </c>
    </row>
    <row r="1397" spans="1:10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15374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4" t="s">
        <v>992</v>
      </c>
    </row>
    <row r="1398" spans="1:10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14229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4" t="s">
        <v>3300</v>
      </c>
    </row>
    <row r="1399" spans="1:10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15363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4" t="s">
        <v>3303</v>
      </c>
    </row>
    <row r="1400" spans="1:10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4" t="s">
        <v>3306</v>
      </c>
    </row>
    <row r="1401" spans="1:10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15375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4" t="s">
        <v>3309</v>
      </c>
    </row>
    <row r="1402" spans="1:10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4" t="s">
        <v>3312</v>
      </c>
    </row>
    <row r="1403" spans="1:10" s="10" customFormat="1" x14ac:dyDescent="0.25">
      <c r="A1403" s="14" t="s">
        <v>3315</v>
      </c>
      <c r="B1403" s="8" t="s">
        <v>15376</v>
      </c>
      <c r="C1403" s="7" t="s">
        <v>2501</v>
      </c>
      <c r="D1403" s="9" t="s">
        <v>14246</v>
      </c>
      <c r="E1403" s="7">
        <v>96</v>
      </c>
      <c r="F1403" s="14" t="s">
        <v>3316</v>
      </c>
      <c r="G1403" s="7" t="s">
        <v>15376</v>
      </c>
      <c r="H1403" s="7" t="s">
        <v>1929</v>
      </c>
      <c r="I1403" s="8" t="s">
        <v>15377</v>
      </c>
      <c r="J1403" s="14" t="s">
        <v>3315</v>
      </c>
    </row>
    <row r="1404" spans="1:10" s="10" customFormat="1" x14ac:dyDescent="0.25">
      <c r="A1404" s="14" t="s">
        <v>3317</v>
      </c>
      <c r="B1404" s="8" t="s">
        <v>15378</v>
      </c>
      <c r="C1404" s="7" t="s">
        <v>2501</v>
      </c>
      <c r="D1404" s="9" t="s">
        <v>14229</v>
      </c>
      <c r="E1404" s="7">
        <v>558</v>
      </c>
      <c r="F1404" s="14" t="s">
        <v>3318</v>
      </c>
      <c r="G1404" s="7" t="s">
        <v>15378</v>
      </c>
      <c r="H1404" s="7" t="s">
        <v>1929</v>
      </c>
      <c r="I1404" s="8" t="s">
        <v>15373</v>
      </c>
      <c r="J1404" s="14" t="s">
        <v>3317</v>
      </c>
    </row>
    <row r="1405" spans="1:10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15373</v>
      </c>
      <c r="J1405" s="14" t="s">
        <v>3319</v>
      </c>
    </row>
    <row r="1406" spans="1:10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15379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4" t="s">
        <v>3322</v>
      </c>
    </row>
    <row r="1407" spans="1:10" s="10" customFormat="1" x14ac:dyDescent="0.25">
      <c r="A1407" s="14" t="s">
        <v>3325</v>
      </c>
      <c r="B1407" s="8" t="s">
        <v>15380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15380</v>
      </c>
      <c r="H1407" s="7" t="s">
        <v>1929</v>
      </c>
      <c r="I1407" s="8" t="s">
        <v>2452</v>
      </c>
      <c r="J1407" s="14" t="s">
        <v>3325</v>
      </c>
    </row>
    <row r="1408" spans="1:10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15373</v>
      </c>
      <c r="J1408" s="14" t="s">
        <v>3327</v>
      </c>
    </row>
    <row r="1409" spans="1:10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15373</v>
      </c>
      <c r="J1409" s="14" t="s">
        <v>3330</v>
      </c>
    </row>
    <row r="1410" spans="1:10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15336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4" t="s">
        <v>3334</v>
      </c>
    </row>
    <row r="1411" spans="1:10" s="10" customFormat="1" x14ac:dyDescent="0.25">
      <c r="A1411" s="14" t="s">
        <v>1016</v>
      </c>
      <c r="B1411" s="8" t="s">
        <v>15381</v>
      </c>
      <c r="C1411" s="7" t="s">
        <v>2501</v>
      </c>
      <c r="D1411" s="9" t="s">
        <v>14297</v>
      </c>
      <c r="E1411" s="7">
        <v>735</v>
      </c>
      <c r="F1411" s="14" t="s">
        <v>1017</v>
      </c>
      <c r="G1411" s="7" t="s">
        <v>15381</v>
      </c>
      <c r="H1411" s="7" t="s">
        <v>1929</v>
      </c>
      <c r="I1411" s="8" t="s">
        <v>1484</v>
      </c>
      <c r="J1411" s="14" t="s">
        <v>1016</v>
      </c>
    </row>
    <row r="1412" spans="1:10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4" t="s">
        <v>1018</v>
      </c>
    </row>
    <row r="1413" spans="1:10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15373</v>
      </c>
      <c r="J1413" s="14" t="s">
        <v>1021</v>
      </c>
    </row>
    <row r="1414" spans="1:10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4" t="s">
        <v>1024</v>
      </c>
    </row>
    <row r="1415" spans="1:10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15377</v>
      </c>
      <c r="J1415" s="14" t="s">
        <v>1027</v>
      </c>
    </row>
    <row r="1416" spans="1:10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15382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15373</v>
      </c>
      <c r="J1416" s="14" t="s">
        <v>1030</v>
      </c>
    </row>
    <row r="1417" spans="1:10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15373</v>
      </c>
      <c r="J1417" s="14" t="s">
        <v>1033</v>
      </c>
    </row>
    <row r="1418" spans="1:10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4" t="s">
        <v>4192</v>
      </c>
    </row>
    <row r="1419" spans="1:10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4" t="s">
        <v>4196</v>
      </c>
    </row>
    <row r="1420" spans="1:10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14326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15373</v>
      </c>
      <c r="J1420" s="14" t="s">
        <v>4199</v>
      </c>
    </row>
    <row r="1421" spans="1:10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4" t="s">
        <v>4202</v>
      </c>
    </row>
    <row r="1422" spans="1:10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4" t="s">
        <v>252</v>
      </c>
    </row>
    <row r="1423" spans="1:10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4" t="s">
        <v>255</v>
      </c>
    </row>
    <row r="1424" spans="1:10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14387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4" t="s">
        <v>258</v>
      </c>
    </row>
    <row r="1425" spans="1:10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4" t="s">
        <v>261</v>
      </c>
    </row>
    <row r="1426" spans="1:10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4" t="s">
        <v>264</v>
      </c>
    </row>
    <row r="1427" spans="1:10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15373</v>
      </c>
      <c r="J1427" s="14" t="s">
        <v>2610</v>
      </c>
    </row>
    <row r="1428" spans="1:10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4" t="s">
        <v>2614</v>
      </c>
    </row>
    <row r="1429" spans="1:10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15383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4" t="s">
        <v>2618</v>
      </c>
    </row>
    <row r="1430" spans="1:10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15373</v>
      </c>
      <c r="J1430" s="14" t="s">
        <v>2621</v>
      </c>
    </row>
    <row r="1431" spans="1:10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15384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4" t="s">
        <v>2625</v>
      </c>
    </row>
    <row r="1432" spans="1:10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4" t="s">
        <v>2628</v>
      </c>
    </row>
    <row r="1433" spans="1:10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15385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4" t="s">
        <v>1100</v>
      </c>
    </row>
    <row r="1434" spans="1:10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4" t="s">
        <v>1103</v>
      </c>
    </row>
    <row r="1435" spans="1:10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15386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15373</v>
      </c>
      <c r="J1435" s="14" t="s">
        <v>1106</v>
      </c>
    </row>
    <row r="1436" spans="1:10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14136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15373</v>
      </c>
      <c r="J1436" s="14" t="s">
        <v>2641</v>
      </c>
    </row>
    <row r="1437" spans="1:10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15373</v>
      </c>
      <c r="J1437" s="14" t="s">
        <v>2644</v>
      </c>
    </row>
    <row r="1438" spans="1:10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14229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4" t="s">
        <v>2647</v>
      </c>
    </row>
    <row r="1439" spans="1:10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14270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15373</v>
      </c>
      <c r="J1439" s="14" t="s">
        <v>2650</v>
      </c>
    </row>
    <row r="1440" spans="1:10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15345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15377</v>
      </c>
      <c r="J1440" s="14" t="s">
        <v>2653</v>
      </c>
    </row>
    <row r="1441" spans="1:10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4" t="s">
        <v>2656</v>
      </c>
    </row>
    <row r="1442" spans="1:10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4" t="s">
        <v>2659</v>
      </c>
    </row>
    <row r="1443" spans="1:10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15387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4" t="s">
        <v>2663</v>
      </c>
    </row>
    <row r="1444" spans="1:10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14329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4" t="s">
        <v>2666</v>
      </c>
    </row>
    <row r="1445" spans="1:10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4" t="s">
        <v>2669</v>
      </c>
    </row>
    <row r="1446" spans="1:10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15336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4" t="s">
        <v>2673</v>
      </c>
    </row>
    <row r="1447" spans="1:10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15101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4" t="s">
        <v>2676</v>
      </c>
    </row>
    <row r="1448" spans="1:10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15388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4" t="s">
        <v>2637</v>
      </c>
    </row>
    <row r="1449" spans="1:10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15373</v>
      </c>
      <c r="J1449" s="14" t="s">
        <v>326</v>
      </c>
    </row>
    <row r="1450" spans="1:10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15377</v>
      </c>
      <c r="J1450" s="14" t="s">
        <v>329</v>
      </c>
    </row>
    <row r="1451" spans="1:10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15373</v>
      </c>
      <c r="J1451" s="14" t="s">
        <v>332</v>
      </c>
    </row>
    <row r="1452" spans="1:10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14959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4" t="s">
        <v>335</v>
      </c>
    </row>
    <row r="1453" spans="1:10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15389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15373</v>
      </c>
      <c r="J1453" s="14" t="s">
        <v>338</v>
      </c>
    </row>
    <row r="1454" spans="1:10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4" t="s">
        <v>341</v>
      </c>
    </row>
    <row r="1455" spans="1:10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15390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4" t="s">
        <v>344</v>
      </c>
    </row>
    <row r="1456" spans="1:10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14132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4" t="s">
        <v>347</v>
      </c>
    </row>
    <row r="1457" spans="1:10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15336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15373</v>
      </c>
      <c r="J1457" s="14" t="s">
        <v>349</v>
      </c>
    </row>
    <row r="1458" spans="1:10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15373</v>
      </c>
      <c r="J1458" s="14" t="s">
        <v>352</v>
      </c>
    </row>
    <row r="1459" spans="1:10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4" t="s">
        <v>355</v>
      </c>
    </row>
    <row r="1460" spans="1:10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15377</v>
      </c>
      <c r="J1460" s="14" t="s">
        <v>359</v>
      </c>
    </row>
    <row r="1461" spans="1:10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15373</v>
      </c>
      <c r="J1461" s="14" t="s">
        <v>362</v>
      </c>
    </row>
    <row r="1462" spans="1:10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4" t="s">
        <v>365</v>
      </c>
    </row>
    <row r="1463" spans="1:10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4" t="s">
        <v>369</v>
      </c>
    </row>
    <row r="1464" spans="1:10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15377</v>
      </c>
      <c r="J1464" s="14" t="s">
        <v>372</v>
      </c>
    </row>
    <row r="1465" spans="1:10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15373</v>
      </c>
      <c r="J1465" s="14" t="s">
        <v>2695</v>
      </c>
    </row>
    <row r="1466" spans="1:10" s="10" customFormat="1" x14ac:dyDescent="0.25">
      <c r="A1466" s="14" t="s">
        <v>2698</v>
      </c>
      <c r="B1466" s="8" t="s">
        <v>15391</v>
      </c>
      <c r="C1466" s="7" t="s">
        <v>2501</v>
      </c>
      <c r="D1466" s="9" t="s">
        <v>15392</v>
      </c>
      <c r="E1466" s="7">
        <v>446</v>
      </c>
      <c r="F1466" s="14" t="s">
        <v>2699</v>
      </c>
      <c r="G1466" s="7" t="s">
        <v>15391</v>
      </c>
      <c r="H1466" s="7" t="s">
        <v>1929</v>
      </c>
      <c r="I1466" s="8" t="s">
        <v>15373</v>
      </c>
      <c r="J1466" s="14" t="s">
        <v>2698</v>
      </c>
    </row>
    <row r="1467" spans="1:10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14229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4" t="s">
        <v>2700</v>
      </c>
    </row>
    <row r="1468" spans="1:10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14855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15377</v>
      </c>
      <c r="J1468" s="14" t="s">
        <v>2703</v>
      </c>
    </row>
    <row r="1469" spans="1:10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15393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4" t="s">
        <v>2706</v>
      </c>
    </row>
    <row r="1470" spans="1:10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14290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4" t="s">
        <v>2710</v>
      </c>
    </row>
    <row r="1471" spans="1:10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14370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15373</v>
      </c>
      <c r="J1471" s="14" t="s">
        <v>2713</v>
      </c>
    </row>
    <row r="1472" spans="1:10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4" t="s">
        <v>2716</v>
      </c>
    </row>
    <row r="1473" spans="1:10" s="10" customFormat="1" x14ac:dyDescent="0.25">
      <c r="A1473" s="14" t="s">
        <v>15394</v>
      </c>
      <c r="B1473" s="8" t="s">
        <v>15395</v>
      </c>
      <c r="C1473" s="7" t="s">
        <v>2501</v>
      </c>
      <c r="D1473" s="9" t="s">
        <v>15396</v>
      </c>
      <c r="E1473" s="7">
        <v>0</v>
      </c>
      <c r="F1473" s="14" t="s">
        <v>15397</v>
      </c>
      <c r="G1473" s="7" t="s">
        <v>15395</v>
      </c>
      <c r="H1473" s="7" t="s">
        <v>1929</v>
      </c>
      <c r="I1473" s="8" t="s">
        <v>2031</v>
      </c>
      <c r="J1473" s="14" t="s">
        <v>15394</v>
      </c>
    </row>
    <row r="1474" spans="1:10" s="10" customFormat="1" x14ac:dyDescent="0.25">
      <c r="A1474" s="14" t="s">
        <v>15398</v>
      </c>
      <c r="B1474" s="8" t="s">
        <v>15399</v>
      </c>
      <c r="C1474" s="7" t="s">
        <v>2501</v>
      </c>
      <c r="D1474" s="9" t="s">
        <v>15396</v>
      </c>
      <c r="E1474" s="7">
        <v>0</v>
      </c>
      <c r="F1474" s="14" t="s">
        <v>15400</v>
      </c>
      <c r="G1474" s="7" t="s">
        <v>15399</v>
      </c>
      <c r="H1474" s="7" t="s">
        <v>1929</v>
      </c>
      <c r="I1474" s="8" t="s">
        <v>2031</v>
      </c>
      <c r="J1474" s="14" t="s">
        <v>15398</v>
      </c>
    </row>
    <row r="1475" spans="1:10" s="10" customFormat="1" x14ac:dyDescent="0.25">
      <c r="A1475" s="14" t="s">
        <v>15401</v>
      </c>
      <c r="B1475" s="8" t="s">
        <v>15402</v>
      </c>
      <c r="C1475" s="7" t="s">
        <v>2501</v>
      </c>
      <c r="D1475" s="9" t="s">
        <v>15396</v>
      </c>
      <c r="E1475" s="7">
        <v>0</v>
      </c>
      <c r="F1475" s="14" t="s">
        <v>15403</v>
      </c>
      <c r="G1475" s="7" t="s">
        <v>15402</v>
      </c>
      <c r="H1475" s="7" t="s">
        <v>1929</v>
      </c>
      <c r="I1475" s="8" t="s">
        <v>15346</v>
      </c>
      <c r="J1475" s="14" t="s">
        <v>15401</v>
      </c>
    </row>
    <row r="1476" spans="1:10" s="10" customFormat="1" x14ac:dyDescent="0.25">
      <c r="A1476" s="14" t="s">
        <v>15404</v>
      </c>
      <c r="B1476" s="8" t="s">
        <v>15405</v>
      </c>
      <c r="C1476" s="7" t="s">
        <v>2501</v>
      </c>
      <c r="D1476" s="9" t="s">
        <v>15406</v>
      </c>
      <c r="E1476" s="7">
        <v>0</v>
      </c>
      <c r="F1476" s="14" t="s">
        <v>15407</v>
      </c>
      <c r="G1476" s="7" t="s">
        <v>15405</v>
      </c>
      <c r="H1476" s="7" t="s">
        <v>1929</v>
      </c>
      <c r="I1476" s="8" t="s">
        <v>15340</v>
      </c>
      <c r="J1476" s="14" t="s">
        <v>15404</v>
      </c>
    </row>
    <row r="1477" spans="1:10" s="10" customFormat="1" x14ac:dyDescent="0.25">
      <c r="A1477" s="14" t="s">
        <v>15408</v>
      </c>
      <c r="B1477" s="8" t="s">
        <v>15409</v>
      </c>
      <c r="C1477" s="7" t="s">
        <v>2501</v>
      </c>
      <c r="D1477" s="9" t="s">
        <v>208</v>
      </c>
      <c r="E1477" s="7">
        <v>0</v>
      </c>
      <c r="F1477" s="14" t="s">
        <v>15410</v>
      </c>
      <c r="G1477" s="7" t="s">
        <v>15409</v>
      </c>
      <c r="H1477" s="7" t="s">
        <v>1929</v>
      </c>
      <c r="I1477" s="8" t="s">
        <v>15337</v>
      </c>
      <c r="J1477" s="14" t="s">
        <v>15408</v>
      </c>
    </row>
    <row r="1478" spans="1:10" s="10" customFormat="1" x14ac:dyDescent="0.25">
      <c r="A1478" s="14" t="s">
        <v>15411</v>
      </c>
      <c r="B1478" s="8" t="s">
        <v>15412</v>
      </c>
      <c r="C1478" s="7" t="s">
        <v>2501</v>
      </c>
      <c r="D1478" s="9" t="s">
        <v>1491</v>
      </c>
      <c r="E1478" s="7">
        <v>1158</v>
      </c>
      <c r="F1478" s="14" t="s">
        <v>15413</v>
      </c>
      <c r="G1478" s="7" t="s">
        <v>15412</v>
      </c>
      <c r="H1478" s="7" t="s">
        <v>1929</v>
      </c>
      <c r="I1478" s="8" t="s">
        <v>15332</v>
      </c>
      <c r="J1478" s="14" t="s">
        <v>15411</v>
      </c>
    </row>
    <row r="1479" spans="1:10" s="10" customFormat="1" x14ac:dyDescent="0.25">
      <c r="A1479" s="14" t="s">
        <v>15414</v>
      </c>
      <c r="B1479" s="8" t="s">
        <v>15415</v>
      </c>
      <c r="C1479" s="7" t="s">
        <v>2501</v>
      </c>
      <c r="D1479" s="9" t="s">
        <v>14856</v>
      </c>
      <c r="E1479" s="7">
        <v>829</v>
      </c>
      <c r="F1479" s="14" t="s">
        <v>15416</v>
      </c>
      <c r="G1479" s="7" t="s">
        <v>15415</v>
      </c>
      <c r="H1479" s="7" t="s">
        <v>1929</v>
      </c>
      <c r="I1479" s="8" t="s">
        <v>15377</v>
      </c>
      <c r="J1479" s="14" t="s">
        <v>15414</v>
      </c>
    </row>
    <row r="1480" spans="1:10" s="10" customFormat="1" x14ac:dyDescent="0.25">
      <c r="A1480" s="14" t="s">
        <v>15417</v>
      </c>
      <c r="B1480" s="8" t="s">
        <v>14978</v>
      </c>
      <c r="C1480" s="7" t="s">
        <v>2501</v>
      </c>
      <c r="D1480" s="9" t="s">
        <v>14797</v>
      </c>
      <c r="E1480" s="7">
        <v>2622</v>
      </c>
      <c r="F1480" s="14" t="s">
        <v>15418</v>
      </c>
      <c r="G1480" s="7" t="s">
        <v>1929</v>
      </c>
      <c r="H1480" s="7" t="s">
        <v>1929</v>
      </c>
      <c r="I1480" s="8" t="s">
        <v>15332</v>
      </c>
      <c r="J1480" s="14" t="s">
        <v>15417</v>
      </c>
    </row>
    <row r="1481" spans="1:10" s="10" customFormat="1" x14ac:dyDescent="0.25">
      <c r="A1481" s="14" t="s">
        <v>2719</v>
      </c>
      <c r="B1481" s="8" t="s">
        <v>15057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15332</v>
      </c>
      <c r="J1481" s="14" t="s">
        <v>2719</v>
      </c>
    </row>
    <row r="1482" spans="1:10" s="10" customFormat="1" x14ac:dyDescent="0.25">
      <c r="A1482" s="14" t="s">
        <v>15419</v>
      </c>
      <c r="B1482" s="8" t="s">
        <v>14492</v>
      </c>
      <c r="C1482" s="7" t="s">
        <v>2501</v>
      </c>
      <c r="D1482" s="9" t="s">
        <v>15420</v>
      </c>
      <c r="E1482" s="7">
        <v>2761</v>
      </c>
      <c r="F1482" s="14" t="s">
        <v>15421</v>
      </c>
      <c r="G1482" s="7" t="s">
        <v>1929</v>
      </c>
      <c r="H1482" s="7" t="s">
        <v>1929</v>
      </c>
      <c r="I1482" s="8" t="s">
        <v>15332</v>
      </c>
      <c r="J1482" s="14" t="s">
        <v>15419</v>
      </c>
    </row>
    <row r="1483" spans="1:10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14591</v>
      </c>
      <c r="J1483" s="14" t="s">
        <v>1242</v>
      </c>
    </row>
    <row r="1484" spans="1:10" s="10" customFormat="1" x14ac:dyDescent="0.25">
      <c r="A1484" s="14" t="s">
        <v>3465</v>
      </c>
      <c r="B1484" s="8" t="s">
        <v>15422</v>
      </c>
      <c r="C1484" s="7" t="s">
        <v>2501</v>
      </c>
      <c r="D1484" s="9" t="s">
        <v>15222</v>
      </c>
      <c r="E1484" s="7">
        <v>19</v>
      </c>
      <c r="F1484" s="14" t="s">
        <v>3466</v>
      </c>
      <c r="G1484" s="7" t="s">
        <v>15422</v>
      </c>
      <c r="H1484" s="7" t="s">
        <v>3464</v>
      </c>
      <c r="I1484" s="8" t="s">
        <v>15423</v>
      </c>
      <c r="J1484" s="14" t="s">
        <v>3465</v>
      </c>
    </row>
    <row r="1485" spans="1:10" s="10" customFormat="1" x14ac:dyDescent="0.25">
      <c r="A1485" s="14" t="s">
        <v>15424</v>
      </c>
      <c r="B1485" s="8" t="s">
        <v>15425</v>
      </c>
      <c r="C1485" s="7" t="s">
        <v>2501</v>
      </c>
      <c r="D1485" s="9" t="s">
        <v>15426</v>
      </c>
      <c r="E1485" s="7">
        <v>486</v>
      </c>
      <c r="F1485" s="14" t="s">
        <v>15427</v>
      </c>
      <c r="G1485" s="7" t="s">
        <v>3464</v>
      </c>
      <c r="H1485" s="7" t="s">
        <v>3464</v>
      </c>
      <c r="I1485" s="8" t="s">
        <v>14591</v>
      </c>
      <c r="J1485" s="14" t="s">
        <v>15424</v>
      </c>
    </row>
    <row r="1486" spans="1:10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14136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4" t="s">
        <v>3467</v>
      </c>
    </row>
    <row r="1487" spans="1:10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14156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15428</v>
      </c>
      <c r="J1487" s="14" t="s">
        <v>3470</v>
      </c>
    </row>
    <row r="1488" spans="1:10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15429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4" t="s">
        <v>1248</v>
      </c>
    </row>
    <row r="1489" spans="1:10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14285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4" t="s">
        <v>2817</v>
      </c>
    </row>
    <row r="1490" spans="1:10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4" t="s">
        <v>2820</v>
      </c>
    </row>
    <row r="1491" spans="1:10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15430</v>
      </c>
      <c r="J1491" s="14" t="s">
        <v>2824</v>
      </c>
    </row>
    <row r="1492" spans="1:10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4" t="s">
        <v>2828</v>
      </c>
    </row>
    <row r="1493" spans="1:10" s="10" customFormat="1" x14ac:dyDescent="0.25">
      <c r="A1493" s="14" t="s">
        <v>15431</v>
      </c>
      <c r="B1493" s="8" t="s">
        <v>15432</v>
      </c>
      <c r="C1493" s="7" t="s">
        <v>2501</v>
      </c>
      <c r="D1493" s="9" t="s">
        <v>14953</v>
      </c>
      <c r="E1493" s="7">
        <v>1</v>
      </c>
      <c r="F1493" s="14" t="s">
        <v>15433</v>
      </c>
      <c r="G1493" s="7" t="s">
        <v>15432</v>
      </c>
      <c r="H1493" s="7" t="s">
        <v>3464</v>
      </c>
      <c r="I1493" s="8" t="s">
        <v>15434</v>
      </c>
      <c r="J1493" s="14" t="s">
        <v>15431</v>
      </c>
    </row>
    <row r="1494" spans="1:10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15428</v>
      </c>
      <c r="J1494" s="14" t="s">
        <v>2831</v>
      </c>
    </row>
    <row r="1495" spans="1:10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15435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4" t="s">
        <v>2834</v>
      </c>
    </row>
    <row r="1496" spans="1:10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15020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15428</v>
      </c>
      <c r="J1496" s="14" t="s">
        <v>2837</v>
      </c>
    </row>
    <row r="1497" spans="1:10" s="10" customFormat="1" x14ac:dyDescent="0.25">
      <c r="A1497" s="14" t="s">
        <v>15436</v>
      </c>
      <c r="B1497" s="8" t="s">
        <v>15437</v>
      </c>
      <c r="C1497" s="7" t="s">
        <v>2501</v>
      </c>
      <c r="D1497" s="9" t="s">
        <v>15222</v>
      </c>
      <c r="E1497" s="7">
        <v>4</v>
      </c>
      <c r="F1497" s="14" t="s">
        <v>15438</v>
      </c>
      <c r="G1497" s="7" t="s">
        <v>15437</v>
      </c>
      <c r="H1497" s="7" t="s">
        <v>3464</v>
      </c>
      <c r="I1497" s="8" t="s">
        <v>4164</v>
      </c>
      <c r="J1497" s="14" t="s">
        <v>15436</v>
      </c>
    </row>
    <row r="1498" spans="1:10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14387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4" t="s">
        <v>2841</v>
      </c>
    </row>
    <row r="1499" spans="1:10" s="10" customFormat="1" x14ac:dyDescent="0.25">
      <c r="A1499" s="14" t="s">
        <v>15439</v>
      </c>
      <c r="B1499" s="8" t="s">
        <v>15440</v>
      </c>
      <c r="C1499" s="7" t="s">
        <v>2501</v>
      </c>
      <c r="D1499" s="9" t="s">
        <v>14297</v>
      </c>
      <c r="E1499" s="7">
        <v>224</v>
      </c>
      <c r="F1499" s="14" t="s">
        <v>15441</v>
      </c>
      <c r="G1499" s="7" t="s">
        <v>15440</v>
      </c>
      <c r="H1499" s="7" t="s">
        <v>3464</v>
      </c>
      <c r="I1499" s="8" t="s">
        <v>1994</v>
      </c>
      <c r="J1499" s="14" t="s">
        <v>15439</v>
      </c>
    </row>
    <row r="1500" spans="1:10" s="10" customFormat="1" x14ac:dyDescent="0.25">
      <c r="A1500" s="14" t="s">
        <v>2844</v>
      </c>
      <c r="B1500" s="8" t="s">
        <v>14693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14693</v>
      </c>
      <c r="H1500" s="7" t="s">
        <v>3464</v>
      </c>
      <c r="I1500" s="8" t="s">
        <v>1994</v>
      </c>
      <c r="J1500" s="14" t="s">
        <v>2844</v>
      </c>
    </row>
    <row r="1501" spans="1:10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15020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15430</v>
      </c>
      <c r="J1501" s="14" t="s">
        <v>513</v>
      </c>
    </row>
    <row r="1502" spans="1:10" s="10" customFormat="1" x14ac:dyDescent="0.25">
      <c r="A1502" s="14" t="s">
        <v>15442</v>
      </c>
      <c r="B1502" s="8" t="s">
        <v>2750</v>
      </c>
      <c r="C1502" s="7" t="s">
        <v>2501</v>
      </c>
      <c r="D1502" s="9" t="s">
        <v>14863</v>
      </c>
      <c r="E1502" s="7">
        <v>1</v>
      </c>
      <c r="F1502" s="14" t="s">
        <v>15443</v>
      </c>
      <c r="G1502" s="7" t="s">
        <v>2750</v>
      </c>
      <c r="H1502" s="7" t="s">
        <v>3464</v>
      </c>
      <c r="I1502" s="8" t="s">
        <v>2821</v>
      </c>
      <c r="J1502" s="14" t="s">
        <v>15442</v>
      </c>
    </row>
    <row r="1503" spans="1:10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14212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4" t="s">
        <v>516</v>
      </c>
    </row>
    <row r="1504" spans="1:10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15423</v>
      </c>
      <c r="J1504" s="14" t="s">
        <v>519</v>
      </c>
    </row>
    <row r="1505" spans="1:10" s="10" customFormat="1" x14ac:dyDescent="0.25">
      <c r="A1505" s="14" t="s">
        <v>15444</v>
      </c>
      <c r="B1505" s="8" t="s">
        <v>15445</v>
      </c>
      <c r="C1505" s="7" t="s">
        <v>2501</v>
      </c>
      <c r="D1505" s="9" t="s">
        <v>15446</v>
      </c>
      <c r="E1505" s="7">
        <v>0</v>
      </c>
      <c r="F1505" s="14" t="s">
        <v>15447</v>
      </c>
      <c r="G1505" s="7" t="s">
        <v>15445</v>
      </c>
      <c r="H1505" s="7" t="s">
        <v>3464</v>
      </c>
      <c r="I1505" s="8" t="s">
        <v>15448</v>
      </c>
      <c r="J1505" s="14" t="s">
        <v>15444</v>
      </c>
    </row>
    <row r="1506" spans="1:10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15449</v>
      </c>
      <c r="J1506" s="14" t="s">
        <v>523</v>
      </c>
    </row>
    <row r="1507" spans="1:10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15450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4" t="s">
        <v>526</v>
      </c>
    </row>
    <row r="1508" spans="1:10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4" t="s">
        <v>1280</v>
      </c>
    </row>
    <row r="1509" spans="1:10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15449</v>
      </c>
      <c r="J1509" s="14" t="s">
        <v>2853</v>
      </c>
    </row>
    <row r="1510" spans="1:10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14175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15451</v>
      </c>
      <c r="J1510" s="14" t="s">
        <v>2856</v>
      </c>
    </row>
    <row r="1511" spans="1:10" s="10" customFormat="1" x14ac:dyDescent="0.25">
      <c r="A1511" s="14" t="s">
        <v>15452</v>
      </c>
      <c r="B1511" s="8" t="s">
        <v>15453</v>
      </c>
      <c r="C1511" s="7" t="s">
        <v>2501</v>
      </c>
      <c r="D1511" s="9" t="s">
        <v>15446</v>
      </c>
      <c r="E1511" s="7">
        <v>100</v>
      </c>
      <c r="F1511" s="14" t="s">
        <v>15454</v>
      </c>
      <c r="G1511" s="7" t="s">
        <v>15453</v>
      </c>
      <c r="H1511" s="7" t="s">
        <v>3464</v>
      </c>
      <c r="I1511" s="8" t="s">
        <v>15434</v>
      </c>
      <c r="J1511" s="14" t="s">
        <v>15452</v>
      </c>
    </row>
    <row r="1512" spans="1:10" s="10" customFormat="1" x14ac:dyDescent="0.25">
      <c r="A1512" s="14" t="s">
        <v>2860</v>
      </c>
      <c r="B1512" s="8" t="s">
        <v>15455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4" t="s">
        <v>2860</v>
      </c>
    </row>
    <row r="1513" spans="1:10" s="10" customFormat="1" x14ac:dyDescent="0.25">
      <c r="A1513" s="14" t="s">
        <v>15456</v>
      </c>
      <c r="B1513" s="8" t="s">
        <v>312</v>
      </c>
      <c r="C1513" s="7" t="s">
        <v>2501</v>
      </c>
      <c r="D1513" s="9" t="s">
        <v>15457</v>
      </c>
      <c r="E1513" s="7">
        <v>0</v>
      </c>
      <c r="F1513" s="14" t="s">
        <v>15458</v>
      </c>
      <c r="G1513" s="7" t="s">
        <v>312</v>
      </c>
      <c r="H1513" s="7" t="s">
        <v>3464</v>
      </c>
      <c r="I1513" s="8" t="s">
        <v>1994</v>
      </c>
      <c r="J1513" s="14" t="s">
        <v>15456</v>
      </c>
    </row>
    <row r="1514" spans="1:10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4" t="s">
        <v>2863</v>
      </c>
    </row>
    <row r="1515" spans="1:10" s="10" customFormat="1" x14ac:dyDescent="0.25">
      <c r="A1515" s="14" t="s">
        <v>15459</v>
      </c>
      <c r="B1515" s="8" t="s">
        <v>15460</v>
      </c>
      <c r="C1515" s="7" t="s">
        <v>2501</v>
      </c>
      <c r="D1515" s="9" t="s">
        <v>15461</v>
      </c>
      <c r="E1515" s="7">
        <v>0</v>
      </c>
      <c r="F1515" s="14" t="s">
        <v>15462</v>
      </c>
      <c r="G1515" s="7" t="s">
        <v>15460</v>
      </c>
      <c r="H1515" s="7" t="s">
        <v>3464</v>
      </c>
      <c r="I1515" s="8" t="s">
        <v>1281</v>
      </c>
      <c r="J1515" s="14" t="s">
        <v>15459</v>
      </c>
    </row>
    <row r="1516" spans="1:10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14124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15463</v>
      </c>
      <c r="J1516" s="14" t="s">
        <v>2867</v>
      </c>
    </row>
    <row r="1517" spans="1:10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14293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15464</v>
      </c>
      <c r="J1517" s="14" t="s">
        <v>2870</v>
      </c>
    </row>
    <row r="1518" spans="1:10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14539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15465</v>
      </c>
      <c r="J1518" s="14" t="s">
        <v>2873</v>
      </c>
    </row>
    <row r="1519" spans="1:10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14955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4" t="s">
        <v>2876</v>
      </c>
    </row>
    <row r="1520" spans="1:10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14292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15466</v>
      </c>
      <c r="J1520" s="14" t="s">
        <v>2879</v>
      </c>
    </row>
    <row r="1521" spans="1:10" s="10" customFormat="1" x14ac:dyDescent="0.25">
      <c r="A1521" s="14" t="s">
        <v>15467</v>
      </c>
      <c r="B1521" s="8" t="s">
        <v>15468</v>
      </c>
      <c r="C1521" s="7" t="s">
        <v>2501</v>
      </c>
      <c r="D1521" s="9" t="s">
        <v>2822</v>
      </c>
      <c r="E1521" s="7">
        <v>0</v>
      </c>
      <c r="F1521" s="14" t="s">
        <v>15469</v>
      </c>
      <c r="G1521" s="7" t="s">
        <v>15470</v>
      </c>
      <c r="H1521" s="7" t="s">
        <v>3464</v>
      </c>
      <c r="I1521" s="8" t="s">
        <v>15465</v>
      </c>
      <c r="J1521" s="14" t="s">
        <v>15467</v>
      </c>
    </row>
    <row r="1522" spans="1:10" s="10" customFormat="1" x14ac:dyDescent="0.25">
      <c r="A1522" s="14" t="s">
        <v>15471</v>
      </c>
      <c r="B1522" s="8" t="s">
        <v>15472</v>
      </c>
      <c r="C1522" s="7" t="s">
        <v>2501</v>
      </c>
      <c r="D1522" s="9" t="s">
        <v>2822</v>
      </c>
      <c r="E1522" s="7">
        <v>0</v>
      </c>
      <c r="F1522" s="14" t="s">
        <v>15473</v>
      </c>
      <c r="G1522" s="7" t="s">
        <v>15472</v>
      </c>
      <c r="H1522" s="7" t="s">
        <v>3464</v>
      </c>
      <c r="I1522" s="8" t="s">
        <v>15474</v>
      </c>
      <c r="J1522" s="14" t="s">
        <v>15471</v>
      </c>
    </row>
    <row r="1523" spans="1:10" s="10" customFormat="1" x14ac:dyDescent="0.25">
      <c r="A1523" s="14" t="s">
        <v>15475</v>
      </c>
      <c r="B1523" s="8" t="s">
        <v>15476</v>
      </c>
      <c r="C1523" s="7" t="s">
        <v>2501</v>
      </c>
      <c r="D1523" s="9" t="s">
        <v>2822</v>
      </c>
      <c r="E1523" s="7">
        <v>0</v>
      </c>
      <c r="F1523" s="14" t="s">
        <v>15477</v>
      </c>
      <c r="G1523" s="7" t="s">
        <v>15476</v>
      </c>
      <c r="H1523" s="7" t="s">
        <v>3464</v>
      </c>
      <c r="I1523" s="8" t="s">
        <v>219</v>
      </c>
      <c r="J1523" s="14" t="s">
        <v>15475</v>
      </c>
    </row>
    <row r="1524" spans="1:10" s="10" customFormat="1" x14ac:dyDescent="0.25">
      <c r="A1524" s="14" t="s">
        <v>15478</v>
      </c>
      <c r="B1524" s="8" t="s">
        <v>15479</v>
      </c>
      <c r="C1524" s="7" t="s">
        <v>2501</v>
      </c>
      <c r="D1524" s="9" t="s">
        <v>2822</v>
      </c>
      <c r="E1524" s="7">
        <v>0</v>
      </c>
      <c r="F1524" s="14" t="s">
        <v>15480</v>
      </c>
      <c r="G1524" s="7" t="s">
        <v>15479</v>
      </c>
      <c r="H1524" s="7" t="s">
        <v>3464</v>
      </c>
      <c r="I1524" s="8" t="s">
        <v>15434</v>
      </c>
      <c r="J1524" s="14" t="s">
        <v>15478</v>
      </c>
    </row>
    <row r="1525" spans="1:10" s="10" customFormat="1" x14ac:dyDescent="0.25">
      <c r="A1525" s="14" t="s">
        <v>15481</v>
      </c>
      <c r="B1525" s="8" t="s">
        <v>15482</v>
      </c>
      <c r="C1525" s="7" t="s">
        <v>2501</v>
      </c>
      <c r="D1525" s="9" t="s">
        <v>2822</v>
      </c>
      <c r="E1525" s="7">
        <v>0</v>
      </c>
      <c r="F1525" s="14" t="s">
        <v>15483</v>
      </c>
      <c r="G1525" s="7" t="s">
        <v>15482</v>
      </c>
      <c r="H1525" s="7" t="s">
        <v>3464</v>
      </c>
      <c r="I1525" s="8" t="s">
        <v>872</v>
      </c>
      <c r="J1525" s="14" t="s">
        <v>15481</v>
      </c>
    </row>
    <row r="1526" spans="1:10" s="10" customFormat="1" x14ac:dyDescent="0.25">
      <c r="A1526" s="14" t="s">
        <v>15484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15485</v>
      </c>
      <c r="G1526" s="7" t="s">
        <v>3855</v>
      </c>
      <c r="H1526" s="7" t="s">
        <v>3464</v>
      </c>
      <c r="I1526" s="8" t="s">
        <v>15430</v>
      </c>
      <c r="J1526" s="14" t="s">
        <v>15484</v>
      </c>
    </row>
    <row r="1527" spans="1:10" s="10" customFormat="1" x14ac:dyDescent="0.25">
      <c r="A1527" s="14" t="s">
        <v>15486</v>
      </c>
      <c r="B1527" s="8" t="s">
        <v>15448</v>
      </c>
      <c r="C1527" s="7" t="s">
        <v>2501</v>
      </c>
      <c r="D1527" s="9" t="s">
        <v>2822</v>
      </c>
      <c r="E1527" s="7">
        <v>0</v>
      </c>
      <c r="F1527" s="14" t="s">
        <v>15487</v>
      </c>
      <c r="G1527" s="7" t="s">
        <v>15488</v>
      </c>
      <c r="H1527" s="7" t="s">
        <v>3464</v>
      </c>
      <c r="I1527" s="8" t="s">
        <v>15448</v>
      </c>
      <c r="J1527" s="14" t="s">
        <v>15486</v>
      </c>
    </row>
    <row r="1528" spans="1:10" s="10" customFormat="1" x14ac:dyDescent="0.25">
      <c r="A1528" s="14" t="s">
        <v>15489</v>
      </c>
      <c r="B1528" s="8" t="s">
        <v>15490</v>
      </c>
      <c r="C1528" s="7" t="s">
        <v>2501</v>
      </c>
      <c r="D1528" s="9" t="s">
        <v>15491</v>
      </c>
      <c r="E1528" s="7">
        <v>545</v>
      </c>
      <c r="F1528" s="14" t="s">
        <v>15492</v>
      </c>
      <c r="G1528" s="7" t="s">
        <v>3464</v>
      </c>
      <c r="H1528" s="7" t="s">
        <v>3464</v>
      </c>
      <c r="I1528" s="8" t="s">
        <v>14591</v>
      </c>
      <c r="J1528" s="14" t="s">
        <v>15489</v>
      </c>
    </row>
    <row r="1529" spans="1:10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14290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4" t="s">
        <v>553</v>
      </c>
    </row>
    <row r="1530" spans="1:10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14132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4" t="s">
        <v>557</v>
      </c>
    </row>
    <row r="1531" spans="1:10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15493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4" t="s">
        <v>560</v>
      </c>
    </row>
    <row r="1532" spans="1:10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15494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14591</v>
      </c>
      <c r="J1532" s="14" t="s">
        <v>2721</v>
      </c>
    </row>
    <row r="1533" spans="1:10" s="10" customFormat="1" x14ac:dyDescent="0.25">
      <c r="A1533" s="14" t="s">
        <v>1166</v>
      </c>
      <c r="B1533" s="8" t="s">
        <v>15495</v>
      </c>
      <c r="C1533" s="7" t="s">
        <v>2501</v>
      </c>
      <c r="D1533" s="9" t="s">
        <v>14189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14591</v>
      </c>
      <c r="J1533" s="14" t="s">
        <v>1166</v>
      </c>
    </row>
    <row r="1534" spans="1:10" s="10" customFormat="1" x14ac:dyDescent="0.25">
      <c r="A1534" s="14" t="s">
        <v>1168</v>
      </c>
      <c r="B1534" s="8" t="s">
        <v>15496</v>
      </c>
      <c r="C1534" s="7" t="s">
        <v>2501</v>
      </c>
      <c r="D1534" s="9" t="s">
        <v>14553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14591</v>
      </c>
      <c r="J1534" s="14" t="s">
        <v>1168</v>
      </c>
    </row>
    <row r="1535" spans="1:10" s="10" customFormat="1" x14ac:dyDescent="0.25">
      <c r="A1535" s="14" t="s">
        <v>1170</v>
      </c>
      <c r="B1535" s="8" t="s">
        <v>15497</v>
      </c>
      <c r="C1535" s="7" t="s">
        <v>2501</v>
      </c>
      <c r="D1535" s="9" t="s">
        <v>14325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14591</v>
      </c>
      <c r="J1535" s="14" t="s">
        <v>1170</v>
      </c>
    </row>
    <row r="1536" spans="1:10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15318</v>
      </c>
      <c r="J1536" s="14" t="s">
        <v>1172</v>
      </c>
    </row>
    <row r="1537" spans="1:10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14185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4" t="s">
        <v>1175</v>
      </c>
    </row>
    <row r="1538" spans="1:10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15498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4" t="s">
        <v>1178</v>
      </c>
    </row>
    <row r="1539" spans="1:10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14229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4" t="s">
        <v>1181</v>
      </c>
    </row>
    <row r="1540" spans="1:10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4" t="s">
        <v>1185</v>
      </c>
    </row>
    <row r="1541" spans="1:10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4" t="s">
        <v>1188</v>
      </c>
    </row>
    <row r="1542" spans="1:10" s="10" customFormat="1" x14ac:dyDescent="0.25">
      <c r="A1542" s="14" t="s">
        <v>15499</v>
      </c>
      <c r="B1542" s="8" t="s">
        <v>15500</v>
      </c>
      <c r="C1542" s="7" t="s">
        <v>2501</v>
      </c>
      <c r="D1542" s="9" t="s">
        <v>14986</v>
      </c>
      <c r="E1542" s="7">
        <v>1</v>
      </c>
      <c r="F1542" s="14" t="s">
        <v>15501</v>
      </c>
      <c r="G1542" s="7" t="s">
        <v>15502</v>
      </c>
      <c r="H1542" s="7" t="s">
        <v>4029</v>
      </c>
      <c r="I1542" s="8" t="s">
        <v>2797</v>
      </c>
      <c r="J1542" s="14" t="s">
        <v>15499</v>
      </c>
    </row>
    <row r="1543" spans="1:10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15503</v>
      </c>
      <c r="J1543" s="14" t="s">
        <v>1192</v>
      </c>
    </row>
    <row r="1544" spans="1:10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14136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4" t="s">
        <v>1195</v>
      </c>
    </row>
    <row r="1545" spans="1:10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14229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4" t="s">
        <v>1198</v>
      </c>
    </row>
    <row r="1546" spans="1:10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15318</v>
      </c>
      <c r="J1546" s="14" t="s">
        <v>1201</v>
      </c>
    </row>
    <row r="1547" spans="1:10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14796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4" t="s">
        <v>1204</v>
      </c>
    </row>
    <row r="1548" spans="1:10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14140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14262</v>
      </c>
      <c r="J1548" s="14" t="s">
        <v>1207</v>
      </c>
    </row>
    <row r="1549" spans="1:10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4" t="s">
        <v>1209</v>
      </c>
    </row>
    <row r="1550" spans="1:10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4" t="s">
        <v>2757</v>
      </c>
    </row>
    <row r="1551" spans="1:10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4" t="s">
        <v>2760</v>
      </c>
    </row>
    <row r="1552" spans="1:10" s="10" customFormat="1" x14ac:dyDescent="0.25">
      <c r="A1552" s="14" t="s">
        <v>15504</v>
      </c>
      <c r="B1552" s="8" t="s">
        <v>15505</v>
      </c>
      <c r="C1552" s="7" t="s">
        <v>2501</v>
      </c>
      <c r="D1552" s="9" t="s">
        <v>208</v>
      </c>
      <c r="E1552" s="7">
        <v>1</v>
      </c>
      <c r="F1552" s="14" t="s">
        <v>15506</v>
      </c>
      <c r="G1552" s="7" t="s">
        <v>15505</v>
      </c>
      <c r="H1552" s="7" t="s">
        <v>4029</v>
      </c>
      <c r="I1552" s="8" t="s">
        <v>2467</v>
      </c>
      <c r="J1552" s="14" t="s">
        <v>15504</v>
      </c>
    </row>
    <row r="1553" spans="1:10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4" t="s">
        <v>2763</v>
      </c>
    </row>
    <row r="1554" spans="1:10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15507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4" t="s">
        <v>2766</v>
      </c>
    </row>
    <row r="1555" spans="1:10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14229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4" t="s">
        <v>2769</v>
      </c>
    </row>
    <row r="1556" spans="1:10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15508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4" t="s">
        <v>2772</v>
      </c>
    </row>
    <row r="1557" spans="1:10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4" t="s">
        <v>2775</v>
      </c>
    </row>
    <row r="1558" spans="1:10" s="10" customFormat="1" x14ac:dyDescent="0.25">
      <c r="A1558" s="14" t="s">
        <v>15509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15510</v>
      </c>
      <c r="G1558" s="7" t="s">
        <v>2801</v>
      </c>
      <c r="H1558" s="7" t="s">
        <v>4029</v>
      </c>
      <c r="I1558" s="8" t="s">
        <v>2794</v>
      </c>
      <c r="J1558" s="14" t="s">
        <v>15509</v>
      </c>
    </row>
    <row r="1559" spans="1:10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4" t="s">
        <v>2780</v>
      </c>
    </row>
    <row r="1560" spans="1:10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4" t="s">
        <v>2783</v>
      </c>
    </row>
    <row r="1561" spans="1:10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14297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4" t="s">
        <v>2786</v>
      </c>
    </row>
    <row r="1562" spans="1:10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4" t="s">
        <v>2789</v>
      </c>
    </row>
    <row r="1563" spans="1:10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14262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4" t="s">
        <v>2793</v>
      </c>
    </row>
    <row r="1564" spans="1:10" s="10" customFormat="1" x14ac:dyDescent="0.25">
      <c r="A1564" s="14" t="s">
        <v>15511</v>
      </c>
      <c r="B1564" s="8" t="s">
        <v>15512</v>
      </c>
      <c r="C1564" s="7" t="s">
        <v>2501</v>
      </c>
      <c r="D1564" s="9" t="s">
        <v>2481</v>
      </c>
      <c r="E1564" s="7">
        <v>99</v>
      </c>
      <c r="F1564" s="14" t="s">
        <v>15513</v>
      </c>
      <c r="G1564" s="7" t="s">
        <v>15512</v>
      </c>
      <c r="H1564" s="7" t="s">
        <v>4029</v>
      </c>
      <c r="I1564" s="8" t="s">
        <v>1199</v>
      </c>
      <c r="J1564" s="14" t="s">
        <v>15511</v>
      </c>
    </row>
    <row r="1565" spans="1:10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14297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4" t="s">
        <v>2796</v>
      </c>
    </row>
    <row r="1566" spans="1:10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4" t="s">
        <v>2799</v>
      </c>
    </row>
    <row r="1567" spans="1:10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4" t="s">
        <v>2803</v>
      </c>
    </row>
    <row r="1568" spans="1:10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15514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15503</v>
      </c>
      <c r="J1568" s="14" t="s">
        <v>2807</v>
      </c>
    </row>
    <row r="1569" spans="1:10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4" t="s">
        <v>2811</v>
      </c>
    </row>
    <row r="1570" spans="1:10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15515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4" t="s">
        <v>458</v>
      </c>
    </row>
    <row r="1571" spans="1:10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14297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4" t="s">
        <v>461</v>
      </c>
    </row>
    <row r="1572" spans="1:10" s="10" customFormat="1" x14ac:dyDescent="0.25">
      <c r="A1572" s="14" t="s">
        <v>15516</v>
      </c>
      <c r="B1572" s="8" t="s">
        <v>15517</v>
      </c>
      <c r="C1572" s="7" t="s">
        <v>2501</v>
      </c>
      <c r="D1572" s="9" t="s">
        <v>2822</v>
      </c>
      <c r="E1572" s="7">
        <v>0</v>
      </c>
      <c r="F1572" s="14" t="s">
        <v>15518</v>
      </c>
      <c r="G1572" s="7" t="s">
        <v>15517</v>
      </c>
      <c r="H1572" s="7" t="s">
        <v>4029</v>
      </c>
      <c r="I1572" s="8" t="s">
        <v>2467</v>
      </c>
      <c r="J1572" s="14" t="s">
        <v>15516</v>
      </c>
    </row>
    <row r="1573" spans="1:10" s="10" customFormat="1" x14ac:dyDescent="0.25">
      <c r="A1573" s="14" t="s">
        <v>15519</v>
      </c>
      <c r="B1573" s="8" t="s">
        <v>15520</v>
      </c>
      <c r="C1573" s="7" t="s">
        <v>2501</v>
      </c>
      <c r="D1573" s="9" t="s">
        <v>15521</v>
      </c>
      <c r="E1573" s="7">
        <v>0</v>
      </c>
      <c r="F1573" s="14" t="s">
        <v>15522</v>
      </c>
      <c r="G1573" s="7" t="s">
        <v>15520</v>
      </c>
      <c r="H1573" s="7" t="s">
        <v>4029</v>
      </c>
      <c r="I1573" s="8" t="s">
        <v>2800</v>
      </c>
      <c r="J1573" s="14" t="s">
        <v>15519</v>
      </c>
    </row>
    <row r="1574" spans="1:10" s="10" customFormat="1" x14ac:dyDescent="0.25">
      <c r="A1574" s="14" t="s">
        <v>15523</v>
      </c>
      <c r="B1574" s="8" t="s">
        <v>15524</v>
      </c>
      <c r="C1574" s="7" t="s">
        <v>2501</v>
      </c>
      <c r="D1574" s="9" t="s">
        <v>2822</v>
      </c>
      <c r="E1574" s="7">
        <v>0</v>
      </c>
      <c r="F1574" s="14" t="s">
        <v>15525</v>
      </c>
      <c r="G1574" s="7" t="s">
        <v>15524</v>
      </c>
      <c r="H1574" s="7" t="s">
        <v>4029</v>
      </c>
      <c r="I1574" s="8" t="s">
        <v>2794</v>
      </c>
      <c r="J1574" s="14" t="s">
        <v>15523</v>
      </c>
    </row>
    <row r="1575" spans="1:10" s="10" customFormat="1" x14ac:dyDescent="0.25">
      <c r="A1575" s="122" t="s">
        <v>15526</v>
      </c>
      <c r="B1575" s="123" t="s">
        <v>15527</v>
      </c>
      <c r="C1575" s="124" t="s">
        <v>2501</v>
      </c>
      <c r="D1575" s="125" t="s">
        <v>3665</v>
      </c>
      <c r="E1575" s="124">
        <v>450</v>
      </c>
      <c r="F1575" s="122" t="s">
        <v>15528</v>
      </c>
      <c r="G1575" s="124" t="s">
        <v>1165</v>
      </c>
      <c r="H1575" s="124" t="s">
        <v>4029</v>
      </c>
      <c r="I1575" s="123" t="s">
        <v>14591</v>
      </c>
      <c r="J1575" s="122" t="s">
        <v>15526</v>
      </c>
    </row>
    <row r="1576" spans="1:10" s="10" customFormat="1" x14ac:dyDescent="0.25">
      <c r="A1576" s="18"/>
      <c r="C1576" s="17"/>
      <c r="D1576" s="19"/>
      <c r="E1576" s="17"/>
      <c r="F1576" s="18"/>
      <c r="G1576" s="17"/>
      <c r="H1576" s="17"/>
      <c r="J1576" s="18"/>
    </row>
    <row r="1577" spans="1:10" s="10" customFormat="1" x14ac:dyDescent="0.25">
      <c r="A1577" s="18"/>
      <c r="C1577" s="17"/>
      <c r="D1577" s="19"/>
      <c r="E1577" s="17"/>
      <c r="F1577" s="18"/>
      <c r="G1577" s="17"/>
      <c r="H1577" s="17"/>
      <c r="J1577" s="18"/>
    </row>
    <row r="1578" spans="1:10" s="10" customFormat="1" x14ac:dyDescent="0.25">
      <c r="A1578" s="18"/>
      <c r="C1578" s="17"/>
      <c r="D1578" s="19"/>
      <c r="E1578" s="17"/>
      <c r="F1578" s="18"/>
      <c r="G1578" s="17"/>
      <c r="H1578" s="17"/>
      <c r="J1578" s="18"/>
    </row>
    <row r="1579" spans="1:10" s="10" customFormat="1" x14ac:dyDescent="0.25">
      <c r="A1579" s="18"/>
      <c r="C1579" s="17"/>
      <c r="D1579" s="19"/>
      <c r="E1579" s="17"/>
      <c r="F1579" s="18"/>
      <c r="G1579" s="17"/>
      <c r="H1579" s="17"/>
      <c r="J1579" s="18"/>
    </row>
    <row r="1580" spans="1:10" s="10" customFormat="1" x14ac:dyDescent="0.25">
      <c r="A1580" s="18"/>
      <c r="C1580" s="17"/>
      <c r="D1580" s="19"/>
      <c r="E1580" s="17"/>
      <c r="F1580" s="18"/>
      <c r="G1580" s="17"/>
      <c r="H1580" s="17"/>
      <c r="J1580" s="18"/>
    </row>
    <row r="1581" spans="1:10" s="10" customFormat="1" x14ac:dyDescent="0.25">
      <c r="A1581" s="18"/>
      <c r="C1581" s="17"/>
      <c r="D1581" s="19"/>
      <c r="E1581" s="17"/>
      <c r="F1581" s="18"/>
      <c r="G1581" s="17"/>
      <c r="H1581" s="17"/>
      <c r="J1581" s="18"/>
    </row>
    <row r="1582" spans="1:10" s="10" customFormat="1" x14ac:dyDescent="0.25">
      <c r="A1582" s="18"/>
      <c r="C1582" s="17"/>
      <c r="D1582" s="19"/>
      <c r="E1582" s="17"/>
      <c r="F1582" s="18"/>
      <c r="G1582" s="17"/>
      <c r="H1582" s="17"/>
      <c r="J1582" s="18"/>
    </row>
    <row r="1583" spans="1:10" s="10" customFormat="1" x14ac:dyDescent="0.25">
      <c r="A1583" s="18"/>
      <c r="C1583" s="17"/>
      <c r="D1583" s="19"/>
      <c r="E1583" s="17"/>
      <c r="F1583" s="18"/>
      <c r="G1583" s="17"/>
      <c r="H1583" s="17"/>
      <c r="J1583" s="18"/>
    </row>
    <row r="1584" spans="1:10" s="10" customFormat="1" x14ac:dyDescent="0.25">
      <c r="A1584" s="18"/>
      <c r="C1584" s="17"/>
      <c r="D1584" s="19"/>
      <c r="E1584" s="17"/>
      <c r="F1584" s="18"/>
      <c r="G1584" s="17"/>
      <c r="H1584" s="17"/>
      <c r="J1584" s="18"/>
    </row>
    <row r="1585" spans="1:10" s="10" customFormat="1" x14ac:dyDescent="0.25">
      <c r="A1585" s="18"/>
      <c r="C1585" s="17"/>
      <c r="D1585" s="19"/>
      <c r="E1585" s="17"/>
      <c r="F1585" s="18"/>
      <c r="G1585" s="17"/>
      <c r="H1585" s="17"/>
      <c r="J1585" s="18"/>
    </row>
    <row r="1586" spans="1:10" s="10" customFormat="1" x14ac:dyDescent="0.25">
      <c r="A1586" s="18"/>
      <c r="C1586" s="17"/>
      <c r="D1586" s="19"/>
      <c r="E1586" s="17"/>
      <c r="F1586" s="18"/>
      <c r="G1586" s="17"/>
      <c r="H1586" s="17"/>
      <c r="J1586" s="18"/>
    </row>
    <row r="1587" spans="1:10" s="10" customFormat="1" x14ac:dyDescent="0.25">
      <c r="A1587" s="18"/>
      <c r="C1587" s="17"/>
      <c r="D1587" s="19"/>
      <c r="E1587" s="17"/>
      <c r="F1587" s="18"/>
      <c r="G1587" s="17"/>
      <c r="H1587" s="17"/>
      <c r="J1587" s="18"/>
    </row>
    <row r="1588" spans="1:10" s="10" customFormat="1" x14ac:dyDescent="0.25">
      <c r="A1588" s="18"/>
      <c r="C1588" s="17"/>
      <c r="D1588" s="19"/>
      <c r="E1588" s="17"/>
      <c r="F1588" s="18"/>
      <c r="G1588" s="17"/>
      <c r="H1588" s="17"/>
      <c r="J1588" s="18"/>
    </row>
    <row r="1589" spans="1:10" s="10" customFormat="1" x14ac:dyDescent="0.25">
      <c r="A1589" s="18"/>
      <c r="C1589" s="17"/>
      <c r="D1589" s="19"/>
      <c r="E1589" s="17"/>
      <c r="F1589" s="18"/>
      <c r="G1589" s="17"/>
      <c r="H1589" s="17"/>
      <c r="J1589" s="18"/>
    </row>
    <row r="1590" spans="1:10" s="10" customFormat="1" x14ac:dyDescent="0.25">
      <c r="A1590" s="18"/>
      <c r="C1590" s="17"/>
      <c r="D1590" s="19"/>
      <c r="E1590" s="17"/>
      <c r="F1590" s="18"/>
      <c r="G1590" s="17"/>
      <c r="H1590" s="17"/>
      <c r="J1590" s="18"/>
    </row>
    <row r="1591" spans="1:10" s="10" customFormat="1" x14ac:dyDescent="0.25">
      <c r="A1591" s="18"/>
      <c r="C1591" s="17"/>
      <c r="D1591" s="19"/>
      <c r="E1591" s="17"/>
      <c r="F1591" s="18"/>
      <c r="G1591" s="17"/>
      <c r="H1591" s="17"/>
      <c r="J1591" s="18"/>
    </row>
    <row r="1592" spans="1:10" s="10" customFormat="1" x14ac:dyDescent="0.25">
      <c r="A1592" s="18"/>
      <c r="C1592" s="17"/>
      <c r="D1592" s="19"/>
      <c r="E1592" s="17"/>
      <c r="F1592" s="18"/>
      <c r="G1592" s="17"/>
      <c r="H1592" s="17"/>
      <c r="J1592" s="18"/>
    </row>
    <row r="1593" spans="1:10" s="10" customFormat="1" x14ac:dyDescent="0.25">
      <c r="A1593" s="18"/>
      <c r="C1593" s="17"/>
      <c r="D1593" s="19"/>
      <c r="E1593" s="17"/>
      <c r="F1593" s="18"/>
      <c r="G1593" s="17"/>
      <c r="H1593" s="17"/>
      <c r="J1593" s="18"/>
    </row>
    <row r="1594" spans="1:10" s="10" customFormat="1" x14ac:dyDescent="0.25">
      <c r="A1594" s="18"/>
      <c r="C1594" s="17"/>
      <c r="D1594" s="19"/>
      <c r="E1594" s="17"/>
      <c r="F1594" s="18"/>
      <c r="G1594" s="17"/>
      <c r="H1594" s="17"/>
      <c r="J1594" s="18"/>
    </row>
    <row r="1595" spans="1:10" s="10" customFormat="1" x14ac:dyDescent="0.25">
      <c r="A1595" s="18"/>
      <c r="C1595" s="17"/>
      <c r="D1595" s="19"/>
      <c r="E1595" s="17"/>
      <c r="F1595" s="18"/>
      <c r="G1595" s="17"/>
      <c r="H1595" s="17"/>
      <c r="J1595" s="18"/>
    </row>
    <row r="1596" spans="1:10" s="10" customFormat="1" x14ac:dyDescent="0.25">
      <c r="A1596" s="18"/>
      <c r="C1596" s="17"/>
      <c r="D1596" s="19"/>
      <c r="E1596" s="17"/>
      <c r="F1596" s="18"/>
      <c r="G1596" s="17"/>
      <c r="H1596" s="17"/>
      <c r="J1596" s="18"/>
    </row>
    <row r="1597" spans="1:10" s="10" customFormat="1" x14ac:dyDescent="0.25">
      <c r="A1597" s="18"/>
      <c r="C1597" s="17"/>
      <c r="D1597" s="19"/>
      <c r="E1597" s="17"/>
      <c r="F1597" s="18"/>
      <c r="G1597" s="17"/>
      <c r="H1597" s="17"/>
      <c r="J1597" s="18"/>
    </row>
    <row r="1598" spans="1:10" s="10" customFormat="1" x14ac:dyDescent="0.25">
      <c r="A1598" s="18"/>
      <c r="C1598" s="17"/>
      <c r="D1598" s="19"/>
      <c r="E1598" s="17"/>
      <c r="F1598" s="18"/>
      <c r="G1598" s="17"/>
      <c r="H1598" s="17"/>
      <c r="J1598" s="18"/>
    </row>
    <row r="1599" spans="1:10" s="10" customFormat="1" x14ac:dyDescent="0.25">
      <c r="A1599" s="18"/>
      <c r="C1599" s="17"/>
      <c r="D1599" s="19"/>
      <c r="E1599" s="17"/>
      <c r="F1599" s="18"/>
      <c r="G1599" s="17"/>
      <c r="H1599" s="17"/>
      <c r="J1599" s="18"/>
    </row>
    <row r="1600" spans="1:10" s="10" customFormat="1" x14ac:dyDescent="0.25">
      <c r="A1600" s="18"/>
      <c r="C1600" s="17"/>
      <c r="D1600" s="19"/>
      <c r="E1600" s="17"/>
      <c r="F1600" s="18"/>
      <c r="G1600" s="17"/>
      <c r="H1600" s="17"/>
      <c r="J1600" s="18"/>
    </row>
    <row r="1601" spans="1:10" s="10" customFormat="1" x14ac:dyDescent="0.25">
      <c r="A1601" s="18"/>
      <c r="C1601" s="17"/>
      <c r="D1601" s="19"/>
      <c r="E1601" s="17"/>
      <c r="F1601" s="18"/>
      <c r="G1601" s="17"/>
      <c r="H1601" s="17"/>
      <c r="J1601" s="18"/>
    </row>
    <row r="1602" spans="1:10" s="10" customFormat="1" x14ac:dyDescent="0.25">
      <c r="A1602" s="18"/>
      <c r="C1602" s="17"/>
      <c r="D1602" s="19"/>
      <c r="E1602" s="17"/>
      <c r="F1602" s="18"/>
      <c r="G1602" s="17"/>
      <c r="H1602" s="17"/>
      <c r="J1602" s="18"/>
    </row>
    <row r="1603" spans="1:10" s="10" customFormat="1" x14ac:dyDescent="0.25">
      <c r="A1603" s="18"/>
      <c r="C1603" s="17"/>
      <c r="D1603" s="19"/>
      <c r="E1603" s="17"/>
      <c r="F1603" s="18"/>
      <c r="G1603" s="17"/>
      <c r="H1603" s="17"/>
      <c r="J1603" s="18"/>
    </row>
    <row r="1604" spans="1:10" s="10" customFormat="1" x14ac:dyDescent="0.25">
      <c r="A1604" s="18"/>
      <c r="C1604" s="17"/>
      <c r="D1604" s="19"/>
      <c r="E1604" s="17"/>
      <c r="F1604" s="18"/>
      <c r="G1604" s="17"/>
      <c r="H1604" s="17"/>
      <c r="J1604" s="18"/>
    </row>
    <row r="1605" spans="1:10" s="10" customFormat="1" x14ac:dyDescent="0.25">
      <c r="A1605" s="18"/>
      <c r="C1605" s="17"/>
      <c r="D1605" s="19"/>
      <c r="E1605" s="17"/>
      <c r="F1605" s="18"/>
      <c r="G1605" s="17"/>
      <c r="H1605" s="17"/>
      <c r="J1605" s="18"/>
    </row>
    <row r="1606" spans="1:10" s="10" customFormat="1" x14ac:dyDescent="0.25">
      <c r="A1606" s="18"/>
      <c r="C1606" s="17"/>
      <c r="D1606" s="19"/>
      <c r="E1606" s="17"/>
      <c r="F1606" s="18"/>
      <c r="G1606" s="17"/>
      <c r="H1606" s="17"/>
      <c r="J1606" s="18"/>
    </row>
    <row r="1607" spans="1:10" s="10" customFormat="1" x14ac:dyDescent="0.25">
      <c r="A1607" s="18"/>
      <c r="C1607" s="17"/>
      <c r="D1607" s="19"/>
      <c r="E1607" s="17"/>
      <c r="F1607" s="18"/>
      <c r="G1607" s="17"/>
      <c r="H1607" s="17"/>
      <c r="J1607" s="18"/>
    </row>
    <row r="1608" spans="1:10" s="10" customFormat="1" x14ac:dyDescent="0.25">
      <c r="A1608" s="18"/>
      <c r="C1608" s="17"/>
      <c r="D1608" s="19"/>
      <c r="E1608" s="17"/>
      <c r="F1608" s="18"/>
      <c r="G1608" s="17"/>
      <c r="H1608" s="17"/>
      <c r="J1608" s="18"/>
    </row>
    <row r="1609" spans="1:10" s="10" customFormat="1" x14ac:dyDescent="0.25">
      <c r="A1609" s="18"/>
      <c r="C1609" s="17"/>
      <c r="D1609" s="19"/>
      <c r="E1609" s="17"/>
      <c r="F1609" s="18"/>
      <c r="G1609" s="17"/>
      <c r="H1609" s="17"/>
      <c r="J1609" s="18"/>
    </row>
    <row r="1610" spans="1:10" s="10" customFormat="1" x14ac:dyDescent="0.25">
      <c r="A1610" s="18"/>
      <c r="C1610" s="17"/>
      <c r="D1610" s="19"/>
      <c r="E1610" s="17"/>
      <c r="F1610" s="18"/>
      <c r="G1610" s="17"/>
      <c r="H1610" s="17"/>
      <c r="J1610" s="18"/>
    </row>
    <row r="1611" spans="1:10" s="10" customFormat="1" x14ac:dyDescent="0.25">
      <c r="A1611" s="18"/>
      <c r="C1611" s="17"/>
      <c r="D1611" s="19"/>
      <c r="E1611" s="17"/>
      <c r="F1611" s="18"/>
      <c r="G1611" s="17"/>
      <c r="H1611" s="17"/>
      <c r="J1611" s="18"/>
    </row>
    <row r="1612" spans="1:10" s="10" customFormat="1" x14ac:dyDescent="0.25">
      <c r="A1612" s="18"/>
      <c r="C1612" s="17"/>
      <c r="D1612" s="19"/>
      <c r="E1612" s="17"/>
      <c r="F1612" s="18"/>
      <c r="G1612" s="17"/>
      <c r="H1612" s="17"/>
      <c r="J1612" s="18"/>
    </row>
    <row r="1613" spans="1:10" s="10" customFormat="1" x14ac:dyDescent="0.25">
      <c r="A1613" s="18"/>
      <c r="C1613" s="17"/>
      <c r="D1613" s="19"/>
      <c r="E1613" s="17"/>
      <c r="F1613" s="18"/>
      <c r="G1613" s="17"/>
      <c r="H1613" s="17"/>
      <c r="J1613" s="18"/>
    </row>
    <row r="1614" spans="1:10" s="10" customFormat="1" x14ac:dyDescent="0.25">
      <c r="A1614" s="18"/>
      <c r="C1614" s="17"/>
      <c r="D1614" s="19"/>
      <c r="E1614" s="17"/>
      <c r="F1614" s="18"/>
      <c r="G1614" s="17"/>
      <c r="H1614" s="17"/>
      <c r="J1614" s="18"/>
    </row>
    <row r="1615" spans="1:10" s="10" customFormat="1" x14ac:dyDescent="0.25">
      <c r="A1615" s="18"/>
      <c r="C1615" s="17"/>
      <c r="D1615" s="19"/>
      <c r="E1615" s="17"/>
      <c r="F1615" s="18"/>
      <c r="G1615" s="17"/>
      <c r="H1615" s="17"/>
      <c r="J1615" s="18"/>
    </row>
    <row r="1616" spans="1:10" s="10" customFormat="1" x14ac:dyDescent="0.25">
      <c r="A1616" s="18"/>
      <c r="C1616" s="17"/>
      <c r="D1616" s="19"/>
      <c r="E1616" s="17"/>
      <c r="F1616" s="18"/>
      <c r="G1616" s="17"/>
      <c r="H1616" s="17"/>
      <c r="J1616" s="18"/>
    </row>
    <row r="1617" spans="1:10" s="10" customFormat="1" x14ac:dyDescent="0.25">
      <c r="A1617" s="18"/>
      <c r="C1617" s="17"/>
      <c r="D1617" s="19"/>
      <c r="E1617" s="17"/>
      <c r="F1617" s="18"/>
      <c r="G1617" s="17"/>
      <c r="H1617" s="17"/>
      <c r="J1617" s="18"/>
    </row>
    <row r="1618" spans="1:10" s="10" customFormat="1" x14ac:dyDescent="0.25">
      <c r="A1618" s="18"/>
      <c r="C1618" s="17"/>
      <c r="D1618" s="19"/>
      <c r="E1618" s="17"/>
      <c r="F1618" s="18"/>
      <c r="G1618" s="17"/>
      <c r="H1618" s="17"/>
      <c r="J1618" s="18"/>
    </row>
    <row r="1619" spans="1:10" s="10" customFormat="1" x14ac:dyDescent="0.25">
      <c r="A1619" s="18"/>
      <c r="C1619" s="17"/>
      <c r="D1619" s="19"/>
      <c r="E1619" s="17"/>
      <c r="F1619" s="18"/>
      <c r="G1619" s="17"/>
      <c r="H1619" s="17"/>
      <c r="J1619" s="18"/>
    </row>
    <row r="1620" spans="1:10" s="10" customFormat="1" x14ac:dyDescent="0.25">
      <c r="A1620" s="18"/>
      <c r="C1620" s="17"/>
      <c r="D1620" s="19"/>
      <c r="E1620" s="17"/>
      <c r="F1620" s="18"/>
      <c r="G1620" s="17"/>
      <c r="H1620" s="17"/>
      <c r="J1620" s="18"/>
    </row>
    <row r="1621" spans="1:10" s="10" customFormat="1" x14ac:dyDescent="0.25">
      <c r="A1621" s="18"/>
      <c r="C1621" s="17"/>
      <c r="D1621" s="19"/>
      <c r="E1621" s="17"/>
      <c r="F1621" s="18"/>
      <c r="G1621" s="17"/>
      <c r="H1621" s="17"/>
      <c r="J1621" s="18"/>
    </row>
    <row r="1622" spans="1:10" s="10" customFormat="1" x14ac:dyDescent="0.25">
      <c r="A1622" s="18"/>
      <c r="C1622" s="17"/>
      <c r="D1622" s="19"/>
      <c r="E1622" s="17"/>
      <c r="F1622" s="18"/>
      <c r="G1622" s="17"/>
      <c r="H1622" s="17"/>
      <c r="J1622" s="18"/>
    </row>
    <row r="1623" spans="1:10" s="10" customFormat="1" x14ac:dyDescent="0.25">
      <c r="A1623" s="18"/>
      <c r="C1623" s="17"/>
      <c r="D1623" s="19"/>
      <c r="E1623" s="17"/>
      <c r="F1623" s="18"/>
      <c r="G1623" s="17"/>
      <c r="H1623" s="17"/>
      <c r="J1623" s="18"/>
    </row>
    <row r="1624" spans="1:10" s="10" customFormat="1" x14ac:dyDescent="0.25">
      <c r="A1624" s="18"/>
      <c r="C1624" s="17"/>
      <c r="D1624" s="19"/>
      <c r="E1624" s="17"/>
      <c r="F1624" s="18"/>
      <c r="G1624" s="17"/>
      <c r="H1624" s="17"/>
      <c r="J1624" s="18"/>
    </row>
    <row r="1625" spans="1:10" s="10" customFormat="1" x14ac:dyDescent="0.25">
      <c r="A1625" s="18"/>
      <c r="C1625" s="17"/>
      <c r="D1625" s="19"/>
      <c r="E1625" s="17"/>
      <c r="F1625" s="18"/>
      <c r="G1625" s="17"/>
      <c r="H1625" s="17"/>
      <c r="J1625" s="18"/>
    </row>
    <row r="1626" spans="1:10" s="10" customFormat="1" x14ac:dyDescent="0.25">
      <c r="A1626" s="18"/>
      <c r="C1626" s="17"/>
      <c r="D1626" s="19"/>
      <c r="E1626" s="17"/>
      <c r="F1626" s="18"/>
      <c r="G1626" s="17"/>
      <c r="H1626" s="17"/>
      <c r="J1626" s="18"/>
    </row>
    <row r="1627" spans="1:10" s="10" customFormat="1" x14ac:dyDescent="0.25">
      <c r="A1627" s="18"/>
      <c r="C1627" s="17"/>
      <c r="D1627" s="19"/>
      <c r="E1627" s="17"/>
      <c r="F1627" s="18"/>
      <c r="G1627" s="17"/>
      <c r="H1627" s="17"/>
      <c r="J1627" s="18"/>
    </row>
    <row r="1628" spans="1:10" s="10" customFormat="1" x14ac:dyDescent="0.25">
      <c r="A1628" s="18"/>
      <c r="C1628" s="17"/>
      <c r="D1628" s="19"/>
      <c r="E1628" s="17"/>
      <c r="F1628" s="18"/>
      <c r="G1628" s="17"/>
      <c r="H1628" s="17"/>
      <c r="J1628" s="18"/>
    </row>
    <row r="1629" spans="1:10" s="10" customFormat="1" x14ac:dyDescent="0.25">
      <c r="A1629" s="18"/>
      <c r="C1629" s="17"/>
      <c r="D1629" s="19"/>
      <c r="E1629" s="17"/>
      <c r="F1629" s="18"/>
      <c r="G1629" s="17"/>
      <c r="H1629" s="17"/>
      <c r="J1629" s="18"/>
    </row>
    <row r="1630" spans="1:10" s="10" customFormat="1" x14ac:dyDescent="0.25">
      <c r="A1630" s="18"/>
      <c r="C1630" s="17"/>
      <c r="D1630" s="19"/>
      <c r="E1630" s="17"/>
      <c r="F1630" s="18"/>
      <c r="G1630" s="17"/>
      <c r="H1630" s="17"/>
      <c r="J1630" s="18"/>
    </row>
    <row r="1631" spans="1:10" s="10" customFormat="1" x14ac:dyDescent="0.25">
      <c r="A1631" s="18"/>
      <c r="C1631" s="17"/>
      <c r="D1631" s="19"/>
      <c r="E1631" s="17"/>
      <c r="F1631" s="18"/>
      <c r="G1631" s="17"/>
      <c r="H1631" s="17"/>
      <c r="J1631" s="18"/>
    </row>
    <row r="1632" spans="1:10" s="10" customFormat="1" x14ac:dyDescent="0.25">
      <c r="A1632" s="18"/>
      <c r="C1632" s="17"/>
      <c r="D1632" s="19"/>
      <c r="E1632" s="17"/>
      <c r="F1632" s="18"/>
      <c r="G1632" s="17"/>
      <c r="H1632" s="17"/>
      <c r="J1632" s="18"/>
    </row>
    <row r="1633" spans="1:10" s="10" customFormat="1" x14ac:dyDescent="0.25">
      <c r="A1633" s="18"/>
      <c r="C1633" s="17"/>
      <c r="D1633" s="19"/>
      <c r="E1633" s="17"/>
      <c r="F1633" s="18"/>
      <c r="G1633" s="17"/>
      <c r="H1633" s="17"/>
      <c r="J1633" s="18"/>
    </row>
    <row r="1634" spans="1:10" s="10" customFormat="1" x14ac:dyDescent="0.25">
      <c r="A1634" s="18"/>
      <c r="C1634" s="17"/>
      <c r="D1634" s="19"/>
      <c r="E1634" s="17"/>
      <c r="F1634" s="18"/>
      <c r="G1634" s="17"/>
      <c r="H1634" s="17"/>
      <c r="J1634" s="18"/>
    </row>
    <row r="1635" spans="1:10" s="10" customFormat="1" x14ac:dyDescent="0.25">
      <c r="A1635" s="18"/>
      <c r="C1635" s="17"/>
      <c r="D1635" s="19"/>
      <c r="E1635" s="17"/>
      <c r="F1635" s="18"/>
      <c r="G1635" s="17"/>
      <c r="H1635" s="17"/>
      <c r="J1635" s="18"/>
    </row>
    <row r="1636" spans="1:10" s="10" customFormat="1" x14ac:dyDescent="0.25">
      <c r="A1636" s="18"/>
      <c r="C1636" s="17"/>
      <c r="D1636" s="19"/>
      <c r="E1636" s="17"/>
      <c r="F1636" s="18"/>
      <c r="G1636" s="17"/>
      <c r="H1636" s="17"/>
      <c r="J1636" s="18"/>
    </row>
    <row r="1637" spans="1:10" s="10" customFormat="1" x14ac:dyDescent="0.25">
      <c r="A1637" s="18"/>
      <c r="C1637" s="17"/>
      <c r="D1637" s="19"/>
      <c r="E1637" s="17"/>
      <c r="F1637" s="18"/>
      <c r="G1637" s="17"/>
      <c r="H1637" s="17"/>
      <c r="J1637" s="18"/>
    </row>
    <row r="1638" spans="1:10" s="10" customFormat="1" x14ac:dyDescent="0.25">
      <c r="A1638" s="18"/>
      <c r="C1638" s="17"/>
      <c r="D1638" s="19"/>
      <c r="E1638" s="17"/>
      <c r="F1638" s="18"/>
      <c r="G1638" s="17"/>
      <c r="H1638" s="17"/>
      <c r="J1638" s="18"/>
    </row>
    <row r="1639" spans="1:10" s="10" customFormat="1" x14ac:dyDescent="0.25">
      <c r="A1639" s="18"/>
      <c r="C1639" s="17"/>
      <c r="D1639" s="19"/>
      <c r="E1639" s="17"/>
      <c r="F1639" s="18"/>
      <c r="G1639" s="17"/>
      <c r="H1639" s="17"/>
      <c r="J1639" s="18"/>
    </row>
    <row r="1640" spans="1:10" s="10" customFormat="1" x14ac:dyDescent="0.25">
      <c r="A1640" s="18"/>
      <c r="C1640" s="17"/>
      <c r="D1640" s="19"/>
      <c r="E1640" s="17"/>
      <c r="F1640" s="18"/>
      <c r="G1640" s="17"/>
      <c r="H1640" s="17"/>
      <c r="J1640" s="18"/>
    </row>
    <row r="1641" spans="1:10" s="10" customFormat="1" x14ac:dyDescent="0.25">
      <c r="A1641" s="18"/>
      <c r="C1641" s="17"/>
      <c r="D1641" s="19"/>
      <c r="E1641" s="17"/>
      <c r="F1641" s="18"/>
      <c r="G1641" s="17"/>
      <c r="H1641" s="17"/>
      <c r="J1641" s="18"/>
    </row>
    <row r="1642" spans="1:10" s="10" customFormat="1" x14ac:dyDescent="0.25">
      <c r="A1642" s="18"/>
      <c r="C1642" s="17"/>
      <c r="D1642" s="19"/>
      <c r="E1642" s="17"/>
      <c r="F1642" s="18"/>
      <c r="G1642" s="17"/>
      <c r="H1642" s="17"/>
      <c r="J1642" s="18"/>
    </row>
    <row r="1643" spans="1:10" s="10" customFormat="1" x14ac:dyDescent="0.25">
      <c r="A1643" s="18"/>
      <c r="C1643" s="17"/>
      <c r="D1643" s="19"/>
      <c r="E1643" s="17"/>
      <c r="F1643" s="18"/>
      <c r="G1643" s="17"/>
      <c r="H1643" s="17"/>
      <c r="J1643" s="18"/>
    </row>
    <row r="1644" spans="1:10" s="10" customFormat="1" x14ac:dyDescent="0.25">
      <c r="A1644" s="18"/>
      <c r="C1644" s="17"/>
      <c r="D1644" s="19"/>
      <c r="E1644" s="17"/>
      <c r="F1644" s="18"/>
      <c r="G1644" s="17"/>
      <c r="H1644" s="17"/>
      <c r="J1644" s="18"/>
    </row>
    <row r="1645" spans="1:10" s="10" customFormat="1" x14ac:dyDescent="0.25">
      <c r="A1645" s="18"/>
      <c r="C1645" s="17"/>
      <c r="D1645" s="19"/>
      <c r="E1645" s="17"/>
      <c r="F1645" s="18"/>
      <c r="G1645" s="17"/>
      <c r="H1645" s="17"/>
      <c r="J1645" s="18"/>
    </row>
    <row r="1646" spans="1:10" s="10" customFormat="1" x14ac:dyDescent="0.25">
      <c r="A1646" s="18"/>
      <c r="C1646" s="17"/>
      <c r="D1646" s="19"/>
      <c r="E1646" s="17"/>
      <c r="F1646" s="18"/>
      <c r="G1646" s="17"/>
      <c r="H1646" s="17"/>
      <c r="J1646" s="18"/>
    </row>
    <row r="1647" spans="1:10" s="10" customFormat="1" x14ac:dyDescent="0.25">
      <c r="A1647" s="18"/>
      <c r="C1647" s="17"/>
      <c r="D1647" s="19"/>
      <c r="E1647" s="17"/>
      <c r="F1647" s="18"/>
      <c r="G1647" s="17"/>
      <c r="H1647" s="17"/>
      <c r="J1647" s="18"/>
    </row>
    <row r="1648" spans="1:10" s="10" customFormat="1" x14ac:dyDescent="0.25">
      <c r="A1648" s="18"/>
      <c r="C1648" s="17"/>
      <c r="D1648" s="19"/>
      <c r="E1648" s="17"/>
      <c r="F1648" s="18"/>
      <c r="G1648" s="17"/>
      <c r="H1648" s="17"/>
      <c r="J1648" s="18"/>
    </row>
    <row r="1649" spans="1:10" s="10" customFormat="1" x14ac:dyDescent="0.25">
      <c r="A1649" s="18"/>
      <c r="C1649" s="17"/>
      <c r="D1649" s="19"/>
      <c r="E1649" s="17"/>
      <c r="F1649" s="18"/>
      <c r="G1649" s="17"/>
      <c r="H1649" s="17"/>
      <c r="J1649" s="18"/>
    </row>
    <row r="1650" spans="1:10" s="10" customFormat="1" x14ac:dyDescent="0.25">
      <c r="A1650" s="18"/>
      <c r="C1650" s="17"/>
      <c r="D1650" s="19"/>
      <c r="E1650" s="17"/>
      <c r="F1650" s="18"/>
      <c r="G1650" s="17"/>
      <c r="H1650" s="17"/>
      <c r="J1650" s="18"/>
    </row>
    <row r="1651" spans="1:10" s="10" customFormat="1" x14ac:dyDescent="0.25">
      <c r="A1651" s="18"/>
      <c r="C1651" s="17"/>
      <c r="D1651" s="19"/>
      <c r="E1651" s="17"/>
      <c r="F1651" s="18"/>
      <c r="G1651" s="17"/>
      <c r="H1651" s="17"/>
      <c r="J1651" s="18"/>
    </row>
    <row r="1652" spans="1:10" s="10" customFormat="1" x14ac:dyDescent="0.25">
      <c r="A1652" s="18"/>
      <c r="C1652" s="17"/>
      <c r="D1652" s="19"/>
      <c r="E1652" s="17"/>
      <c r="F1652" s="18"/>
      <c r="G1652" s="17"/>
      <c r="H1652" s="17"/>
      <c r="J1652" s="18"/>
    </row>
    <row r="1653" spans="1:10" s="10" customFormat="1" x14ac:dyDescent="0.25">
      <c r="A1653" s="18"/>
      <c r="C1653" s="17"/>
      <c r="D1653" s="19"/>
      <c r="E1653" s="17"/>
      <c r="F1653" s="18"/>
      <c r="G1653" s="17"/>
      <c r="H1653" s="17"/>
      <c r="J1653" s="18"/>
    </row>
    <row r="1654" spans="1:10" s="10" customFormat="1" x14ac:dyDescent="0.25">
      <c r="A1654" s="18"/>
      <c r="C1654" s="17"/>
      <c r="D1654" s="19"/>
      <c r="E1654" s="17"/>
      <c r="F1654" s="18"/>
      <c r="G1654" s="17"/>
      <c r="H1654" s="17"/>
      <c r="J1654" s="18"/>
    </row>
    <row r="1655" spans="1:10" s="10" customFormat="1" x14ac:dyDescent="0.25">
      <c r="A1655" s="18"/>
      <c r="C1655" s="17"/>
      <c r="D1655" s="19"/>
      <c r="E1655" s="17"/>
      <c r="F1655" s="18"/>
      <c r="G1655" s="17"/>
      <c r="H1655" s="17"/>
      <c r="J1655" s="18"/>
    </row>
    <row r="1656" spans="1:10" s="10" customFormat="1" x14ac:dyDescent="0.25">
      <c r="A1656" s="18"/>
      <c r="C1656" s="17"/>
      <c r="D1656" s="19"/>
      <c r="E1656" s="17"/>
      <c r="F1656" s="18"/>
      <c r="G1656" s="17"/>
      <c r="H1656" s="17"/>
      <c r="J1656" s="18"/>
    </row>
    <row r="1657" spans="1:10" s="10" customFormat="1" x14ac:dyDescent="0.25">
      <c r="A1657" s="18"/>
      <c r="C1657" s="17"/>
      <c r="D1657" s="19"/>
      <c r="E1657" s="17"/>
      <c r="F1657" s="18"/>
      <c r="G1657" s="17"/>
      <c r="H1657" s="17"/>
      <c r="J1657" s="18"/>
    </row>
    <row r="1658" spans="1:10" s="10" customFormat="1" x14ac:dyDescent="0.25">
      <c r="A1658" s="18"/>
      <c r="C1658" s="17"/>
      <c r="D1658" s="19"/>
      <c r="E1658" s="17"/>
      <c r="F1658" s="18"/>
      <c r="G1658" s="17"/>
      <c r="H1658" s="17"/>
      <c r="J1658" s="18"/>
    </row>
    <row r="1659" spans="1:10" s="10" customFormat="1" x14ac:dyDescent="0.25">
      <c r="A1659" s="18"/>
      <c r="C1659" s="17"/>
      <c r="D1659" s="19"/>
      <c r="E1659" s="17"/>
      <c r="F1659" s="18"/>
      <c r="G1659" s="17"/>
      <c r="H1659" s="17"/>
      <c r="J1659" s="18"/>
    </row>
    <row r="1660" spans="1:10" s="10" customFormat="1" x14ac:dyDescent="0.25">
      <c r="A1660" s="18"/>
      <c r="C1660" s="17"/>
      <c r="D1660" s="19"/>
      <c r="E1660" s="17"/>
      <c r="F1660" s="18"/>
      <c r="G1660" s="17"/>
      <c r="H1660" s="17"/>
      <c r="J1660" s="18"/>
    </row>
    <row r="1661" spans="1:10" s="10" customFormat="1" x14ac:dyDescent="0.25">
      <c r="A1661" s="18"/>
      <c r="C1661" s="17"/>
      <c r="D1661" s="19"/>
      <c r="E1661" s="17"/>
      <c r="F1661" s="18"/>
      <c r="G1661" s="17"/>
      <c r="H1661" s="17"/>
      <c r="J1661" s="18"/>
    </row>
    <row r="1662" spans="1:10" s="10" customFormat="1" x14ac:dyDescent="0.25">
      <c r="A1662" s="18"/>
      <c r="C1662" s="17"/>
      <c r="D1662" s="19"/>
      <c r="E1662" s="17"/>
      <c r="F1662" s="18"/>
      <c r="G1662" s="17"/>
      <c r="H1662" s="17"/>
      <c r="J1662" s="18"/>
    </row>
    <row r="1663" spans="1:10" s="10" customFormat="1" x14ac:dyDescent="0.25">
      <c r="A1663" s="18"/>
      <c r="C1663" s="17"/>
      <c r="D1663" s="19"/>
      <c r="E1663" s="17"/>
      <c r="F1663" s="18"/>
      <c r="G1663" s="17"/>
      <c r="H1663" s="17"/>
      <c r="J1663" s="18"/>
    </row>
    <row r="1664" spans="1:10" s="10" customFormat="1" x14ac:dyDescent="0.25">
      <c r="A1664" s="18"/>
      <c r="C1664" s="17"/>
      <c r="D1664" s="19"/>
      <c r="E1664" s="17"/>
      <c r="F1664" s="18"/>
      <c r="G1664" s="17"/>
      <c r="H1664" s="17"/>
      <c r="J1664" s="18"/>
    </row>
    <row r="1665" spans="1:10" s="10" customFormat="1" x14ac:dyDescent="0.25">
      <c r="A1665" s="18"/>
      <c r="C1665" s="17"/>
      <c r="D1665" s="19"/>
      <c r="E1665" s="17"/>
      <c r="F1665" s="18"/>
      <c r="G1665" s="17"/>
      <c r="H1665" s="17"/>
      <c r="J1665" s="18"/>
    </row>
    <row r="1666" spans="1:10" s="10" customFormat="1" x14ac:dyDescent="0.25">
      <c r="A1666" s="18"/>
      <c r="C1666" s="17"/>
      <c r="D1666" s="19"/>
      <c r="E1666" s="17"/>
      <c r="F1666" s="18"/>
      <c r="G1666" s="17"/>
      <c r="H1666" s="17"/>
      <c r="J1666" s="18"/>
    </row>
    <row r="1667" spans="1:10" s="10" customFormat="1" x14ac:dyDescent="0.25">
      <c r="A1667" s="18"/>
      <c r="C1667" s="17"/>
      <c r="D1667" s="19"/>
      <c r="E1667" s="17"/>
      <c r="F1667" s="18"/>
      <c r="G1667" s="17"/>
      <c r="H1667" s="17"/>
      <c r="J1667" s="18"/>
    </row>
    <row r="1668" spans="1:10" s="10" customFormat="1" x14ac:dyDescent="0.25">
      <c r="A1668" s="18"/>
      <c r="C1668" s="17"/>
      <c r="D1668" s="19"/>
      <c r="E1668" s="17"/>
      <c r="F1668" s="18"/>
      <c r="G1668" s="17"/>
      <c r="H1668" s="17"/>
      <c r="J1668" s="18"/>
    </row>
    <row r="1669" spans="1:10" s="10" customFormat="1" x14ac:dyDescent="0.25">
      <c r="A1669" s="18"/>
      <c r="C1669" s="17"/>
      <c r="D1669" s="19"/>
      <c r="E1669" s="17"/>
      <c r="F1669" s="18"/>
      <c r="G1669" s="17"/>
      <c r="H1669" s="17"/>
      <c r="J1669" s="18"/>
    </row>
    <row r="1670" spans="1:10" s="10" customFormat="1" x14ac:dyDescent="0.25">
      <c r="A1670" s="18"/>
      <c r="C1670" s="17"/>
      <c r="D1670" s="19"/>
      <c r="E1670" s="17"/>
      <c r="F1670" s="18"/>
      <c r="G1670" s="17"/>
      <c r="H1670" s="17"/>
      <c r="J1670" s="18"/>
    </row>
    <row r="1671" spans="1:10" s="10" customFormat="1" x14ac:dyDescent="0.25">
      <c r="A1671" s="18"/>
      <c r="C1671" s="17"/>
      <c r="D1671" s="19"/>
      <c r="E1671" s="17"/>
      <c r="F1671" s="18"/>
      <c r="G1671" s="17"/>
      <c r="H1671" s="17"/>
      <c r="J1671" s="18"/>
    </row>
    <row r="1672" spans="1:10" s="10" customFormat="1" x14ac:dyDescent="0.25">
      <c r="A1672" s="18"/>
      <c r="C1672" s="17"/>
      <c r="D1672" s="19"/>
      <c r="E1672" s="17"/>
      <c r="F1672" s="18"/>
      <c r="G1672" s="17"/>
      <c r="H1672" s="17"/>
      <c r="J1672" s="18"/>
    </row>
    <row r="1673" spans="1:10" s="10" customFormat="1" x14ac:dyDescent="0.25">
      <c r="A1673" s="18"/>
      <c r="C1673" s="17"/>
      <c r="D1673" s="19"/>
      <c r="E1673" s="17"/>
      <c r="F1673" s="18"/>
      <c r="G1673" s="17"/>
      <c r="H1673" s="17"/>
      <c r="J1673" s="18"/>
    </row>
    <row r="1674" spans="1:10" s="10" customFormat="1" x14ac:dyDescent="0.25">
      <c r="A1674" s="18"/>
      <c r="C1674" s="17"/>
      <c r="D1674" s="19"/>
      <c r="E1674" s="17"/>
      <c r="F1674" s="18"/>
      <c r="G1674" s="17"/>
      <c r="H1674" s="17"/>
      <c r="J1674" s="18"/>
    </row>
    <row r="1675" spans="1:10" s="10" customFormat="1" x14ac:dyDescent="0.25">
      <c r="A1675" s="18"/>
      <c r="C1675" s="17"/>
      <c r="D1675" s="19"/>
      <c r="E1675" s="17"/>
      <c r="F1675" s="18"/>
      <c r="G1675" s="17"/>
      <c r="H1675" s="17"/>
      <c r="J1675" s="18"/>
    </row>
    <row r="1676" spans="1:10" s="10" customFormat="1" x14ac:dyDescent="0.25">
      <c r="A1676" s="18"/>
      <c r="C1676" s="17"/>
      <c r="D1676" s="19"/>
      <c r="E1676" s="17"/>
      <c r="F1676" s="18"/>
      <c r="G1676" s="17"/>
      <c r="H1676" s="17"/>
      <c r="J1676" s="18"/>
    </row>
    <row r="1677" spans="1:10" s="10" customFormat="1" x14ac:dyDescent="0.25">
      <c r="A1677" s="18"/>
      <c r="C1677" s="17"/>
      <c r="D1677" s="19"/>
      <c r="E1677" s="17"/>
      <c r="F1677" s="18"/>
      <c r="G1677" s="17"/>
      <c r="H1677" s="17"/>
      <c r="J1677" s="18"/>
    </row>
    <row r="1678" spans="1:10" s="10" customFormat="1" x14ac:dyDescent="0.25">
      <c r="A1678" s="18"/>
      <c r="C1678" s="17"/>
      <c r="D1678" s="19"/>
      <c r="E1678" s="17"/>
      <c r="F1678" s="18"/>
      <c r="G1678" s="17"/>
      <c r="H1678" s="17"/>
      <c r="J1678" s="18"/>
    </row>
    <row r="1679" spans="1:10" s="10" customFormat="1" x14ac:dyDescent="0.25">
      <c r="A1679" s="18"/>
      <c r="C1679" s="17"/>
      <c r="D1679" s="19"/>
      <c r="E1679" s="17"/>
      <c r="F1679" s="18"/>
      <c r="G1679" s="17"/>
      <c r="H1679" s="17"/>
      <c r="J1679" s="18"/>
    </row>
    <row r="1680" spans="1:10" s="10" customFormat="1" x14ac:dyDescent="0.25">
      <c r="A1680" s="18"/>
      <c r="C1680" s="17"/>
      <c r="D1680" s="19"/>
      <c r="E1680" s="17"/>
      <c r="F1680" s="18"/>
      <c r="G1680" s="17"/>
      <c r="H1680" s="17"/>
      <c r="J1680" s="18"/>
    </row>
    <row r="1681" spans="1:10" s="10" customFormat="1" x14ac:dyDescent="0.25">
      <c r="A1681" s="18"/>
      <c r="C1681" s="17"/>
      <c r="D1681" s="19"/>
      <c r="E1681" s="17"/>
      <c r="F1681" s="18"/>
      <c r="G1681" s="17"/>
      <c r="H1681" s="17"/>
      <c r="J1681" s="18"/>
    </row>
    <row r="1682" spans="1:10" s="10" customFormat="1" x14ac:dyDescent="0.25">
      <c r="A1682" s="18"/>
      <c r="C1682" s="17"/>
      <c r="D1682" s="19"/>
      <c r="E1682" s="17"/>
      <c r="F1682" s="18"/>
      <c r="G1682" s="17"/>
      <c r="H1682" s="17"/>
      <c r="J1682" s="18"/>
    </row>
    <row r="1683" spans="1:10" s="10" customFormat="1" x14ac:dyDescent="0.25">
      <c r="A1683" s="18"/>
      <c r="C1683" s="17"/>
      <c r="D1683" s="19"/>
      <c r="E1683" s="17"/>
      <c r="F1683" s="18"/>
      <c r="G1683" s="17"/>
      <c r="H1683" s="17"/>
      <c r="J1683" s="18"/>
    </row>
    <row r="1684" spans="1:10" s="10" customFormat="1" x14ac:dyDescent="0.25">
      <c r="A1684" s="18"/>
      <c r="C1684" s="17"/>
      <c r="D1684" s="19"/>
      <c r="E1684" s="17"/>
      <c r="F1684" s="18"/>
      <c r="G1684" s="17"/>
      <c r="H1684" s="17"/>
      <c r="J1684" s="18"/>
    </row>
    <row r="1685" spans="1:10" s="10" customFormat="1" x14ac:dyDescent="0.25">
      <c r="A1685" s="18"/>
      <c r="C1685" s="17"/>
      <c r="D1685" s="19"/>
      <c r="E1685" s="17"/>
      <c r="F1685" s="18"/>
      <c r="G1685" s="17"/>
      <c r="H1685" s="17"/>
      <c r="J1685" s="18"/>
    </row>
    <row r="1686" spans="1:10" s="10" customFormat="1" x14ac:dyDescent="0.25">
      <c r="A1686" s="18"/>
      <c r="C1686" s="17"/>
      <c r="D1686" s="19"/>
      <c r="E1686" s="17"/>
      <c r="F1686" s="18"/>
      <c r="G1686" s="17"/>
      <c r="H1686" s="17"/>
      <c r="J1686" s="18"/>
    </row>
    <row r="1687" spans="1:10" s="10" customFormat="1" x14ac:dyDescent="0.25">
      <c r="A1687" s="18"/>
      <c r="C1687" s="17"/>
      <c r="D1687" s="19"/>
      <c r="E1687" s="17"/>
      <c r="F1687" s="18"/>
      <c r="G1687" s="17"/>
      <c r="H1687" s="17"/>
      <c r="J1687" s="18"/>
    </row>
    <row r="1688" spans="1:10" s="10" customFormat="1" x14ac:dyDescent="0.25">
      <c r="A1688" s="18"/>
      <c r="C1688" s="17"/>
      <c r="D1688" s="19"/>
      <c r="E1688" s="17"/>
      <c r="F1688" s="18"/>
      <c r="G1688" s="17"/>
      <c r="H1688" s="17"/>
      <c r="J1688" s="18"/>
    </row>
    <row r="1689" spans="1:10" s="10" customFormat="1" x14ac:dyDescent="0.25">
      <c r="A1689" s="18"/>
      <c r="C1689" s="17"/>
      <c r="D1689" s="19"/>
      <c r="E1689" s="17"/>
      <c r="F1689" s="18"/>
      <c r="G1689" s="17"/>
      <c r="H1689" s="17"/>
      <c r="J1689" s="18"/>
    </row>
    <row r="1690" spans="1:10" s="10" customFormat="1" x14ac:dyDescent="0.25">
      <c r="A1690" s="18"/>
      <c r="C1690" s="17"/>
      <c r="D1690" s="19"/>
      <c r="E1690" s="17"/>
      <c r="F1690" s="18"/>
      <c r="G1690" s="17"/>
      <c r="H1690" s="17"/>
      <c r="J1690" s="18"/>
    </row>
    <row r="1691" spans="1:10" s="10" customFormat="1" x14ac:dyDescent="0.25">
      <c r="A1691" s="18"/>
      <c r="C1691" s="17"/>
      <c r="D1691" s="19"/>
      <c r="E1691" s="17"/>
      <c r="F1691" s="18"/>
      <c r="G1691" s="17"/>
      <c r="H1691" s="17"/>
      <c r="J1691" s="18"/>
    </row>
    <row r="1692" spans="1:10" s="10" customFormat="1" x14ac:dyDescent="0.25">
      <c r="A1692" s="18"/>
      <c r="C1692" s="17"/>
      <c r="D1692" s="19"/>
      <c r="E1692" s="17"/>
      <c r="F1692" s="18"/>
      <c r="G1692" s="17"/>
      <c r="H1692" s="17"/>
      <c r="J1692" s="18"/>
    </row>
    <row r="1693" spans="1:10" s="10" customFormat="1" x14ac:dyDescent="0.25">
      <c r="A1693" s="18"/>
      <c r="C1693" s="17"/>
      <c r="D1693" s="19"/>
      <c r="E1693" s="17"/>
      <c r="F1693" s="18"/>
      <c r="G1693" s="17"/>
      <c r="H1693" s="17"/>
      <c r="J1693" s="18"/>
    </row>
    <row r="1694" spans="1:10" s="10" customFormat="1" x14ac:dyDescent="0.25">
      <c r="A1694" s="18"/>
      <c r="C1694" s="17"/>
      <c r="D1694" s="19"/>
      <c r="E1694" s="17"/>
      <c r="F1694" s="18"/>
      <c r="G1694" s="17"/>
      <c r="H1694" s="17"/>
      <c r="J1694" s="18"/>
    </row>
    <row r="1695" spans="1:10" s="10" customFormat="1" x14ac:dyDescent="0.25">
      <c r="A1695" s="18"/>
      <c r="C1695" s="17"/>
      <c r="D1695" s="19"/>
      <c r="E1695" s="17"/>
      <c r="F1695" s="18"/>
      <c r="G1695" s="17"/>
      <c r="H1695" s="17"/>
      <c r="J1695" s="18"/>
    </row>
    <row r="1696" spans="1:10" s="10" customFormat="1" x14ac:dyDescent="0.25">
      <c r="A1696" s="18"/>
      <c r="C1696" s="17"/>
      <c r="D1696" s="19"/>
      <c r="E1696" s="17"/>
      <c r="F1696" s="18"/>
      <c r="G1696" s="17"/>
      <c r="H1696" s="17"/>
      <c r="J1696" s="18"/>
    </row>
    <row r="1697" spans="1:10" s="10" customFormat="1" x14ac:dyDescent="0.25">
      <c r="A1697" s="18"/>
      <c r="C1697" s="17"/>
      <c r="D1697" s="19"/>
      <c r="E1697" s="17"/>
      <c r="F1697" s="18"/>
      <c r="G1697" s="17"/>
      <c r="H1697" s="17"/>
      <c r="J1697" s="18"/>
    </row>
    <row r="1698" spans="1:10" s="10" customFormat="1" x14ac:dyDescent="0.25">
      <c r="A1698" s="18"/>
      <c r="C1698" s="17"/>
      <c r="D1698" s="19"/>
      <c r="E1698" s="17"/>
      <c r="F1698" s="18"/>
      <c r="G1698" s="17"/>
      <c r="H1698" s="17"/>
      <c r="J1698" s="18"/>
    </row>
    <row r="1699" spans="1:10" s="10" customFormat="1" x14ac:dyDescent="0.25">
      <c r="A1699" s="18"/>
      <c r="C1699" s="17"/>
      <c r="D1699" s="19"/>
      <c r="E1699" s="17"/>
      <c r="F1699" s="18"/>
      <c r="G1699" s="17"/>
      <c r="H1699" s="17"/>
      <c r="J1699" s="18"/>
    </row>
    <row r="1700" spans="1:10" s="10" customFormat="1" x14ac:dyDescent="0.25">
      <c r="A1700" s="18"/>
      <c r="C1700" s="17"/>
      <c r="D1700" s="19"/>
      <c r="E1700" s="17"/>
      <c r="F1700" s="18"/>
      <c r="G1700" s="17"/>
      <c r="H1700" s="17"/>
      <c r="J1700" s="18"/>
    </row>
    <row r="1701" spans="1:10" s="10" customFormat="1" x14ac:dyDescent="0.25">
      <c r="A1701" s="18"/>
      <c r="C1701" s="17"/>
      <c r="D1701" s="19"/>
      <c r="E1701" s="17"/>
      <c r="F1701" s="18"/>
      <c r="G1701" s="17"/>
      <c r="H1701" s="17"/>
      <c r="J1701" s="18"/>
    </row>
    <row r="1702" spans="1:10" s="10" customFormat="1" x14ac:dyDescent="0.25">
      <c r="A1702" s="18"/>
      <c r="C1702" s="17"/>
      <c r="D1702" s="19"/>
      <c r="E1702" s="17"/>
      <c r="F1702" s="18"/>
      <c r="G1702" s="17"/>
      <c r="H1702" s="17"/>
      <c r="J1702" s="18"/>
    </row>
    <row r="1703" spans="1:10" s="10" customFormat="1" x14ac:dyDescent="0.25">
      <c r="A1703" s="18"/>
      <c r="C1703" s="17"/>
      <c r="D1703" s="19"/>
      <c r="E1703" s="17"/>
      <c r="F1703" s="18"/>
      <c r="G1703" s="17"/>
      <c r="H1703" s="17"/>
      <c r="J1703" s="18"/>
    </row>
    <row r="1704" spans="1:10" s="10" customFormat="1" x14ac:dyDescent="0.25">
      <c r="A1704" s="18"/>
      <c r="C1704" s="17"/>
      <c r="D1704" s="19"/>
      <c r="E1704" s="17"/>
      <c r="F1704" s="18"/>
      <c r="G1704" s="17"/>
      <c r="H1704" s="17"/>
      <c r="J1704" s="18"/>
    </row>
    <row r="1705" spans="1:10" s="10" customFormat="1" x14ac:dyDescent="0.25">
      <c r="A1705" s="18"/>
      <c r="C1705" s="17"/>
      <c r="D1705" s="19"/>
      <c r="E1705" s="17"/>
      <c r="F1705" s="18"/>
      <c r="G1705" s="17"/>
      <c r="H1705" s="17"/>
      <c r="J1705" s="18"/>
    </row>
    <row r="1706" spans="1:10" s="10" customFormat="1" x14ac:dyDescent="0.25">
      <c r="A1706" s="18"/>
      <c r="C1706" s="17"/>
      <c r="D1706" s="19"/>
      <c r="E1706" s="17"/>
      <c r="F1706" s="18"/>
      <c r="G1706" s="17"/>
      <c r="H1706" s="17"/>
      <c r="J1706" s="18"/>
    </row>
    <row r="1707" spans="1:10" s="10" customFormat="1" x14ac:dyDescent="0.25">
      <c r="A1707" s="18"/>
      <c r="C1707" s="17"/>
      <c r="D1707" s="19"/>
      <c r="E1707" s="17"/>
      <c r="F1707" s="18"/>
      <c r="G1707" s="17"/>
      <c r="H1707" s="17"/>
      <c r="J1707" s="18"/>
    </row>
    <row r="1708" spans="1:10" s="10" customFormat="1" x14ac:dyDescent="0.25">
      <c r="A1708" s="18"/>
      <c r="C1708" s="17"/>
      <c r="D1708" s="19"/>
      <c r="E1708" s="17"/>
      <c r="F1708" s="18"/>
      <c r="G1708" s="17"/>
      <c r="H1708" s="17"/>
      <c r="J1708" s="18"/>
    </row>
    <row r="1709" spans="1:10" s="10" customFormat="1" x14ac:dyDescent="0.25">
      <c r="A1709" s="18"/>
      <c r="C1709" s="17"/>
      <c r="D1709" s="19"/>
      <c r="E1709" s="17"/>
      <c r="F1709" s="18"/>
      <c r="G1709" s="17"/>
      <c r="H1709" s="17"/>
      <c r="J1709" s="18"/>
    </row>
    <row r="1710" spans="1:10" s="10" customFormat="1" x14ac:dyDescent="0.25">
      <c r="A1710" s="18"/>
      <c r="C1710" s="17"/>
      <c r="D1710" s="19"/>
      <c r="E1710" s="17"/>
      <c r="F1710" s="18"/>
      <c r="G1710" s="17"/>
      <c r="H1710" s="17"/>
      <c r="J1710" s="18"/>
    </row>
    <row r="1711" spans="1:10" s="10" customFormat="1" x14ac:dyDescent="0.25">
      <c r="A1711" s="18"/>
      <c r="C1711" s="17"/>
      <c r="D1711" s="19"/>
      <c r="E1711" s="17"/>
      <c r="F1711" s="18"/>
      <c r="G1711" s="17"/>
      <c r="H1711" s="17"/>
      <c r="J1711" s="18"/>
    </row>
    <row r="1712" spans="1:10" s="10" customFormat="1" x14ac:dyDescent="0.25">
      <c r="A1712" s="18"/>
      <c r="C1712" s="17"/>
      <c r="D1712" s="19"/>
      <c r="E1712" s="17"/>
      <c r="F1712" s="18"/>
      <c r="G1712" s="17"/>
      <c r="H1712" s="17"/>
      <c r="J1712" s="18"/>
    </row>
    <row r="1713" spans="1:10" s="10" customFormat="1" x14ac:dyDescent="0.25">
      <c r="A1713" s="18"/>
      <c r="C1713" s="17"/>
      <c r="D1713" s="19"/>
      <c r="E1713" s="17"/>
      <c r="F1713" s="18"/>
      <c r="G1713" s="17"/>
      <c r="H1713" s="17"/>
      <c r="J1713" s="18"/>
    </row>
    <row r="1714" spans="1:10" s="10" customFormat="1" x14ac:dyDescent="0.25">
      <c r="A1714" s="18"/>
      <c r="C1714" s="17"/>
      <c r="D1714" s="19"/>
      <c r="E1714" s="17"/>
      <c r="F1714" s="18"/>
      <c r="G1714" s="17"/>
      <c r="H1714" s="17"/>
      <c r="J1714" s="18"/>
    </row>
    <row r="1715" spans="1:10" s="10" customFormat="1" x14ac:dyDescent="0.25">
      <c r="A1715" s="18"/>
      <c r="C1715" s="17"/>
      <c r="D1715" s="19"/>
      <c r="E1715" s="17"/>
      <c r="F1715" s="18"/>
      <c r="G1715" s="17"/>
      <c r="H1715" s="17"/>
      <c r="J1715" s="18"/>
    </row>
    <row r="1716" spans="1:10" s="10" customFormat="1" x14ac:dyDescent="0.25">
      <c r="A1716" s="18"/>
      <c r="C1716" s="17"/>
      <c r="D1716" s="19"/>
      <c r="E1716" s="17"/>
      <c r="F1716" s="18"/>
      <c r="G1716" s="17"/>
      <c r="H1716" s="17"/>
      <c r="J1716" s="18"/>
    </row>
    <row r="1717" spans="1:10" s="10" customFormat="1" x14ac:dyDescent="0.25">
      <c r="A1717" s="18"/>
      <c r="C1717" s="17"/>
      <c r="D1717" s="19"/>
      <c r="E1717" s="17"/>
      <c r="F1717" s="18"/>
      <c r="G1717" s="17"/>
      <c r="H1717" s="17"/>
      <c r="J1717" s="18"/>
    </row>
    <row r="1718" spans="1:10" s="10" customFormat="1" x14ac:dyDescent="0.25">
      <c r="A1718" s="18"/>
      <c r="C1718" s="17"/>
      <c r="D1718" s="19"/>
      <c r="E1718" s="17"/>
      <c r="F1718" s="18"/>
      <c r="G1718" s="17"/>
      <c r="H1718" s="17"/>
      <c r="J1718" s="18"/>
    </row>
    <row r="1719" spans="1:10" s="10" customFormat="1" x14ac:dyDescent="0.25">
      <c r="A1719" s="18"/>
      <c r="C1719" s="17"/>
      <c r="D1719" s="19"/>
      <c r="E1719" s="17"/>
      <c r="F1719" s="18"/>
      <c r="G1719" s="17"/>
      <c r="H1719" s="17"/>
      <c r="J1719" s="18"/>
    </row>
    <row r="1720" spans="1:10" s="10" customFormat="1" x14ac:dyDescent="0.25">
      <c r="A1720" s="18"/>
      <c r="C1720" s="17"/>
      <c r="D1720" s="19"/>
      <c r="E1720" s="17"/>
      <c r="F1720" s="18"/>
      <c r="G1720" s="17"/>
      <c r="H1720" s="17"/>
      <c r="J1720" s="18"/>
    </row>
    <row r="1721" spans="1:10" s="10" customFormat="1" x14ac:dyDescent="0.25">
      <c r="A1721" s="18"/>
      <c r="C1721" s="17"/>
      <c r="D1721" s="19"/>
      <c r="E1721" s="17"/>
      <c r="F1721" s="18"/>
      <c r="G1721" s="17"/>
      <c r="H1721" s="17"/>
      <c r="J1721" s="18"/>
    </row>
    <row r="1722" spans="1:10" s="10" customFormat="1" x14ac:dyDescent="0.25">
      <c r="A1722" s="18"/>
      <c r="C1722" s="17"/>
      <c r="D1722" s="19"/>
      <c r="E1722" s="17"/>
      <c r="F1722" s="18"/>
      <c r="G1722" s="17"/>
      <c r="H1722" s="17"/>
      <c r="J1722" s="18"/>
    </row>
    <row r="1723" spans="1:10" s="10" customFormat="1" x14ac:dyDescent="0.25">
      <c r="A1723" s="18"/>
      <c r="C1723" s="17"/>
      <c r="D1723" s="19"/>
      <c r="E1723" s="17"/>
      <c r="F1723" s="18"/>
      <c r="G1723" s="17"/>
      <c r="H1723" s="17"/>
      <c r="J1723" s="18"/>
    </row>
    <row r="1724" spans="1:10" s="10" customFormat="1" x14ac:dyDescent="0.25">
      <c r="A1724" s="18"/>
      <c r="C1724" s="17"/>
      <c r="D1724" s="19"/>
      <c r="E1724" s="17"/>
      <c r="F1724" s="18"/>
      <c r="G1724" s="17"/>
      <c r="H1724" s="17"/>
      <c r="J1724" s="18"/>
    </row>
    <row r="1725" spans="1:10" s="10" customFormat="1" x14ac:dyDescent="0.25">
      <c r="A1725" s="18"/>
      <c r="C1725" s="17"/>
      <c r="D1725" s="19"/>
      <c r="E1725" s="17"/>
      <c r="F1725" s="18"/>
      <c r="G1725" s="17"/>
      <c r="H1725" s="17"/>
      <c r="J1725" s="18"/>
    </row>
    <row r="1726" spans="1:10" s="10" customFormat="1" x14ac:dyDescent="0.25">
      <c r="A1726" s="18"/>
      <c r="C1726" s="17"/>
      <c r="D1726" s="19"/>
      <c r="E1726" s="17"/>
      <c r="F1726" s="18"/>
      <c r="G1726" s="17"/>
      <c r="H1726" s="17"/>
      <c r="J1726" s="18"/>
    </row>
    <row r="1727" spans="1:10" s="10" customFormat="1" x14ac:dyDescent="0.25">
      <c r="A1727" s="18"/>
      <c r="C1727" s="17"/>
      <c r="D1727" s="19"/>
      <c r="E1727" s="17"/>
      <c r="F1727" s="18"/>
      <c r="G1727" s="17"/>
      <c r="H1727" s="17"/>
      <c r="J1727" s="18"/>
    </row>
    <row r="1728" spans="1:10" s="10" customFormat="1" x14ac:dyDescent="0.25">
      <c r="A1728" s="18"/>
      <c r="C1728" s="17"/>
      <c r="D1728" s="19"/>
      <c r="E1728" s="17"/>
      <c r="F1728" s="18"/>
      <c r="G1728" s="17"/>
      <c r="H1728" s="17"/>
      <c r="J1728" s="18"/>
    </row>
    <row r="1729" spans="1:10" s="10" customFormat="1" x14ac:dyDescent="0.25">
      <c r="A1729" s="18"/>
      <c r="C1729" s="17"/>
      <c r="D1729" s="19"/>
      <c r="E1729" s="17"/>
      <c r="F1729" s="18"/>
      <c r="G1729" s="17"/>
      <c r="H1729" s="17"/>
      <c r="J1729" s="18"/>
    </row>
    <row r="1730" spans="1:10" s="10" customFormat="1" x14ac:dyDescent="0.25">
      <c r="A1730" s="18"/>
      <c r="C1730" s="17"/>
      <c r="D1730" s="19"/>
      <c r="E1730" s="17"/>
      <c r="F1730" s="18"/>
      <c r="G1730" s="17"/>
      <c r="H1730" s="17"/>
      <c r="J1730" s="18"/>
    </row>
    <row r="1731" spans="1:10" s="10" customFormat="1" x14ac:dyDescent="0.25">
      <c r="A1731" s="18"/>
      <c r="C1731" s="17"/>
      <c r="D1731" s="19"/>
      <c r="E1731" s="17"/>
      <c r="F1731" s="18"/>
      <c r="G1731" s="17"/>
      <c r="H1731" s="17"/>
      <c r="J1731" s="18"/>
    </row>
    <row r="1732" spans="1:10" s="10" customFormat="1" x14ac:dyDescent="0.25">
      <c r="A1732" s="18"/>
      <c r="C1732" s="17"/>
      <c r="D1732" s="19"/>
      <c r="E1732" s="17"/>
      <c r="F1732" s="18"/>
      <c r="G1732" s="17"/>
      <c r="H1732" s="17"/>
      <c r="J1732" s="18"/>
    </row>
    <row r="1733" spans="1:10" s="10" customFormat="1" x14ac:dyDescent="0.25">
      <c r="A1733" s="18"/>
      <c r="C1733" s="17"/>
      <c r="D1733" s="19"/>
      <c r="E1733" s="17"/>
      <c r="F1733" s="18"/>
      <c r="G1733" s="17"/>
      <c r="H1733" s="17"/>
      <c r="J1733" s="18"/>
    </row>
    <row r="1734" spans="1:10" s="10" customFormat="1" x14ac:dyDescent="0.25">
      <c r="A1734" s="18"/>
      <c r="C1734" s="17"/>
      <c r="D1734" s="19"/>
      <c r="E1734" s="17"/>
      <c r="F1734" s="18"/>
      <c r="G1734" s="17"/>
      <c r="H1734" s="17"/>
      <c r="J1734" s="18"/>
    </row>
    <row r="1735" spans="1:10" s="10" customFormat="1" x14ac:dyDescent="0.25">
      <c r="A1735" s="18"/>
      <c r="C1735" s="17"/>
      <c r="D1735" s="19"/>
      <c r="E1735" s="17"/>
      <c r="F1735" s="18"/>
      <c r="G1735" s="17"/>
      <c r="H1735" s="17"/>
      <c r="J1735" s="18"/>
    </row>
    <row r="1736" spans="1:10" s="10" customFormat="1" x14ac:dyDescent="0.25">
      <c r="A1736" s="18"/>
      <c r="C1736" s="17"/>
      <c r="D1736" s="19"/>
      <c r="E1736" s="17"/>
      <c r="F1736" s="18"/>
      <c r="G1736" s="17"/>
      <c r="H1736" s="17"/>
      <c r="J1736" s="18"/>
    </row>
    <row r="1737" spans="1:10" s="10" customFormat="1" x14ac:dyDescent="0.25">
      <c r="A1737" s="18"/>
      <c r="C1737" s="17"/>
      <c r="D1737" s="19"/>
      <c r="E1737" s="17"/>
      <c r="F1737" s="18"/>
      <c r="G1737" s="17"/>
      <c r="H1737" s="17"/>
      <c r="J1737" s="18"/>
    </row>
    <row r="1738" spans="1:10" s="10" customFormat="1" x14ac:dyDescent="0.25">
      <c r="A1738" s="18"/>
      <c r="C1738" s="17"/>
      <c r="D1738" s="19"/>
      <c r="E1738" s="17"/>
      <c r="F1738" s="18"/>
      <c r="G1738" s="17"/>
      <c r="H1738" s="17"/>
      <c r="J1738" s="18"/>
    </row>
    <row r="1739" spans="1:10" s="10" customFormat="1" x14ac:dyDescent="0.25">
      <c r="A1739" s="18"/>
      <c r="C1739" s="17"/>
      <c r="D1739" s="19"/>
      <c r="E1739" s="17"/>
      <c r="F1739" s="18"/>
      <c r="G1739" s="17"/>
      <c r="H1739" s="17"/>
      <c r="J1739" s="18"/>
    </row>
    <row r="1740" spans="1:10" s="10" customFormat="1" x14ac:dyDescent="0.25">
      <c r="A1740" s="18"/>
      <c r="C1740" s="17"/>
      <c r="D1740" s="19"/>
      <c r="E1740" s="17"/>
      <c r="F1740" s="18"/>
      <c r="G1740" s="17"/>
      <c r="H1740" s="17"/>
      <c r="J1740" s="18"/>
    </row>
    <row r="1741" spans="1:10" s="10" customFormat="1" x14ac:dyDescent="0.25">
      <c r="A1741" s="18"/>
      <c r="C1741" s="17"/>
      <c r="D1741" s="19"/>
      <c r="E1741" s="17"/>
      <c r="F1741" s="18"/>
      <c r="G1741" s="17"/>
      <c r="H1741" s="17"/>
      <c r="J1741" s="18"/>
    </row>
    <row r="1742" spans="1:10" s="10" customFormat="1" x14ac:dyDescent="0.25">
      <c r="A1742" s="18"/>
      <c r="C1742" s="17"/>
      <c r="D1742" s="19"/>
      <c r="E1742" s="17"/>
      <c r="F1742" s="18"/>
      <c r="G1742" s="17"/>
      <c r="H1742" s="17"/>
      <c r="J1742" s="18"/>
    </row>
    <row r="1743" spans="1:10" s="10" customFormat="1" x14ac:dyDescent="0.25">
      <c r="A1743" s="18"/>
      <c r="C1743" s="17"/>
      <c r="D1743" s="19"/>
      <c r="E1743" s="17"/>
      <c r="F1743" s="18"/>
      <c r="G1743" s="17"/>
      <c r="H1743" s="17"/>
      <c r="J1743" s="18"/>
    </row>
    <row r="1744" spans="1:10" s="10" customFormat="1" x14ac:dyDescent="0.25">
      <c r="A1744" s="18"/>
      <c r="C1744" s="17"/>
      <c r="D1744" s="19"/>
      <c r="E1744" s="17"/>
      <c r="F1744" s="18"/>
      <c r="G1744" s="17"/>
      <c r="H1744" s="17"/>
      <c r="J1744" s="18"/>
    </row>
    <row r="1745" spans="1:10" s="10" customFormat="1" x14ac:dyDescent="0.25">
      <c r="A1745" s="18"/>
      <c r="C1745" s="17"/>
      <c r="D1745" s="19"/>
      <c r="E1745" s="17"/>
      <c r="F1745" s="18"/>
      <c r="G1745" s="17"/>
      <c r="H1745" s="17"/>
      <c r="J1745" s="18"/>
    </row>
    <row r="1746" spans="1:10" s="10" customFormat="1" x14ac:dyDescent="0.25">
      <c r="A1746" s="18"/>
      <c r="C1746" s="17"/>
      <c r="D1746" s="19"/>
      <c r="E1746" s="17"/>
      <c r="F1746" s="18"/>
      <c r="G1746" s="17"/>
      <c r="H1746" s="17"/>
      <c r="J1746" s="18"/>
    </row>
    <row r="1747" spans="1:10" s="10" customFormat="1" x14ac:dyDescent="0.25">
      <c r="A1747" s="18"/>
      <c r="C1747" s="17"/>
      <c r="D1747" s="19"/>
      <c r="E1747" s="17"/>
      <c r="F1747" s="18"/>
      <c r="G1747" s="17"/>
      <c r="H1747" s="17"/>
      <c r="J1747" s="18"/>
    </row>
    <row r="1748" spans="1:10" s="10" customFormat="1" x14ac:dyDescent="0.25">
      <c r="A1748" s="18"/>
      <c r="C1748" s="17"/>
      <c r="D1748" s="19"/>
      <c r="E1748" s="17"/>
      <c r="F1748" s="18"/>
      <c r="G1748" s="17"/>
      <c r="H1748" s="17"/>
      <c r="J1748" s="18"/>
    </row>
    <row r="1749" spans="1:10" s="10" customFormat="1" x14ac:dyDescent="0.25">
      <c r="A1749" s="18"/>
      <c r="C1749" s="17"/>
      <c r="D1749" s="19"/>
      <c r="E1749" s="17"/>
      <c r="F1749" s="18"/>
      <c r="G1749" s="17"/>
      <c r="H1749" s="17"/>
      <c r="J1749" s="18"/>
    </row>
    <row r="1750" spans="1:10" s="10" customFormat="1" x14ac:dyDescent="0.25">
      <c r="A1750" s="18"/>
      <c r="C1750" s="17"/>
      <c r="D1750" s="19"/>
      <c r="E1750" s="17"/>
      <c r="F1750" s="18"/>
      <c r="G1750" s="17"/>
      <c r="H1750" s="17"/>
      <c r="J1750" s="18"/>
    </row>
    <row r="1751" spans="1:10" s="10" customFormat="1" x14ac:dyDescent="0.25">
      <c r="A1751" s="18"/>
      <c r="C1751" s="17"/>
      <c r="D1751" s="19"/>
      <c r="E1751" s="17"/>
      <c r="F1751" s="18"/>
      <c r="G1751" s="17"/>
      <c r="H1751" s="17"/>
      <c r="J1751" s="18"/>
    </row>
    <row r="1752" spans="1:10" s="10" customFormat="1" x14ac:dyDescent="0.25">
      <c r="A1752" s="18"/>
      <c r="C1752" s="17"/>
      <c r="D1752" s="19"/>
      <c r="E1752" s="17"/>
      <c r="F1752" s="18"/>
      <c r="G1752" s="17"/>
      <c r="H1752" s="17"/>
      <c r="J1752" s="18"/>
    </row>
    <row r="1753" spans="1:10" s="10" customFormat="1" x14ac:dyDescent="0.25">
      <c r="A1753" s="18"/>
      <c r="C1753" s="17"/>
      <c r="D1753" s="19"/>
      <c r="E1753" s="17"/>
      <c r="F1753" s="18"/>
      <c r="G1753" s="17"/>
      <c r="H1753" s="17"/>
      <c r="J1753" s="18"/>
    </row>
    <row r="1754" spans="1:10" s="10" customFormat="1" x14ac:dyDescent="0.25">
      <c r="A1754" s="18"/>
      <c r="C1754" s="17"/>
      <c r="D1754" s="19"/>
      <c r="E1754" s="17"/>
      <c r="F1754" s="18"/>
      <c r="G1754" s="17"/>
      <c r="H1754" s="17"/>
      <c r="J1754" s="18"/>
    </row>
    <row r="1755" spans="1:10" s="10" customFormat="1" x14ac:dyDescent="0.25">
      <c r="A1755" s="18"/>
      <c r="C1755" s="17"/>
      <c r="D1755" s="19"/>
      <c r="E1755" s="17"/>
      <c r="F1755" s="18"/>
      <c r="G1755" s="17"/>
      <c r="H1755" s="17"/>
      <c r="J1755" s="18"/>
    </row>
    <row r="1756" spans="1:10" s="10" customFormat="1" x14ac:dyDescent="0.25">
      <c r="A1756" s="18"/>
      <c r="C1756" s="17"/>
      <c r="D1756" s="19"/>
      <c r="E1756" s="17"/>
      <c r="F1756" s="18"/>
      <c r="G1756" s="17"/>
      <c r="H1756" s="17"/>
      <c r="J1756" s="18"/>
    </row>
    <row r="1757" spans="1:10" s="10" customFormat="1" x14ac:dyDescent="0.25">
      <c r="A1757" s="18"/>
      <c r="C1757" s="17"/>
      <c r="D1757" s="19"/>
      <c r="E1757" s="17"/>
      <c r="F1757" s="18"/>
      <c r="G1757" s="17"/>
      <c r="H1757" s="17"/>
      <c r="J1757" s="18"/>
    </row>
    <row r="1758" spans="1:10" s="10" customFormat="1" x14ac:dyDescent="0.25">
      <c r="A1758" s="18"/>
      <c r="C1758" s="17"/>
      <c r="D1758" s="19"/>
      <c r="E1758" s="17"/>
      <c r="F1758" s="18"/>
      <c r="G1758" s="17"/>
      <c r="H1758" s="17"/>
      <c r="J1758" s="18"/>
    </row>
    <row r="1759" spans="1:10" s="10" customFormat="1" x14ac:dyDescent="0.25">
      <c r="A1759" s="18"/>
      <c r="C1759" s="17"/>
      <c r="D1759" s="19"/>
      <c r="E1759" s="17"/>
      <c r="F1759" s="18"/>
      <c r="G1759" s="17"/>
      <c r="H1759" s="17"/>
      <c r="J1759" s="18"/>
    </row>
    <row r="1760" spans="1:10" s="10" customFormat="1" x14ac:dyDescent="0.25">
      <c r="A1760" s="18"/>
      <c r="C1760" s="17"/>
      <c r="D1760" s="19"/>
      <c r="E1760" s="17"/>
      <c r="F1760" s="18"/>
      <c r="G1760" s="17"/>
      <c r="H1760" s="17"/>
      <c r="J1760" s="18"/>
    </row>
    <row r="1761" spans="1:10" s="10" customFormat="1" x14ac:dyDescent="0.25">
      <c r="A1761" s="18"/>
      <c r="C1761" s="17"/>
      <c r="D1761" s="19"/>
      <c r="E1761" s="17"/>
      <c r="F1761" s="18"/>
      <c r="G1761" s="17"/>
      <c r="H1761" s="17"/>
      <c r="J1761" s="18"/>
    </row>
    <row r="1762" spans="1:10" s="10" customFormat="1" x14ac:dyDescent="0.25">
      <c r="A1762" s="18"/>
      <c r="C1762" s="17"/>
      <c r="D1762" s="19"/>
      <c r="E1762" s="17"/>
      <c r="F1762" s="18"/>
      <c r="G1762" s="17"/>
      <c r="H1762" s="17"/>
      <c r="J1762" s="18"/>
    </row>
    <row r="1763" spans="1:10" s="10" customFormat="1" x14ac:dyDescent="0.25">
      <c r="A1763" s="18"/>
      <c r="C1763" s="17"/>
      <c r="D1763" s="19"/>
      <c r="E1763" s="17"/>
      <c r="F1763" s="18"/>
      <c r="G1763" s="17"/>
      <c r="H1763" s="17"/>
      <c r="J1763" s="18"/>
    </row>
    <row r="1764" spans="1:10" s="10" customFormat="1" x14ac:dyDescent="0.25">
      <c r="A1764" s="18"/>
      <c r="C1764" s="17"/>
      <c r="D1764" s="19"/>
      <c r="E1764" s="17"/>
      <c r="F1764" s="18"/>
      <c r="G1764" s="17"/>
      <c r="H1764" s="17"/>
      <c r="J1764" s="18"/>
    </row>
    <row r="1765" spans="1:10" s="10" customFormat="1" x14ac:dyDescent="0.25">
      <c r="A1765" s="18"/>
      <c r="C1765" s="17"/>
      <c r="D1765" s="19"/>
      <c r="E1765" s="17"/>
      <c r="F1765" s="18"/>
      <c r="G1765" s="17"/>
      <c r="H1765" s="17"/>
      <c r="J1765" s="18"/>
    </row>
    <row r="1766" spans="1:10" s="10" customFormat="1" x14ac:dyDescent="0.25">
      <c r="A1766" s="18"/>
      <c r="C1766" s="17"/>
      <c r="D1766" s="19"/>
      <c r="E1766" s="17"/>
      <c r="F1766" s="18"/>
      <c r="G1766" s="17"/>
      <c r="H1766" s="17"/>
      <c r="J1766" s="18"/>
    </row>
    <row r="1767" spans="1:10" s="10" customFormat="1" x14ac:dyDescent="0.25">
      <c r="A1767" s="18"/>
      <c r="C1767" s="17"/>
      <c r="D1767" s="19"/>
      <c r="E1767" s="17"/>
      <c r="F1767" s="18"/>
      <c r="G1767" s="17"/>
      <c r="H1767" s="17"/>
      <c r="J1767" s="18"/>
    </row>
    <row r="1768" spans="1:10" s="10" customFormat="1" x14ac:dyDescent="0.25">
      <c r="A1768" s="18"/>
      <c r="C1768" s="17"/>
      <c r="D1768" s="19"/>
      <c r="E1768" s="17"/>
      <c r="F1768" s="18"/>
      <c r="G1768" s="17"/>
      <c r="H1768" s="17"/>
      <c r="J1768" s="18"/>
    </row>
    <row r="1769" spans="1:10" s="10" customFormat="1" x14ac:dyDescent="0.25">
      <c r="A1769" s="18"/>
      <c r="C1769" s="17"/>
      <c r="D1769" s="19"/>
      <c r="E1769" s="17"/>
      <c r="F1769" s="18"/>
      <c r="G1769" s="17"/>
      <c r="H1769" s="17"/>
      <c r="J1769" s="18"/>
    </row>
    <row r="1770" spans="1:10" s="10" customFormat="1" x14ac:dyDescent="0.25">
      <c r="A1770" s="18"/>
      <c r="C1770" s="17"/>
      <c r="D1770" s="19"/>
      <c r="E1770" s="17"/>
      <c r="F1770" s="18"/>
      <c r="G1770" s="17"/>
      <c r="H1770" s="17"/>
      <c r="J1770" s="18"/>
    </row>
    <row r="1771" spans="1:10" s="10" customFormat="1" x14ac:dyDescent="0.25">
      <c r="A1771" s="18"/>
      <c r="C1771" s="17"/>
      <c r="D1771" s="19"/>
      <c r="E1771" s="17"/>
      <c r="F1771" s="18"/>
      <c r="G1771" s="17"/>
      <c r="H1771" s="17"/>
      <c r="J1771" s="18"/>
    </row>
    <row r="1772" spans="1:10" s="10" customFormat="1" x14ac:dyDescent="0.25">
      <c r="A1772" s="18"/>
      <c r="C1772" s="17"/>
      <c r="D1772" s="19"/>
      <c r="E1772" s="17"/>
      <c r="F1772" s="18"/>
      <c r="G1772" s="17"/>
      <c r="H1772" s="17"/>
      <c r="J1772" s="18"/>
    </row>
    <row r="1773" spans="1:10" s="10" customFormat="1" x14ac:dyDescent="0.25">
      <c r="A1773" s="18"/>
      <c r="C1773" s="17"/>
      <c r="D1773" s="19"/>
      <c r="E1773" s="17"/>
      <c r="F1773" s="18"/>
      <c r="G1773" s="17"/>
      <c r="H1773" s="17"/>
      <c r="J1773" s="18"/>
    </row>
    <row r="1774" spans="1:10" s="10" customFormat="1" x14ac:dyDescent="0.25">
      <c r="A1774" s="18"/>
      <c r="C1774" s="17"/>
      <c r="D1774" s="19"/>
      <c r="E1774" s="17"/>
      <c r="F1774" s="18"/>
      <c r="G1774" s="17"/>
      <c r="H1774" s="17"/>
      <c r="J1774" s="18"/>
    </row>
    <row r="1775" spans="1:10" s="10" customFormat="1" x14ac:dyDescent="0.25">
      <c r="A1775" s="18"/>
      <c r="C1775" s="17"/>
      <c r="D1775" s="19"/>
      <c r="E1775" s="17"/>
      <c r="F1775" s="18"/>
      <c r="G1775" s="17"/>
      <c r="H1775" s="17"/>
      <c r="J1775" s="18"/>
    </row>
    <row r="1776" spans="1:10" s="10" customFormat="1" x14ac:dyDescent="0.25">
      <c r="A1776" s="18"/>
      <c r="C1776" s="17"/>
      <c r="D1776" s="19"/>
      <c r="E1776" s="17"/>
      <c r="F1776" s="18"/>
      <c r="G1776" s="17"/>
      <c r="H1776" s="17"/>
      <c r="J1776" s="18"/>
    </row>
    <row r="1777" spans="1:10" s="10" customFormat="1" x14ac:dyDescent="0.25">
      <c r="A1777" s="18"/>
      <c r="C1777" s="17"/>
      <c r="D1777" s="19"/>
      <c r="E1777" s="17"/>
      <c r="F1777" s="18"/>
      <c r="G1777" s="17"/>
      <c r="H1777" s="17"/>
      <c r="J1777" s="18"/>
    </row>
    <row r="1778" spans="1:10" s="10" customFormat="1" x14ac:dyDescent="0.25">
      <c r="A1778" s="18"/>
      <c r="C1778" s="17"/>
      <c r="D1778" s="19"/>
      <c r="E1778" s="17"/>
      <c r="F1778" s="18"/>
      <c r="G1778" s="17"/>
      <c r="H1778" s="17"/>
      <c r="J1778" s="18"/>
    </row>
    <row r="1779" spans="1:10" s="10" customFormat="1" x14ac:dyDescent="0.25">
      <c r="A1779" s="18"/>
      <c r="C1779" s="17"/>
      <c r="D1779" s="19"/>
      <c r="E1779" s="17"/>
      <c r="F1779" s="18"/>
      <c r="G1779" s="17"/>
      <c r="H1779" s="17"/>
      <c r="J1779" s="18"/>
    </row>
    <row r="1780" spans="1:10" s="10" customFormat="1" x14ac:dyDescent="0.25">
      <c r="A1780" s="18"/>
      <c r="C1780" s="17"/>
      <c r="D1780" s="19"/>
      <c r="E1780" s="17"/>
      <c r="F1780" s="18"/>
      <c r="G1780" s="17"/>
      <c r="H1780" s="17"/>
      <c r="J1780" s="18"/>
    </row>
    <row r="1781" spans="1:10" s="10" customFormat="1" x14ac:dyDescent="0.25">
      <c r="A1781" s="18"/>
      <c r="C1781" s="17"/>
      <c r="D1781" s="19"/>
      <c r="E1781" s="17"/>
      <c r="F1781" s="18"/>
      <c r="G1781" s="17"/>
      <c r="H1781" s="17"/>
      <c r="J1781" s="18"/>
    </row>
    <row r="1782" spans="1:10" s="10" customFormat="1" x14ac:dyDescent="0.25">
      <c r="A1782" s="18"/>
      <c r="C1782" s="17"/>
      <c r="D1782" s="19"/>
      <c r="E1782" s="17"/>
      <c r="F1782" s="18"/>
      <c r="G1782" s="17"/>
      <c r="H1782" s="17"/>
      <c r="J1782" s="18"/>
    </row>
    <row r="1783" spans="1:10" s="10" customFormat="1" x14ac:dyDescent="0.25">
      <c r="A1783" s="18"/>
      <c r="C1783" s="17"/>
      <c r="D1783" s="19"/>
      <c r="E1783" s="17"/>
      <c r="F1783" s="18"/>
      <c r="G1783" s="17"/>
      <c r="H1783" s="17"/>
      <c r="J1783" s="18"/>
    </row>
    <row r="1784" spans="1:10" s="10" customFormat="1" x14ac:dyDescent="0.25">
      <c r="A1784" s="18"/>
      <c r="C1784" s="17"/>
      <c r="D1784" s="19"/>
      <c r="E1784" s="17"/>
      <c r="F1784" s="18"/>
      <c r="G1784" s="17"/>
      <c r="H1784" s="17"/>
      <c r="J1784" s="18"/>
    </row>
    <row r="1785" spans="1:10" s="10" customFormat="1" x14ac:dyDescent="0.25">
      <c r="A1785" s="18"/>
      <c r="C1785" s="17"/>
      <c r="D1785" s="19"/>
      <c r="E1785" s="17"/>
      <c r="F1785" s="18"/>
      <c r="G1785" s="17"/>
      <c r="H1785" s="17"/>
      <c r="J1785" s="18"/>
    </row>
    <row r="1786" spans="1:10" s="10" customFormat="1" x14ac:dyDescent="0.25">
      <c r="A1786" s="18"/>
      <c r="C1786" s="17"/>
      <c r="D1786" s="19"/>
      <c r="E1786" s="17"/>
      <c r="F1786" s="18"/>
      <c r="G1786" s="17"/>
      <c r="H1786" s="17"/>
      <c r="J1786" s="18"/>
    </row>
    <row r="1787" spans="1:10" s="10" customFormat="1" x14ac:dyDescent="0.25">
      <c r="A1787" s="18"/>
      <c r="C1787" s="17"/>
      <c r="D1787" s="19"/>
      <c r="E1787" s="17"/>
      <c r="F1787" s="18"/>
      <c r="G1787" s="17"/>
      <c r="H1787" s="17"/>
      <c r="J1787" s="18"/>
    </row>
    <row r="1788" spans="1:10" s="10" customFormat="1" x14ac:dyDescent="0.25">
      <c r="A1788" s="18"/>
      <c r="C1788" s="17"/>
      <c r="D1788" s="19"/>
      <c r="E1788" s="17"/>
      <c r="F1788" s="18"/>
      <c r="G1788" s="17"/>
      <c r="H1788" s="17"/>
      <c r="J1788" s="18"/>
    </row>
    <row r="1789" spans="1:10" s="10" customFormat="1" x14ac:dyDescent="0.25">
      <c r="A1789" s="18"/>
      <c r="C1789" s="17"/>
      <c r="D1789" s="19"/>
      <c r="E1789" s="17"/>
      <c r="F1789" s="18"/>
      <c r="G1789" s="17"/>
      <c r="H1789" s="17"/>
      <c r="J1789" s="18"/>
    </row>
    <row r="1790" spans="1:10" s="10" customFormat="1" x14ac:dyDescent="0.25">
      <c r="A1790" s="18"/>
      <c r="C1790" s="17"/>
      <c r="D1790" s="19"/>
      <c r="E1790" s="17"/>
      <c r="F1790" s="18"/>
      <c r="G1790" s="17"/>
      <c r="H1790" s="17"/>
      <c r="J1790" s="18"/>
    </row>
    <row r="1791" spans="1:10" s="10" customFormat="1" x14ac:dyDescent="0.25">
      <c r="A1791" s="18"/>
      <c r="C1791" s="17"/>
      <c r="D1791" s="19"/>
      <c r="E1791" s="17"/>
      <c r="F1791" s="18"/>
      <c r="G1791" s="17"/>
      <c r="H1791" s="17"/>
      <c r="J1791" s="18"/>
    </row>
    <row r="1792" spans="1:10" s="10" customFormat="1" x14ac:dyDescent="0.25">
      <c r="A1792" s="18"/>
      <c r="C1792" s="17"/>
      <c r="D1792" s="19"/>
      <c r="E1792" s="17"/>
      <c r="F1792" s="18"/>
      <c r="G1792" s="17"/>
      <c r="H1792" s="17"/>
      <c r="J1792" s="18"/>
    </row>
    <row r="1793" spans="1:10" s="10" customFormat="1" x14ac:dyDescent="0.25">
      <c r="A1793" s="18"/>
      <c r="C1793" s="17"/>
      <c r="D1793" s="19"/>
      <c r="E1793" s="17"/>
      <c r="F1793" s="18"/>
      <c r="G1793" s="17"/>
      <c r="H1793" s="17"/>
      <c r="J1793" s="18"/>
    </row>
    <row r="1794" spans="1:10" s="10" customFormat="1" x14ac:dyDescent="0.25">
      <c r="A1794" s="18"/>
      <c r="C1794" s="17"/>
      <c r="D1794" s="19"/>
      <c r="E1794" s="17"/>
      <c r="F1794" s="18"/>
      <c r="G1794" s="17"/>
      <c r="H1794" s="17"/>
      <c r="J1794" s="18"/>
    </row>
    <row r="1795" spans="1:10" s="10" customFormat="1" x14ac:dyDescent="0.25">
      <c r="A1795" s="18"/>
      <c r="C1795" s="17"/>
      <c r="D1795" s="19"/>
      <c r="E1795" s="17"/>
      <c r="F1795" s="18"/>
      <c r="G1795" s="17"/>
      <c r="H1795" s="17"/>
      <c r="J1795" s="18"/>
    </row>
    <row r="1796" spans="1:10" s="10" customFormat="1" x14ac:dyDescent="0.25">
      <c r="A1796" s="18"/>
      <c r="C1796" s="17"/>
      <c r="D1796" s="19"/>
      <c r="E1796" s="17"/>
      <c r="F1796" s="18"/>
      <c r="G1796" s="17"/>
      <c r="H1796" s="17"/>
      <c r="J1796" s="18"/>
    </row>
    <row r="1797" spans="1:10" s="10" customFormat="1" x14ac:dyDescent="0.25">
      <c r="A1797" s="18"/>
      <c r="C1797" s="17"/>
      <c r="D1797" s="19"/>
      <c r="E1797" s="17"/>
      <c r="F1797" s="18"/>
      <c r="G1797" s="17"/>
      <c r="H1797" s="17"/>
      <c r="J1797" s="18"/>
    </row>
    <row r="1798" spans="1:10" s="10" customFormat="1" x14ac:dyDescent="0.25">
      <c r="A1798" s="18"/>
      <c r="C1798" s="17"/>
      <c r="D1798" s="19"/>
      <c r="E1798" s="17"/>
      <c r="F1798" s="18"/>
      <c r="G1798" s="17"/>
      <c r="H1798" s="17"/>
      <c r="J1798" s="18"/>
    </row>
    <row r="1799" spans="1:10" s="10" customFormat="1" x14ac:dyDescent="0.25">
      <c r="A1799" s="18"/>
      <c r="C1799" s="17"/>
      <c r="D1799" s="19"/>
      <c r="E1799" s="17"/>
      <c r="F1799" s="18"/>
      <c r="G1799" s="17"/>
      <c r="H1799" s="17"/>
      <c r="J1799" s="18"/>
    </row>
    <row r="1800" spans="1:10" s="10" customFormat="1" x14ac:dyDescent="0.25">
      <c r="A1800" s="18"/>
      <c r="C1800" s="17"/>
      <c r="D1800" s="19"/>
      <c r="E1800" s="17"/>
      <c r="F1800" s="18"/>
      <c r="G1800" s="17"/>
      <c r="H1800" s="17"/>
      <c r="J1800" s="18"/>
    </row>
    <row r="1801" spans="1:10" s="10" customFormat="1" x14ac:dyDescent="0.25">
      <c r="A1801" s="18"/>
      <c r="C1801" s="17"/>
      <c r="D1801" s="19"/>
      <c r="E1801" s="17"/>
      <c r="F1801" s="18"/>
      <c r="G1801" s="17"/>
      <c r="H1801" s="17"/>
      <c r="J1801" s="18"/>
    </row>
    <row r="1802" spans="1:10" s="10" customFormat="1" x14ac:dyDescent="0.25">
      <c r="A1802" s="18"/>
      <c r="C1802" s="17"/>
      <c r="D1802" s="19"/>
      <c r="E1802" s="17"/>
      <c r="F1802" s="18"/>
      <c r="G1802" s="17"/>
      <c r="H1802" s="17"/>
      <c r="J1802" s="18"/>
    </row>
    <row r="1803" spans="1:10" s="10" customFormat="1" x14ac:dyDescent="0.25">
      <c r="A1803" s="18"/>
      <c r="C1803" s="17"/>
      <c r="D1803" s="19"/>
      <c r="E1803" s="17"/>
      <c r="F1803" s="18"/>
      <c r="G1803" s="17"/>
      <c r="H1803" s="17"/>
      <c r="J1803" s="18"/>
    </row>
    <row r="1804" spans="1:10" s="10" customFormat="1" x14ac:dyDescent="0.25">
      <c r="A1804" s="18"/>
      <c r="C1804" s="17"/>
      <c r="D1804" s="19"/>
      <c r="E1804" s="17"/>
      <c r="F1804" s="18"/>
      <c r="G1804" s="17"/>
      <c r="H1804" s="17"/>
      <c r="J1804" s="18"/>
    </row>
    <row r="1805" spans="1:10" s="10" customFormat="1" x14ac:dyDescent="0.25">
      <c r="A1805" s="18"/>
      <c r="C1805" s="17"/>
      <c r="D1805" s="19"/>
      <c r="E1805" s="17"/>
      <c r="F1805" s="18"/>
      <c r="G1805" s="17"/>
      <c r="H1805" s="17"/>
      <c r="J1805" s="18"/>
    </row>
    <row r="1806" spans="1:10" s="10" customFormat="1" x14ac:dyDescent="0.25">
      <c r="A1806" s="18"/>
      <c r="C1806" s="17"/>
      <c r="D1806" s="19"/>
      <c r="E1806" s="17"/>
      <c r="F1806" s="18"/>
      <c r="G1806" s="17"/>
      <c r="H1806" s="17"/>
      <c r="J1806" s="18"/>
    </row>
    <row r="1807" spans="1:10" s="10" customFormat="1" x14ac:dyDescent="0.25">
      <c r="A1807" s="18"/>
      <c r="C1807" s="17"/>
      <c r="D1807" s="19"/>
      <c r="E1807" s="17"/>
      <c r="F1807" s="18"/>
      <c r="G1807" s="17"/>
      <c r="H1807" s="17"/>
      <c r="J1807" s="18"/>
    </row>
    <row r="1808" spans="1:10" s="10" customFormat="1" x14ac:dyDescent="0.25">
      <c r="A1808" s="18"/>
      <c r="C1808" s="17"/>
      <c r="D1808" s="19"/>
      <c r="E1808" s="17"/>
      <c r="F1808" s="18"/>
      <c r="G1808" s="17"/>
      <c r="H1808" s="17"/>
      <c r="J1808" s="18"/>
    </row>
    <row r="1809" spans="1:10" s="10" customFormat="1" x14ac:dyDescent="0.25">
      <c r="A1809" s="18"/>
      <c r="C1809" s="17"/>
      <c r="D1809" s="19"/>
      <c r="E1809" s="17"/>
      <c r="F1809" s="18"/>
      <c r="G1809" s="17"/>
      <c r="H1809" s="17"/>
      <c r="J1809" s="18"/>
    </row>
    <row r="1810" spans="1:10" s="10" customFormat="1" x14ac:dyDescent="0.25">
      <c r="A1810" s="18"/>
      <c r="C1810" s="17"/>
      <c r="D1810" s="19"/>
      <c r="E1810" s="17"/>
      <c r="F1810" s="18"/>
      <c r="G1810" s="17"/>
      <c r="H1810" s="17"/>
      <c r="J1810" s="18"/>
    </row>
    <row r="1811" spans="1:10" s="10" customFormat="1" x14ac:dyDescent="0.25">
      <c r="A1811" s="18"/>
      <c r="C1811" s="17"/>
      <c r="D1811" s="19"/>
      <c r="E1811" s="17"/>
      <c r="F1811" s="18"/>
      <c r="G1811" s="17"/>
      <c r="H1811" s="17"/>
      <c r="J1811" s="18"/>
    </row>
    <row r="1812" spans="1:10" s="10" customFormat="1" x14ac:dyDescent="0.25">
      <c r="A1812" s="18"/>
      <c r="C1812" s="17"/>
      <c r="D1812" s="19"/>
      <c r="E1812" s="17"/>
      <c r="F1812" s="18"/>
      <c r="G1812" s="17"/>
      <c r="H1812" s="17"/>
      <c r="J1812" s="18"/>
    </row>
    <row r="1813" spans="1:10" s="10" customFormat="1" x14ac:dyDescent="0.25">
      <c r="A1813" s="18"/>
      <c r="C1813" s="17"/>
      <c r="D1813" s="19"/>
      <c r="E1813" s="17"/>
      <c r="F1813" s="18"/>
      <c r="G1813" s="17"/>
      <c r="H1813" s="17"/>
      <c r="J1813" s="18"/>
    </row>
    <row r="1814" spans="1:10" s="10" customFormat="1" x14ac:dyDescent="0.25">
      <c r="A1814" s="18"/>
      <c r="C1814" s="17"/>
      <c r="D1814" s="19"/>
      <c r="E1814" s="17"/>
      <c r="F1814" s="18"/>
      <c r="G1814" s="17"/>
      <c r="H1814" s="17"/>
      <c r="J1814" s="18"/>
    </row>
    <row r="1815" spans="1:10" s="10" customFormat="1" x14ac:dyDescent="0.25">
      <c r="A1815" s="18"/>
      <c r="C1815" s="17"/>
      <c r="D1815" s="19"/>
      <c r="E1815" s="17"/>
      <c r="F1815" s="18"/>
      <c r="G1815" s="17"/>
      <c r="H1815" s="17"/>
      <c r="J1815" s="18"/>
    </row>
    <row r="1816" spans="1:10" s="10" customFormat="1" x14ac:dyDescent="0.25">
      <c r="A1816" s="18"/>
      <c r="C1816" s="17"/>
      <c r="D1816" s="19"/>
      <c r="E1816" s="17"/>
      <c r="F1816" s="18"/>
      <c r="G1816" s="17"/>
      <c r="H1816" s="17"/>
      <c r="J1816" s="18"/>
    </row>
    <row r="1817" spans="1:10" s="10" customFormat="1" x14ac:dyDescent="0.25">
      <c r="A1817" s="18"/>
      <c r="C1817" s="17"/>
      <c r="D1817" s="19"/>
      <c r="E1817" s="17"/>
      <c r="F1817" s="18"/>
      <c r="G1817" s="17"/>
      <c r="H1817" s="17"/>
      <c r="J1817" s="18"/>
    </row>
    <row r="1818" spans="1:10" s="10" customFormat="1" x14ac:dyDescent="0.25">
      <c r="A1818" s="18"/>
      <c r="C1818" s="17"/>
      <c r="D1818" s="19"/>
      <c r="E1818" s="17"/>
      <c r="F1818" s="18"/>
      <c r="G1818" s="17"/>
      <c r="H1818" s="17"/>
      <c r="J1818" s="18"/>
    </row>
    <row r="1819" spans="1:10" s="10" customFormat="1" x14ac:dyDescent="0.25">
      <c r="A1819" s="18"/>
      <c r="C1819" s="17"/>
      <c r="D1819" s="19"/>
      <c r="E1819" s="17"/>
      <c r="F1819" s="18"/>
      <c r="G1819" s="17"/>
      <c r="H1819" s="17"/>
      <c r="J1819" s="18"/>
    </row>
    <row r="1820" spans="1:10" s="10" customFormat="1" x14ac:dyDescent="0.25">
      <c r="A1820" s="18"/>
      <c r="C1820" s="17"/>
      <c r="D1820" s="19"/>
      <c r="E1820" s="17"/>
      <c r="F1820" s="18"/>
      <c r="G1820" s="17"/>
      <c r="H1820" s="17"/>
      <c r="J1820" s="18"/>
    </row>
    <row r="1821" spans="1:10" s="10" customFormat="1" x14ac:dyDescent="0.25">
      <c r="A1821" s="18"/>
      <c r="C1821" s="17"/>
      <c r="D1821" s="19"/>
      <c r="E1821" s="17"/>
      <c r="F1821" s="18"/>
      <c r="G1821" s="17"/>
      <c r="H1821" s="17"/>
      <c r="J1821" s="18"/>
    </row>
    <row r="1822" spans="1:10" s="10" customFormat="1" x14ac:dyDescent="0.25">
      <c r="A1822" s="18"/>
      <c r="C1822" s="17"/>
      <c r="D1822" s="19"/>
      <c r="E1822" s="17"/>
      <c r="F1822" s="18"/>
      <c r="G1822" s="17"/>
      <c r="H1822" s="17"/>
      <c r="J1822" s="18"/>
    </row>
    <row r="1823" spans="1:10" s="10" customFormat="1" x14ac:dyDescent="0.25">
      <c r="A1823" s="18"/>
      <c r="C1823" s="17"/>
      <c r="D1823" s="19"/>
      <c r="E1823" s="17"/>
      <c r="F1823" s="18"/>
      <c r="G1823" s="17"/>
      <c r="H1823" s="17"/>
      <c r="J1823" s="18"/>
    </row>
    <row r="1824" spans="1:10" s="10" customFormat="1" x14ac:dyDescent="0.25">
      <c r="A1824" s="18"/>
      <c r="C1824" s="17"/>
      <c r="D1824" s="19"/>
      <c r="E1824" s="17"/>
      <c r="F1824" s="18"/>
      <c r="G1824" s="17"/>
      <c r="H1824" s="17"/>
      <c r="J1824" s="18"/>
    </row>
    <row r="1825" spans="1:10" s="10" customFormat="1" x14ac:dyDescent="0.25">
      <c r="A1825" s="18"/>
      <c r="C1825" s="17"/>
      <c r="D1825" s="19"/>
      <c r="E1825" s="17"/>
      <c r="F1825" s="18"/>
      <c r="G1825" s="17"/>
      <c r="H1825" s="17"/>
      <c r="J1825" s="18"/>
    </row>
    <row r="1826" spans="1:10" s="10" customFormat="1" x14ac:dyDescent="0.25">
      <c r="A1826" s="18"/>
      <c r="C1826" s="17"/>
      <c r="D1826" s="19"/>
      <c r="E1826" s="17"/>
      <c r="F1826" s="18"/>
      <c r="G1826" s="17"/>
      <c r="H1826" s="17"/>
      <c r="J1826" s="18"/>
    </row>
    <row r="1827" spans="1:10" s="10" customFormat="1" x14ac:dyDescent="0.25">
      <c r="A1827" s="18"/>
      <c r="C1827" s="17"/>
      <c r="D1827" s="19"/>
      <c r="E1827" s="17"/>
      <c r="F1827" s="18"/>
      <c r="G1827" s="17"/>
      <c r="H1827" s="17"/>
      <c r="J1827" s="18"/>
    </row>
    <row r="1828" spans="1:10" s="10" customFormat="1" x14ac:dyDescent="0.25">
      <c r="A1828" s="18"/>
      <c r="C1828" s="17"/>
      <c r="D1828" s="19"/>
      <c r="E1828" s="17"/>
      <c r="F1828" s="18"/>
      <c r="G1828" s="17"/>
      <c r="H1828" s="17"/>
      <c r="J1828" s="18"/>
    </row>
    <row r="1829" spans="1:10" s="10" customFormat="1" x14ac:dyDescent="0.25">
      <c r="A1829" s="18"/>
      <c r="C1829" s="17"/>
      <c r="D1829" s="19"/>
      <c r="E1829" s="17"/>
      <c r="F1829" s="18"/>
      <c r="G1829" s="17"/>
      <c r="H1829" s="17"/>
      <c r="J1829" s="18"/>
    </row>
    <row r="1830" spans="1:10" s="10" customFormat="1" x14ac:dyDescent="0.25">
      <c r="A1830" s="18"/>
      <c r="C1830" s="17"/>
      <c r="D1830" s="19"/>
      <c r="E1830" s="17"/>
      <c r="F1830" s="18"/>
      <c r="G1830" s="17"/>
      <c r="H1830" s="17"/>
      <c r="J1830" s="18"/>
    </row>
    <row r="1831" spans="1:10" s="10" customFormat="1" x14ac:dyDescent="0.25">
      <c r="A1831" s="18"/>
      <c r="C1831" s="17"/>
      <c r="D1831" s="19"/>
      <c r="E1831" s="17"/>
      <c r="F1831" s="18"/>
      <c r="G1831" s="17"/>
      <c r="H1831" s="17"/>
      <c r="J1831" s="18"/>
    </row>
    <row r="1832" spans="1:10" s="10" customFormat="1" x14ac:dyDescent="0.25">
      <c r="A1832" s="18"/>
      <c r="C1832" s="17"/>
      <c r="D1832" s="19"/>
      <c r="E1832" s="17"/>
      <c r="F1832" s="18"/>
      <c r="G1832" s="17"/>
      <c r="H1832" s="17"/>
      <c r="J1832" s="18"/>
    </row>
    <row r="1833" spans="1:10" s="10" customFormat="1" x14ac:dyDescent="0.25">
      <c r="A1833" s="18"/>
      <c r="C1833" s="17"/>
      <c r="D1833" s="19"/>
      <c r="E1833" s="17"/>
      <c r="F1833" s="18"/>
      <c r="G1833" s="17"/>
      <c r="H1833" s="17"/>
      <c r="J1833" s="18"/>
    </row>
    <row r="1834" spans="1:10" s="10" customFormat="1" x14ac:dyDescent="0.25">
      <c r="A1834" s="18"/>
      <c r="C1834" s="17"/>
      <c r="D1834" s="19"/>
      <c r="E1834" s="17"/>
      <c r="F1834" s="18"/>
      <c r="G1834" s="17"/>
      <c r="H1834" s="17"/>
      <c r="J1834" s="18"/>
    </row>
    <row r="1835" spans="1:10" s="10" customFormat="1" x14ac:dyDescent="0.25">
      <c r="A1835" s="18"/>
      <c r="C1835" s="17"/>
      <c r="D1835" s="19"/>
      <c r="E1835" s="17"/>
      <c r="F1835" s="18"/>
      <c r="G1835" s="17"/>
      <c r="H1835" s="17"/>
      <c r="J1835" s="18"/>
    </row>
    <row r="1836" spans="1:10" s="10" customFormat="1" x14ac:dyDescent="0.25">
      <c r="A1836" s="18"/>
      <c r="C1836" s="17"/>
      <c r="D1836" s="19"/>
      <c r="E1836" s="17"/>
      <c r="F1836" s="18"/>
      <c r="G1836" s="17"/>
      <c r="H1836" s="17"/>
      <c r="J1836" s="18"/>
    </row>
    <row r="1837" spans="1:10" s="10" customFormat="1" x14ac:dyDescent="0.25">
      <c r="A1837" s="18"/>
      <c r="C1837" s="17"/>
      <c r="D1837" s="19"/>
      <c r="E1837" s="17"/>
      <c r="F1837" s="18"/>
      <c r="G1837" s="17"/>
      <c r="H1837" s="17"/>
      <c r="J1837" s="18"/>
    </row>
    <row r="1838" spans="1:10" s="10" customFormat="1" x14ac:dyDescent="0.25">
      <c r="A1838" s="18"/>
      <c r="C1838" s="17"/>
      <c r="D1838" s="19"/>
      <c r="E1838" s="17"/>
      <c r="F1838" s="18"/>
      <c r="G1838" s="17"/>
      <c r="H1838" s="17"/>
      <c r="J1838" s="18"/>
    </row>
    <row r="1839" spans="1:10" s="10" customFormat="1" x14ac:dyDescent="0.25">
      <c r="A1839" s="18"/>
      <c r="C1839" s="17"/>
      <c r="D1839" s="19"/>
      <c r="E1839" s="17"/>
      <c r="F1839" s="18"/>
      <c r="G1839" s="17"/>
      <c r="H1839" s="17"/>
      <c r="J1839" s="18"/>
    </row>
    <row r="1840" spans="1:10" s="10" customFormat="1" x14ac:dyDescent="0.25">
      <c r="A1840" s="18"/>
      <c r="C1840" s="17"/>
      <c r="D1840" s="19"/>
      <c r="E1840" s="17"/>
      <c r="F1840" s="18"/>
      <c r="G1840" s="17"/>
      <c r="H1840" s="17"/>
      <c r="J1840" s="18"/>
    </row>
    <row r="1841" spans="1:10" s="10" customFormat="1" x14ac:dyDescent="0.25">
      <c r="A1841" s="18"/>
      <c r="C1841" s="17"/>
      <c r="D1841" s="19"/>
      <c r="E1841" s="17"/>
      <c r="F1841" s="18"/>
      <c r="G1841" s="17"/>
      <c r="H1841" s="17"/>
      <c r="J1841" s="18"/>
    </row>
    <row r="1842" spans="1:10" s="10" customFormat="1" x14ac:dyDescent="0.25">
      <c r="A1842" s="18"/>
      <c r="C1842" s="17"/>
      <c r="D1842" s="19"/>
      <c r="E1842" s="17"/>
      <c r="F1842" s="18"/>
      <c r="G1842" s="17"/>
      <c r="H1842" s="17"/>
      <c r="J1842" s="18"/>
    </row>
    <row r="1843" spans="1:10" s="10" customFormat="1" x14ac:dyDescent="0.25">
      <c r="A1843" s="18"/>
      <c r="C1843" s="17"/>
      <c r="D1843" s="19"/>
      <c r="E1843" s="17"/>
      <c r="F1843" s="18"/>
      <c r="G1843" s="17"/>
      <c r="H1843" s="17"/>
      <c r="J1843" s="18"/>
    </row>
    <row r="1844" spans="1:10" s="10" customFormat="1" x14ac:dyDescent="0.25">
      <c r="A1844" s="18"/>
      <c r="C1844" s="17"/>
      <c r="D1844" s="19"/>
      <c r="E1844" s="17"/>
      <c r="F1844" s="18"/>
      <c r="G1844" s="17"/>
      <c r="H1844" s="17"/>
      <c r="J1844" s="18"/>
    </row>
    <row r="1845" spans="1:10" s="10" customFormat="1" x14ac:dyDescent="0.25">
      <c r="A1845" s="18"/>
      <c r="C1845" s="17"/>
      <c r="D1845" s="19"/>
      <c r="E1845" s="17"/>
      <c r="F1845" s="18"/>
      <c r="G1845" s="17"/>
      <c r="H1845" s="17"/>
      <c r="J1845" s="18"/>
    </row>
    <row r="1846" spans="1:10" s="10" customFormat="1" x14ac:dyDescent="0.25">
      <c r="A1846" s="18"/>
      <c r="C1846" s="17"/>
      <c r="D1846" s="19"/>
      <c r="E1846" s="17"/>
      <c r="F1846" s="18"/>
      <c r="G1846" s="17"/>
      <c r="H1846" s="17"/>
      <c r="J1846" s="18"/>
    </row>
    <row r="1847" spans="1:10" s="10" customFormat="1" x14ac:dyDescent="0.25">
      <c r="A1847" s="18"/>
      <c r="C1847" s="17"/>
      <c r="D1847" s="19"/>
      <c r="E1847" s="17"/>
      <c r="F1847" s="18"/>
      <c r="G1847" s="17"/>
      <c r="H1847" s="17"/>
      <c r="J1847" s="18"/>
    </row>
    <row r="1848" spans="1:10" s="10" customFormat="1" x14ac:dyDescent="0.25">
      <c r="A1848" s="18"/>
      <c r="C1848" s="17"/>
      <c r="D1848" s="19"/>
      <c r="E1848" s="17"/>
      <c r="F1848" s="18"/>
      <c r="G1848" s="17"/>
      <c r="H1848" s="17"/>
      <c r="J1848" s="18"/>
    </row>
    <row r="1849" spans="1:10" s="10" customFormat="1" x14ac:dyDescent="0.25">
      <c r="A1849" s="18"/>
      <c r="C1849" s="17"/>
      <c r="D1849" s="19"/>
      <c r="E1849" s="17"/>
      <c r="F1849" s="18"/>
      <c r="G1849" s="17"/>
      <c r="H1849" s="17"/>
      <c r="J1849" s="18"/>
    </row>
    <row r="1850" spans="1:10" s="10" customFormat="1" x14ac:dyDescent="0.25">
      <c r="A1850" s="18"/>
      <c r="C1850" s="17"/>
      <c r="D1850" s="19"/>
      <c r="E1850" s="17"/>
      <c r="F1850" s="18"/>
      <c r="G1850" s="17"/>
      <c r="H1850" s="17"/>
      <c r="J1850" s="18"/>
    </row>
    <row r="1851" spans="1:10" s="10" customFormat="1" x14ac:dyDescent="0.25">
      <c r="A1851" s="18"/>
      <c r="C1851" s="17"/>
      <c r="D1851" s="19"/>
      <c r="E1851" s="17"/>
      <c r="F1851" s="18"/>
      <c r="G1851" s="17"/>
      <c r="H1851" s="17"/>
      <c r="J1851" s="18"/>
    </row>
    <row r="1852" spans="1:10" s="10" customFormat="1" x14ac:dyDescent="0.25">
      <c r="A1852" s="18"/>
      <c r="C1852" s="17"/>
      <c r="D1852" s="19"/>
      <c r="E1852" s="17"/>
      <c r="F1852" s="18"/>
      <c r="G1852" s="17"/>
      <c r="H1852" s="17"/>
      <c r="J1852" s="18"/>
    </row>
    <row r="1853" spans="1:10" s="10" customFormat="1" x14ac:dyDescent="0.25">
      <c r="A1853" s="18"/>
      <c r="C1853" s="17"/>
      <c r="D1853" s="19"/>
      <c r="E1853" s="17"/>
      <c r="F1853" s="18"/>
      <c r="G1853" s="17"/>
      <c r="H1853" s="17"/>
      <c r="J1853" s="18"/>
    </row>
    <row r="1854" spans="1:10" s="10" customFormat="1" x14ac:dyDescent="0.25">
      <c r="A1854" s="18"/>
      <c r="C1854" s="17"/>
      <c r="D1854" s="19"/>
      <c r="E1854" s="17"/>
      <c r="F1854" s="18"/>
      <c r="G1854" s="17"/>
      <c r="H1854" s="17"/>
      <c r="J1854" s="18"/>
    </row>
    <row r="1855" spans="1:10" s="10" customFormat="1" x14ac:dyDescent="0.25">
      <c r="A1855" s="18"/>
      <c r="C1855" s="17"/>
      <c r="D1855" s="19"/>
      <c r="E1855" s="17"/>
      <c r="F1855" s="18"/>
      <c r="G1855" s="17"/>
      <c r="H1855" s="17"/>
      <c r="J1855" s="18"/>
    </row>
    <row r="1856" spans="1:10" s="10" customFormat="1" x14ac:dyDescent="0.25">
      <c r="A1856" s="18"/>
      <c r="C1856" s="17"/>
      <c r="D1856" s="19"/>
      <c r="E1856" s="17"/>
      <c r="F1856" s="18"/>
      <c r="G1856" s="17"/>
      <c r="H1856" s="17"/>
      <c r="J1856" s="18"/>
    </row>
    <row r="1857" spans="1:10" s="10" customFormat="1" x14ac:dyDescent="0.25">
      <c r="A1857" s="18"/>
      <c r="C1857" s="17"/>
      <c r="D1857" s="19"/>
      <c r="E1857" s="17"/>
      <c r="F1857" s="18"/>
      <c r="G1857" s="17"/>
      <c r="H1857" s="17"/>
      <c r="J1857" s="18"/>
    </row>
    <row r="1858" spans="1:10" s="10" customFormat="1" x14ac:dyDescent="0.25">
      <c r="A1858" s="18"/>
      <c r="C1858" s="17"/>
      <c r="D1858" s="19"/>
      <c r="E1858" s="17"/>
      <c r="F1858" s="18"/>
      <c r="G1858" s="17"/>
      <c r="H1858" s="17"/>
      <c r="J1858" s="18"/>
    </row>
    <row r="1859" spans="1:10" s="10" customFormat="1" x14ac:dyDescent="0.25">
      <c r="A1859" s="18"/>
      <c r="C1859" s="17"/>
      <c r="D1859" s="19"/>
      <c r="E1859" s="17"/>
      <c r="F1859" s="18"/>
      <c r="G1859" s="17"/>
      <c r="H1859" s="17"/>
      <c r="J1859" s="18"/>
    </row>
    <row r="1860" spans="1:10" s="10" customFormat="1" x14ac:dyDescent="0.25">
      <c r="A1860" s="18"/>
      <c r="C1860" s="17"/>
      <c r="D1860" s="19"/>
      <c r="E1860" s="17"/>
      <c r="F1860" s="18"/>
      <c r="G1860" s="17"/>
      <c r="H1860" s="17"/>
      <c r="J1860" s="18"/>
    </row>
    <row r="1861" spans="1:10" s="10" customFormat="1" x14ac:dyDescent="0.25">
      <c r="A1861" s="18"/>
      <c r="C1861" s="17"/>
      <c r="D1861" s="19"/>
      <c r="E1861" s="17"/>
      <c r="F1861" s="18"/>
      <c r="G1861" s="17"/>
      <c r="H1861" s="17"/>
      <c r="J1861" s="18"/>
    </row>
    <row r="1862" spans="1:10" s="10" customFormat="1" x14ac:dyDescent="0.25">
      <c r="A1862" s="18"/>
      <c r="C1862" s="17"/>
      <c r="D1862" s="19"/>
      <c r="E1862" s="17"/>
      <c r="F1862" s="18"/>
      <c r="G1862" s="17"/>
      <c r="H1862" s="17"/>
      <c r="J1862" s="18"/>
    </row>
    <row r="1863" spans="1:10" s="10" customFormat="1" x14ac:dyDescent="0.25">
      <c r="A1863" s="18"/>
      <c r="C1863" s="17"/>
      <c r="D1863" s="19"/>
      <c r="E1863" s="17"/>
      <c r="F1863" s="18"/>
      <c r="G1863" s="17"/>
      <c r="H1863" s="17"/>
      <c r="J1863" s="18"/>
    </row>
    <row r="1864" spans="1:10" s="10" customFormat="1" x14ac:dyDescent="0.25">
      <c r="A1864" s="18"/>
      <c r="C1864" s="17"/>
      <c r="D1864" s="19"/>
      <c r="E1864" s="17"/>
      <c r="F1864" s="18"/>
      <c r="G1864" s="17"/>
      <c r="H1864" s="17"/>
      <c r="J1864" s="18"/>
    </row>
    <row r="1865" spans="1:10" s="10" customFormat="1" x14ac:dyDescent="0.25">
      <c r="A1865" s="18"/>
      <c r="C1865" s="17"/>
      <c r="D1865" s="19"/>
      <c r="E1865" s="17"/>
      <c r="F1865" s="18"/>
      <c r="G1865" s="17"/>
      <c r="H1865" s="17"/>
      <c r="J1865" s="18"/>
    </row>
    <row r="1866" spans="1:10" s="10" customFormat="1" x14ac:dyDescent="0.25">
      <c r="A1866" s="18"/>
      <c r="C1866" s="17"/>
      <c r="D1866" s="19"/>
      <c r="E1866" s="17"/>
      <c r="F1866" s="18"/>
      <c r="G1866" s="17"/>
      <c r="H1866" s="17"/>
      <c r="J1866" s="18"/>
    </row>
    <row r="1867" spans="1:10" s="10" customFormat="1" x14ac:dyDescent="0.25">
      <c r="A1867" s="18"/>
      <c r="C1867" s="17"/>
      <c r="D1867" s="19"/>
      <c r="E1867" s="17"/>
      <c r="F1867" s="18"/>
      <c r="G1867" s="17"/>
      <c r="H1867" s="17"/>
      <c r="J1867" s="18"/>
    </row>
    <row r="1868" spans="1:10" s="10" customFormat="1" x14ac:dyDescent="0.25">
      <c r="A1868" s="18"/>
      <c r="C1868" s="17"/>
      <c r="D1868" s="19"/>
      <c r="E1868" s="17"/>
      <c r="F1868" s="18"/>
      <c r="G1868" s="17"/>
      <c r="H1868" s="17"/>
      <c r="J1868" s="18"/>
    </row>
    <row r="1869" spans="1:10" s="10" customFormat="1" x14ac:dyDescent="0.25">
      <c r="A1869" s="18"/>
      <c r="C1869" s="17"/>
      <c r="D1869" s="19"/>
      <c r="E1869" s="17"/>
      <c r="F1869" s="18"/>
      <c r="G1869" s="17"/>
      <c r="H1869" s="17"/>
      <c r="J1869" s="18"/>
    </row>
    <row r="1870" spans="1:10" s="10" customFormat="1" x14ac:dyDescent="0.25">
      <c r="A1870" s="18"/>
      <c r="C1870" s="17"/>
      <c r="D1870" s="19"/>
      <c r="E1870" s="17"/>
      <c r="F1870" s="18"/>
      <c r="G1870" s="17"/>
      <c r="H1870" s="17"/>
      <c r="J1870" s="18"/>
    </row>
    <row r="1871" spans="1:10" s="10" customFormat="1" x14ac:dyDescent="0.25">
      <c r="A1871" s="18"/>
      <c r="C1871" s="17"/>
      <c r="D1871" s="19"/>
      <c r="E1871" s="17"/>
      <c r="F1871" s="18"/>
      <c r="G1871" s="17"/>
      <c r="H1871" s="17"/>
      <c r="J1871" s="18"/>
    </row>
    <row r="1872" spans="1:10" s="10" customFormat="1" x14ac:dyDescent="0.25">
      <c r="A1872" s="18"/>
      <c r="C1872" s="17"/>
      <c r="D1872" s="19"/>
      <c r="E1872" s="17"/>
      <c r="F1872" s="18"/>
      <c r="G1872" s="17"/>
      <c r="H1872" s="17"/>
      <c r="J1872" s="18"/>
    </row>
    <row r="1873" spans="1:10" s="10" customFormat="1" x14ac:dyDescent="0.25">
      <c r="A1873" s="18"/>
      <c r="C1873" s="17"/>
      <c r="D1873" s="19"/>
      <c r="E1873" s="17"/>
      <c r="F1873" s="18"/>
      <c r="G1873" s="17"/>
      <c r="H1873" s="17"/>
      <c r="J1873" s="18"/>
    </row>
    <row r="1874" spans="1:10" s="10" customFormat="1" x14ac:dyDescent="0.25">
      <c r="A1874" s="18"/>
      <c r="C1874" s="17"/>
      <c r="D1874" s="19"/>
      <c r="E1874" s="17"/>
      <c r="F1874" s="18"/>
      <c r="G1874" s="17"/>
      <c r="H1874" s="17"/>
      <c r="J1874" s="18"/>
    </row>
    <row r="1875" spans="1:10" s="10" customFormat="1" x14ac:dyDescent="0.25">
      <c r="A1875" s="18"/>
      <c r="C1875" s="17"/>
      <c r="D1875" s="19"/>
      <c r="E1875" s="17"/>
      <c r="F1875" s="18"/>
      <c r="G1875" s="17"/>
      <c r="H1875" s="17"/>
      <c r="J1875" s="18"/>
    </row>
    <row r="1876" spans="1:10" s="10" customFormat="1" x14ac:dyDescent="0.25">
      <c r="A1876" s="18"/>
      <c r="C1876" s="17"/>
      <c r="D1876" s="19"/>
      <c r="E1876" s="17"/>
      <c r="F1876" s="18"/>
      <c r="G1876" s="17"/>
      <c r="H1876" s="17"/>
      <c r="J1876" s="18"/>
    </row>
    <row r="1877" spans="1:10" s="10" customFormat="1" x14ac:dyDescent="0.25">
      <c r="A1877" s="18"/>
      <c r="C1877" s="17"/>
      <c r="D1877" s="19"/>
      <c r="E1877" s="17"/>
      <c r="F1877" s="18"/>
      <c r="G1877" s="17"/>
      <c r="H1877" s="17"/>
      <c r="J1877" s="18"/>
    </row>
    <row r="1878" spans="1:10" s="10" customFormat="1" x14ac:dyDescent="0.25">
      <c r="A1878" s="18"/>
      <c r="C1878" s="17"/>
      <c r="D1878" s="19"/>
      <c r="E1878" s="17"/>
      <c r="F1878" s="18"/>
      <c r="G1878" s="17"/>
      <c r="H1878" s="17"/>
      <c r="J1878" s="18"/>
    </row>
    <row r="1879" spans="1:10" s="10" customFormat="1" x14ac:dyDescent="0.25">
      <c r="A1879" s="18"/>
      <c r="C1879" s="17"/>
      <c r="D1879" s="19"/>
      <c r="E1879" s="17"/>
      <c r="F1879" s="18"/>
      <c r="G1879" s="17"/>
      <c r="H1879" s="17"/>
      <c r="J1879" s="18"/>
    </row>
    <row r="1880" spans="1:10" s="10" customFormat="1" x14ac:dyDescent="0.25">
      <c r="A1880" s="18"/>
      <c r="C1880" s="17"/>
      <c r="D1880" s="19"/>
      <c r="E1880" s="17"/>
      <c r="F1880" s="18"/>
      <c r="G1880" s="17"/>
      <c r="H1880" s="17"/>
      <c r="J1880" s="18"/>
    </row>
    <row r="1881" spans="1:10" s="10" customFormat="1" x14ac:dyDescent="0.25">
      <c r="A1881" s="18"/>
      <c r="C1881" s="17"/>
      <c r="D1881" s="19"/>
      <c r="E1881" s="17"/>
      <c r="F1881" s="18"/>
      <c r="G1881" s="17"/>
      <c r="H1881" s="17"/>
      <c r="J1881" s="18"/>
    </row>
    <row r="1882" spans="1:10" s="10" customFormat="1" x14ac:dyDescent="0.25">
      <c r="A1882" s="18"/>
      <c r="C1882" s="17"/>
      <c r="D1882" s="19"/>
      <c r="E1882" s="17"/>
      <c r="F1882" s="18"/>
      <c r="G1882" s="17"/>
      <c r="H1882" s="17"/>
      <c r="J1882" s="18"/>
    </row>
    <row r="1883" spans="1:10" s="10" customFormat="1" x14ac:dyDescent="0.25">
      <c r="A1883" s="18"/>
      <c r="C1883" s="17"/>
      <c r="D1883" s="19"/>
      <c r="E1883" s="17"/>
      <c r="F1883" s="18"/>
      <c r="G1883" s="17"/>
      <c r="H1883" s="17"/>
      <c r="J1883" s="18"/>
    </row>
    <row r="1884" spans="1:10" s="10" customFormat="1" x14ac:dyDescent="0.25">
      <c r="A1884" s="18"/>
      <c r="C1884" s="17"/>
      <c r="D1884" s="19"/>
      <c r="E1884" s="17"/>
      <c r="F1884" s="18"/>
      <c r="G1884" s="17"/>
      <c r="H1884" s="17"/>
      <c r="J1884" s="18"/>
    </row>
    <row r="1885" spans="1:10" s="10" customFormat="1" x14ac:dyDescent="0.25">
      <c r="A1885" s="18"/>
      <c r="C1885" s="17"/>
      <c r="D1885" s="19"/>
      <c r="E1885" s="17"/>
      <c r="F1885" s="18"/>
      <c r="G1885" s="17"/>
      <c r="H1885" s="17"/>
      <c r="J1885" s="18"/>
    </row>
    <row r="1886" spans="1:10" s="10" customFormat="1" x14ac:dyDescent="0.25">
      <c r="A1886" s="18"/>
      <c r="C1886" s="17"/>
      <c r="D1886" s="19"/>
      <c r="E1886" s="17"/>
      <c r="F1886" s="18"/>
      <c r="G1886" s="17"/>
      <c r="H1886" s="17"/>
      <c r="J1886" s="18"/>
    </row>
    <row r="1887" spans="1:10" s="10" customFormat="1" x14ac:dyDescent="0.25">
      <c r="A1887" s="18"/>
      <c r="C1887" s="17"/>
      <c r="D1887" s="19"/>
      <c r="E1887" s="17"/>
      <c r="F1887" s="18"/>
      <c r="G1887" s="17"/>
      <c r="H1887" s="17"/>
      <c r="J1887" s="18"/>
    </row>
    <row r="1888" spans="1:10" s="10" customFormat="1" x14ac:dyDescent="0.25">
      <c r="A1888" s="18"/>
      <c r="C1888" s="17"/>
      <c r="D1888" s="19"/>
      <c r="E1888" s="17"/>
      <c r="F1888" s="18"/>
      <c r="G1888" s="17"/>
      <c r="H1888" s="17"/>
      <c r="J1888" s="18"/>
    </row>
    <row r="1889" spans="1:10" s="10" customFormat="1" x14ac:dyDescent="0.25">
      <c r="A1889" s="18"/>
      <c r="C1889" s="17"/>
      <c r="D1889" s="19"/>
      <c r="E1889" s="17"/>
      <c r="F1889" s="18"/>
      <c r="G1889" s="17"/>
      <c r="H1889" s="17"/>
      <c r="J1889" s="18"/>
    </row>
    <row r="1890" spans="1:10" s="10" customFormat="1" x14ac:dyDescent="0.25">
      <c r="A1890" s="18"/>
      <c r="C1890" s="17"/>
      <c r="D1890" s="19"/>
      <c r="E1890" s="17"/>
      <c r="F1890" s="18"/>
      <c r="G1890" s="17"/>
      <c r="H1890" s="17"/>
      <c r="J1890" s="18"/>
    </row>
    <row r="1891" spans="1:10" s="10" customFormat="1" x14ac:dyDescent="0.25">
      <c r="A1891" s="18"/>
      <c r="C1891" s="17"/>
      <c r="D1891" s="19"/>
      <c r="E1891" s="17"/>
      <c r="F1891" s="18"/>
      <c r="G1891" s="17"/>
      <c r="H1891" s="17"/>
      <c r="J1891" s="18"/>
    </row>
    <row r="1892" spans="1:10" s="10" customFormat="1" x14ac:dyDescent="0.25">
      <c r="A1892" s="18"/>
      <c r="C1892" s="17"/>
      <c r="D1892" s="19"/>
      <c r="E1892" s="17"/>
      <c r="F1892" s="18"/>
      <c r="G1892" s="17"/>
      <c r="H1892" s="17"/>
      <c r="J1892" s="18"/>
    </row>
    <row r="1893" spans="1:10" s="10" customFormat="1" x14ac:dyDescent="0.25">
      <c r="A1893" s="18"/>
      <c r="C1893" s="17"/>
      <c r="D1893" s="19"/>
      <c r="E1893" s="17"/>
      <c r="F1893" s="18"/>
      <c r="G1893" s="17"/>
      <c r="H1893" s="17"/>
      <c r="J1893" s="18"/>
    </row>
    <row r="1894" spans="1:10" s="10" customFormat="1" x14ac:dyDescent="0.25">
      <c r="A1894" s="18"/>
      <c r="C1894" s="17"/>
      <c r="D1894" s="19"/>
      <c r="E1894" s="17"/>
      <c r="F1894" s="18"/>
      <c r="G1894" s="17"/>
      <c r="H1894" s="17"/>
      <c r="J1894" s="18"/>
    </row>
    <row r="1895" spans="1:10" s="10" customFormat="1" x14ac:dyDescent="0.25">
      <c r="A1895" s="18"/>
      <c r="C1895" s="17"/>
      <c r="D1895" s="19"/>
      <c r="E1895" s="17"/>
      <c r="F1895" s="18"/>
      <c r="G1895" s="17"/>
      <c r="H1895" s="17"/>
      <c r="J1895" s="18"/>
    </row>
    <row r="1896" spans="1:10" s="10" customFormat="1" x14ac:dyDescent="0.25">
      <c r="A1896" s="18"/>
      <c r="C1896" s="17"/>
      <c r="D1896" s="19"/>
      <c r="E1896" s="17"/>
      <c r="F1896" s="18"/>
      <c r="G1896" s="17"/>
      <c r="H1896" s="17"/>
      <c r="J1896" s="18"/>
    </row>
    <row r="1897" spans="1:10" s="10" customFormat="1" x14ac:dyDescent="0.25">
      <c r="A1897" s="18"/>
      <c r="C1897" s="17"/>
      <c r="D1897" s="19"/>
      <c r="E1897" s="17"/>
      <c r="F1897" s="18"/>
      <c r="G1897" s="17"/>
      <c r="H1897" s="17"/>
      <c r="J1897" s="18"/>
    </row>
    <row r="1898" spans="1:10" s="10" customFormat="1" x14ac:dyDescent="0.25">
      <c r="A1898" s="18"/>
      <c r="C1898" s="17"/>
      <c r="D1898" s="19"/>
      <c r="E1898" s="17"/>
      <c r="F1898" s="18"/>
      <c r="G1898" s="17"/>
      <c r="H1898" s="17"/>
      <c r="J1898" s="18"/>
    </row>
    <row r="1899" spans="1:10" s="10" customFormat="1" x14ac:dyDescent="0.25">
      <c r="A1899" s="18"/>
      <c r="C1899" s="17"/>
      <c r="D1899" s="19"/>
      <c r="E1899" s="17"/>
      <c r="F1899" s="18"/>
      <c r="G1899" s="17"/>
      <c r="H1899" s="17"/>
      <c r="J1899" s="18"/>
    </row>
    <row r="1900" spans="1:10" s="10" customFormat="1" x14ac:dyDescent="0.25">
      <c r="A1900" s="18"/>
      <c r="C1900" s="17"/>
      <c r="D1900" s="19"/>
      <c r="E1900" s="17"/>
      <c r="F1900" s="18"/>
      <c r="G1900" s="17"/>
      <c r="H1900" s="17"/>
      <c r="J1900" s="18"/>
    </row>
    <row r="1901" spans="1:10" s="10" customFormat="1" x14ac:dyDescent="0.25">
      <c r="A1901" s="18"/>
      <c r="C1901" s="17"/>
      <c r="D1901" s="19"/>
      <c r="E1901" s="17"/>
      <c r="F1901" s="18"/>
      <c r="G1901" s="17"/>
      <c r="H1901" s="17"/>
      <c r="J1901" s="18"/>
    </row>
    <row r="1902" spans="1:10" s="10" customFormat="1" x14ac:dyDescent="0.25">
      <c r="A1902" s="18"/>
      <c r="C1902" s="17"/>
      <c r="D1902" s="19"/>
      <c r="E1902" s="17"/>
      <c r="F1902" s="18"/>
      <c r="G1902" s="17"/>
      <c r="H1902" s="17"/>
      <c r="J1902" s="18"/>
    </row>
    <row r="1903" spans="1:10" s="10" customFormat="1" x14ac:dyDescent="0.25">
      <c r="A1903" s="18"/>
      <c r="C1903" s="17"/>
      <c r="D1903" s="19"/>
      <c r="E1903" s="17"/>
      <c r="F1903" s="18"/>
      <c r="G1903" s="17"/>
      <c r="H1903" s="17"/>
      <c r="J1903" s="18"/>
    </row>
    <row r="1904" spans="1:10" s="10" customFormat="1" x14ac:dyDescent="0.25">
      <c r="A1904" s="18"/>
      <c r="C1904" s="17"/>
      <c r="D1904" s="19"/>
      <c r="E1904" s="17"/>
      <c r="F1904" s="18"/>
      <c r="G1904" s="17"/>
      <c r="H1904" s="17"/>
      <c r="J1904" s="18"/>
    </row>
    <row r="1905" spans="1:10" s="10" customFormat="1" x14ac:dyDescent="0.25">
      <c r="A1905" s="18"/>
      <c r="C1905" s="17"/>
      <c r="D1905" s="19"/>
      <c r="E1905" s="17"/>
      <c r="F1905" s="18"/>
      <c r="G1905" s="17"/>
      <c r="H1905" s="17"/>
      <c r="J1905" s="18"/>
    </row>
    <row r="1906" spans="1:10" s="10" customFormat="1" x14ac:dyDescent="0.25">
      <c r="A1906" s="18"/>
      <c r="C1906" s="17"/>
      <c r="D1906" s="19"/>
      <c r="E1906" s="17"/>
      <c r="F1906" s="18"/>
      <c r="G1906" s="17"/>
      <c r="H1906" s="17"/>
      <c r="J1906" s="18"/>
    </row>
    <row r="1907" spans="1:10" s="10" customFormat="1" x14ac:dyDescent="0.25">
      <c r="A1907" s="18"/>
      <c r="C1907" s="17"/>
      <c r="D1907" s="19"/>
      <c r="E1907" s="17"/>
      <c r="F1907" s="18"/>
      <c r="G1907" s="17"/>
      <c r="H1907" s="17"/>
      <c r="J1907" s="18"/>
    </row>
    <row r="1908" spans="1:10" s="10" customFormat="1" x14ac:dyDescent="0.25">
      <c r="A1908" s="18"/>
      <c r="C1908" s="17"/>
      <c r="D1908" s="19"/>
      <c r="E1908" s="17"/>
      <c r="F1908" s="18"/>
      <c r="G1908" s="17"/>
      <c r="H1908" s="17"/>
      <c r="J1908" s="18"/>
    </row>
    <row r="1909" spans="1:10" s="10" customFormat="1" x14ac:dyDescent="0.25">
      <c r="A1909" s="18"/>
      <c r="C1909" s="17"/>
      <c r="D1909" s="19"/>
      <c r="E1909" s="17"/>
      <c r="F1909" s="18"/>
      <c r="G1909" s="17"/>
      <c r="H1909" s="17"/>
      <c r="J1909" s="18"/>
    </row>
    <row r="1910" spans="1:10" s="10" customFormat="1" x14ac:dyDescent="0.25">
      <c r="A1910" s="18"/>
      <c r="C1910" s="17"/>
      <c r="D1910" s="19"/>
      <c r="E1910" s="17"/>
      <c r="F1910" s="18"/>
      <c r="G1910" s="17"/>
      <c r="H1910" s="17"/>
      <c r="J1910" s="18"/>
    </row>
    <row r="1911" spans="1:10" s="10" customFormat="1" x14ac:dyDescent="0.25">
      <c r="A1911" s="18"/>
      <c r="C1911" s="17"/>
      <c r="D1911" s="19"/>
      <c r="E1911" s="17"/>
      <c r="F1911" s="18"/>
      <c r="G1911" s="17"/>
      <c r="H1911" s="17"/>
      <c r="J1911" s="18"/>
    </row>
    <row r="1912" spans="1:10" s="10" customFormat="1" x14ac:dyDescent="0.25">
      <c r="A1912" s="18"/>
      <c r="C1912" s="17"/>
      <c r="D1912" s="19"/>
      <c r="E1912" s="17"/>
      <c r="F1912" s="18"/>
      <c r="G1912" s="17"/>
      <c r="H1912" s="17"/>
      <c r="J1912" s="18"/>
    </row>
    <row r="1913" spans="1:10" s="10" customFormat="1" x14ac:dyDescent="0.25">
      <c r="A1913" s="18"/>
      <c r="C1913" s="17"/>
      <c r="D1913" s="19"/>
      <c r="E1913" s="17"/>
      <c r="F1913" s="18"/>
      <c r="G1913" s="17"/>
      <c r="H1913" s="17"/>
      <c r="J1913" s="18"/>
    </row>
    <row r="1914" spans="1:10" s="10" customFormat="1" x14ac:dyDescent="0.25">
      <c r="A1914" s="18"/>
      <c r="C1914" s="17"/>
      <c r="D1914" s="19"/>
      <c r="E1914" s="17"/>
      <c r="F1914" s="18"/>
      <c r="G1914" s="17"/>
      <c r="H1914" s="17"/>
      <c r="J1914" s="18"/>
    </row>
    <row r="1915" spans="1:10" s="10" customFormat="1" x14ac:dyDescent="0.25">
      <c r="A1915" s="18"/>
      <c r="C1915" s="17"/>
      <c r="D1915" s="19"/>
      <c r="E1915" s="17"/>
      <c r="F1915" s="18"/>
      <c r="G1915" s="17"/>
      <c r="H1915" s="17"/>
      <c r="J1915" s="18"/>
    </row>
    <row r="1916" spans="1:10" s="10" customFormat="1" x14ac:dyDescent="0.25">
      <c r="A1916" s="18"/>
      <c r="C1916" s="17"/>
      <c r="D1916" s="19"/>
      <c r="E1916" s="17"/>
      <c r="F1916" s="18"/>
      <c r="G1916" s="17"/>
      <c r="H1916" s="17"/>
      <c r="J1916" s="18"/>
    </row>
    <row r="1917" spans="1:10" s="10" customFormat="1" x14ac:dyDescent="0.25">
      <c r="A1917" s="18"/>
      <c r="C1917" s="17"/>
      <c r="D1917" s="19"/>
      <c r="E1917" s="17"/>
      <c r="F1917" s="18"/>
      <c r="G1917" s="17"/>
      <c r="H1917" s="17"/>
      <c r="J1917" s="18"/>
    </row>
    <row r="1918" spans="1:10" s="10" customFormat="1" x14ac:dyDescent="0.25">
      <c r="A1918" s="18"/>
      <c r="C1918" s="17"/>
      <c r="D1918" s="19"/>
      <c r="E1918" s="17"/>
      <c r="F1918" s="18"/>
      <c r="G1918" s="17"/>
      <c r="H1918" s="17"/>
      <c r="J1918" s="18"/>
    </row>
    <row r="1919" spans="1:10" s="10" customFormat="1" x14ac:dyDescent="0.25">
      <c r="A1919" s="18"/>
      <c r="C1919" s="17"/>
      <c r="D1919" s="19"/>
      <c r="E1919" s="17"/>
      <c r="F1919" s="18"/>
      <c r="G1919" s="17"/>
      <c r="H1919" s="17"/>
      <c r="J1919" s="18"/>
    </row>
    <row r="1920" spans="1:10" s="10" customFormat="1" x14ac:dyDescent="0.25">
      <c r="A1920" s="18"/>
      <c r="C1920" s="17"/>
      <c r="D1920" s="19"/>
      <c r="E1920" s="17"/>
      <c r="F1920" s="18"/>
      <c r="G1920" s="17"/>
      <c r="H1920" s="17"/>
      <c r="J1920" s="18"/>
    </row>
    <row r="1921" spans="1:10" s="10" customFormat="1" x14ac:dyDescent="0.25">
      <c r="A1921" s="18"/>
      <c r="C1921" s="17"/>
      <c r="D1921" s="19"/>
      <c r="E1921" s="17"/>
      <c r="F1921" s="18"/>
      <c r="G1921" s="17"/>
      <c r="H1921" s="17"/>
      <c r="J1921" s="18"/>
    </row>
    <row r="1922" spans="1:10" s="10" customFormat="1" x14ac:dyDescent="0.25">
      <c r="A1922" s="18"/>
      <c r="C1922" s="17"/>
      <c r="D1922" s="19"/>
      <c r="E1922" s="17"/>
      <c r="F1922" s="18"/>
      <c r="G1922" s="17"/>
      <c r="H1922" s="17"/>
      <c r="J1922" s="18"/>
    </row>
    <row r="1923" spans="1:10" s="10" customFormat="1" x14ac:dyDescent="0.25">
      <c r="A1923" s="18"/>
      <c r="C1923" s="17"/>
      <c r="D1923" s="19"/>
      <c r="E1923" s="17"/>
      <c r="F1923" s="18"/>
      <c r="G1923" s="17"/>
      <c r="H1923" s="17"/>
      <c r="J1923" s="18"/>
    </row>
    <row r="1924" spans="1:10" s="10" customFormat="1" x14ac:dyDescent="0.25">
      <c r="A1924" s="18"/>
      <c r="C1924" s="17"/>
      <c r="D1924" s="19"/>
      <c r="E1924" s="17"/>
      <c r="F1924" s="18"/>
      <c r="G1924" s="17"/>
      <c r="H1924" s="17"/>
      <c r="J1924" s="18"/>
    </row>
    <row r="1925" spans="1:10" s="10" customFormat="1" x14ac:dyDescent="0.25">
      <c r="A1925" s="18"/>
      <c r="C1925" s="17"/>
      <c r="D1925" s="19"/>
      <c r="E1925" s="17"/>
      <c r="F1925" s="18"/>
      <c r="G1925" s="17"/>
      <c r="H1925" s="17"/>
      <c r="J1925" s="18"/>
    </row>
    <row r="1926" spans="1:10" s="10" customFormat="1" x14ac:dyDescent="0.25">
      <c r="A1926" s="18"/>
      <c r="C1926" s="17"/>
      <c r="D1926" s="19"/>
      <c r="E1926" s="17"/>
      <c r="F1926" s="18"/>
      <c r="G1926" s="17"/>
      <c r="H1926" s="17"/>
      <c r="J1926" s="18"/>
    </row>
    <row r="1927" spans="1:10" s="10" customFormat="1" x14ac:dyDescent="0.25">
      <c r="A1927" s="18"/>
      <c r="C1927" s="17"/>
      <c r="D1927" s="19"/>
      <c r="E1927" s="17"/>
      <c r="F1927" s="18"/>
      <c r="G1927" s="17"/>
      <c r="H1927" s="17"/>
      <c r="J1927" s="18"/>
    </row>
    <row r="1928" spans="1:10" s="10" customFormat="1" x14ac:dyDescent="0.25">
      <c r="A1928" s="18"/>
      <c r="C1928" s="17"/>
      <c r="D1928" s="19"/>
      <c r="E1928" s="17"/>
      <c r="F1928" s="18"/>
      <c r="G1928" s="17"/>
      <c r="H1928" s="17"/>
      <c r="J1928" s="18"/>
    </row>
    <row r="1929" spans="1:10" s="10" customFormat="1" x14ac:dyDescent="0.25">
      <c r="A1929" s="18"/>
      <c r="C1929" s="17"/>
      <c r="D1929" s="19"/>
      <c r="E1929" s="17"/>
      <c r="F1929" s="18"/>
      <c r="G1929" s="17"/>
      <c r="H1929" s="17"/>
      <c r="J1929" s="18"/>
    </row>
    <row r="1930" spans="1:10" s="10" customFormat="1" x14ac:dyDescent="0.25">
      <c r="A1930" s="18"/>
      <c r="C1930" s="17"/>
      <c r="D1930" s="19"/>
      <c r="E1930" s="17"/>
      <c r="F1930" s="18"/>
      <c r="G1930" s="17"/>
      <c r="H1930" s="17"/>
      <c r="J1930" s="18"/>
    </row>
    <row r="1931" spans="1:10" s="10" customFormat="1" x14ac:dyDescent="0.25">
      <c r="A1931" s="18"/>
      <c r="C1931" s="17"/>
      <c r="D1931" s="19"/>
      <c r="E1931" s="17"/>
      <c r="F1931" s="18"/>
      <c r="G1931" s="17"/>
      <c r="H1931" s="17"/>
      <c r="J1931" s="18"/>
    </row>
    <row r="1932" spans="1:10" s="10" customFormat="1" x14ac:dyDescent="0.25">
      <c r="A1932" s="18"/>
      <c r="C1932" s="17"/>
      <c r="D1932" s="19"/>
      <c r="E1932" s="17"/>
      <c r="F1932" s="18"/>
      <c r="G1932" s="17"/>
      <c r="H1932" s="17"/>
      <c r="J1932" s="18"/>
    </row>
    <row r="1933" spans="1:10" s="10" customFormat="1" x14ac:dyDescent="0.25">
      <c r="A1933" s="18"/>
      <c r="C1933" s="17"/>
      <c r="D1933" s="19"/>
      <c r="E1933" s="17"/>
      <c r="F1933" s="18"/>
      <c r="G1933" s="17"/>
      <c r="H1933" s="17"/>
      <c r="J1933" s="18"/>
    </row>
    <row r="1934" spans="1:10" s="10" customFormat="1" x14ac:dyDescent="0.25">
      <c r="A1934" s="18"/>
      <c r="C1934" s="17"/>
      <c r="D1934" s="19"/>
      <c r="E1934" s="17"/>
      <c r="F1934" s="18"/>
      <c r="G1934" s="17"/>
      <c r="H1934" s="17"/>
      <c r="J1934" s="18"/>
    </row>
    <row r="1935" spans="1:10" s="10" customFormat="1" x14ac:dyDescent="0.25">
      <c r="A1935" s="18"/>
      <c r="C1935" s="17"/>
      <c r="D1935" s="19"/>
      <c r="E1935" s="17"/>
      <c r="F1935" s="18"/>
      <c r="G1935" s="17"/>
      <c r="H1935" s="17"/>
      <c r="J1935" s="18"/>
    </row>
    <row r="1936" spans="1:10" s="10" customFormat="1" x14ac:dyDescent="0.25">
      <c r="A1936" s="18"/>
      <c r="C1936" s="17"/>
      <c r="D1936" s="19"/>
      <c r="E1936" s="17"/>
      <c r="F1936" s="18"/>
      <c r="G1936" s="17"/>
      <c r="H1936" s="17"/>
      <c r="J1936" s="18"/>
    </row>
    <row r="1937" spans="1:10" s="10" customFormat="1" x14ac:dyDescent="0.25">
      <c r="A1937" s="18"/>
      <c r="C1937" s="17"/>
      <c r="D1937" s="19"/>
      <c r="E1937" s="17"/>
      <c r="F1937" s="18"/>
      <c r="G1937" s="17"/>
      <c r="H1937" s="17"/>
      <c r="J1937" s="18"/>
    </row>
    <row r="1938" spans="1:10" s="10" customFormat="1" x14ac:dyDescent="0.25">
      <c r="A1938" s="18"/>
      <c r="C1938" s="17"/>
      <c r="D1938" s="19"/>
      <c r="E1938" s="17"/>
      <c r="F1938" s="18"/>
      <c r="G1938" s="17"/>
      <c r="H1938" s="17"/>
      <c r="J1938" s="18"/>
    </row>
    <row r="1939" spans="1:10" s="10" customFormat="1" x14ac:dyDescent="0.25">
      <c r="A1939" s="18"/>
      <c r="C1939" s="17"/>
      <c r="D1939" s="19"/>
      <c r="E1939" s="17"/>
      <c r="F1939" s="18"/>
      <c r="G1939" s="17"/>
      <c r="H1939" s="17"/>
      <c r="J1939" s="18"/>
    </row>
    <row r="1940" spans="1:10" s="10" customFormat="1" x14ac:dyDescent="0.25">
      <c r="A1940" s="18"/>
      <c r="C1940" s="17"/>
      <c r="D1940" s="19"/>
      <c r="E1940" s="17"/>
      <c r="F1940" s="18"/>
      <c r="G1940" s="17"/>
      <c r="H1940" s="17"/>
      <c r="J1940" s="18"/>
    </row>
    <row r="1941" spans="1:10" s="10" customFormat="1" x14ac:dyDescent="0.25">
      <c r="A1941" s="18"/>
      <c r="C1941" s="17"/>
      <c r="D1941" s="19"/>
      <c r="E1941" s="17"/>
      <c r="F1941" s="18"/>
      <c r="G1941" s="17"/>
      <c r="H1941" s="17"/>
      <c r="J1941" s="18"/>
    </row>
    <row r="1942" spans="1:10" s="10" customFormat="1" x14ac:dyDescent="0.25">
      <c r="A1942" s="18"/>
      <c r="C1942" s="17"/>
      <c r="D1942" s="19"/>
      <c r="E1942" s="17"/>
      <c r="F1942" s="18"/>
      <c r="G1942" s="17"/>
      <c r="H1942" s="17"/>
      <c r="J1942" s="18"/>
    </row>
    <row r="1943" spans="1:10" s="10" customFormat="1" x14ac:dyDescent="0.25">
      <c r="A1943" s="18"/>
      <c r="C1943" s="17"/>
      <c r="D1943" s="19"/>
      <c r="E1943" s="17"/>
      <c r="F1943" s="18"/>
      <c r="G1943" s="17"/>
      <c r="H1943" s="17"/>
      <c r="J1943" s="18"/>
    </row>
    <row r="1944" spans="1:10" s="10" customFormat="1" x14ac:dyDescent="0.25">
      <c r="A1944" s="18"/>
      <c r="C1944" s="17"/>
      <c r="D1944" s="19"/>
      <c r="E1944" s="17"/>
      <c r="F1944" s="18"/>
      <c r="G1944" s="17"/>
      <c r="H1944" s="17"/>
      <c r="J1944" s="18"/>
    </row>
    <row r="1945" spans="1:10" s="10" customFormat="1" x14ac:dyDescent="0.25">
      <c r="A1945" s="18"/>
      <c r="C1945" s="17"/>
      <c r="D1945" s="19"/>
      <c r="E1945" s="17"/>
      <c r="F1945" s="18"/>
      <c r="G1945" s="17"/>
      <c r="H1945" s="17"/>
      <c r="J1945" s="18"/>
    </row>
    <row r="1946" spans="1:10" s="10" customFormat="1" x14ac:dyDescent="0.25">
      <c r="A1946" s="18"/>
      <c r="C1946" s="17"/>
      <c r="D1946" s="19"/>
      <c r="E1946" s="17"/>
      <c r="F1946" s="18"/>
      <c r="G1946" s="17"/>
      <c r="H1946" s="17"/>
      <c r="J1946" s="18"/>
    </row>
    <row r="1947" spans="1:10" s="10" customFormat="1" x14ac:dyDescent="0.25">
      <c r="A1947" s="18"/>
      <c r="C1947" s="17"/>
      <c r="D1947" s="19"/>
      <c r="E1947" s="17"/>
      <c r="F1947" s="18"/>
      <c r="G1947" s="17"/>
      <c r="H1947" s="17"/>
      <c r="J1947" s="18"/>
    </row>
    <row r="1948" spans="1:10" s="10" customFormat="1" x14ac:dyDescent="0.25">
      <c r="A1948" s="18"/>
      <c r="C1948" s="17"/>
      <c r="D1948" s="19"/>
      <c r="E1948" s="17"/>
      <c r="F1948" s="18"/>
      <c r="G1948" s="17"/>
      <c r="H1948" s="17"/>
      <c r="J1948" s="18"/>
    </row>
    <row r="1949" spans="1:10" s="10" customFormat="1" x14ac:dyDescent="0.25">
      <c r="A1949" s="18"/>
      <c r="C1949" s="17"/>
      <c r="D1949" s="19"/>
      <c r="E1949" s="17"/>
      <c r="F1949" s="18"/>
      <c r="G1949" s="17"/>
      <c r="H1949" s="17"/>
      <c r="J1949" s="18"/>
    </row>
    <row r="1950" spans="1:10" s="10" customFormat="1" x14ac:dyDescent="0.25">
      <c r="A1950" s="18"/>
      <c r="C1950" s="17"/>
      <c r="D1950" s="19"/>
      <c r="E1950" s="17"/>
      <c r="F1950" s="18"/>
      <c r="G1950" s="17"/>
      <c r="H1950" s="17"/>
      <c r="J1950" s="18"/>
    </row>
    <row r="1951" spans="1:10" s="10" customFormat="1" x14ac:dyDescent="0.25">
      <c r="A1951" s="18"/>
      <c r="C1951" s="17"/>
      <c r="D1951" s="19"/>
      <c r="E1951" s="17"/>
      <c r="F1951" s="18"/>
      <c r="G1951" s="17"/>
      <c r="H1951" s="17"/>
      <c r="J1951" s="18"/>
    </row>
    <row r="1952" spans="1:10" s="10" customFormat="1" x14ac:dyDescent="0.25">
      <c r="A1952" s="18"/>
      <c r="C1952" s="17"/>
      <c r="D1952" s="19"/>
      <c r="E1952" s="17"/>
      <c r="F1952" s="18"/>
      <c r="G1952" s="17"/>
      <c r="H1952" s="17"/>
      <c r="J1952" s="18"/>
    </row>
    <row r="1953" spans="1:10" s="10" customFormat="1" x14ac:dyDescent="0.25">
      <c r="A1953" s="18"/>
      <c r="C1953" s="17"/>
      <c r="D1953" s="19"/>
      <c r="E1953" s="17"/>
      <c r="F1953" s="18"/>
      <c r="G1953" s="17"/>
      <c r="H1953" s="17"/>
      <c r="J1953" s="18"/>
    </row>
    <row r="1954" spans="1:10" s="10" customFormat="1" x14ac:dyDescent="0.25">
      <c r="A1954" s="18"/>
      <c r="C1954" s="17"/>
      <c r="D1954" s="19"/>
      <c r="E1954" s="17"/>
      <c r="F1954" s="18"/>
      <c r="G1954" s="17"/>
      <c r="H1954" s="17"/>
      <c r="J1954" s="18"/>
    </row>
    <row r="1955" spans="1:10" s="10" customFormat="1" x14ac:dyDescent="0.25">
      <c r="A1955" s="18"/>
      <c r="C1955" s="17"/>
      <c r="D1955" s="19"/>
      <c r="E1955" s="17"/>
      <c r="F1955" s="18"/>
      <c r="G1955" s="17"/>
      <c r="H1955" s="17"/>
      <c r="J1955" s="18"/>
    </row>
    <row r="1956" spans="1:10" s="10" customFormat="1" x14ac:dyDescent="0.25">
      <c r="A1956" s="18"/>
      <c r="C1956" s="17"/>
      <c r="D1956" s="19"/>
      <c r="E1956" s="17"/>
      <c r="F1956" s="18"/>
      <c r="G1956" s="17"/>
      <c r="H1956" s="17"/>
      <c r="J1956" s="18"/>
    </row>
    <row r="1957" spans="1:10" s="10" customFormat="1" x14ac:dyDescent="0.25">
      <c r="A1957" s="18"/>
      <c r="C1957" s="17"/>
      <c r="D1957" s="19"/>
      <c r="E1957" s="17"/>
      <c r="F1957" s="18"/>
      <c r="G1957" s="17"/>
      <c r="H1957" s="17"/>
      <c r="J1957" s="18"/>
    </row>
    <row r="1958" spans="1:10" s="10" customFormat="1" x14ac:dyDescent="0.25">
      <c r="A1958" s="18"/>
      <c r="C1958" s="17"/>
      <c r="D1958" s="19"/>
      <c r="E1958" s="17"/>
      <c r="F1958" s="18"/>
      <c r="G1958" s="17"/>
      <c r="H1958" s="17"/>
      <c r="J1958" s="18"/>
    </row>
    <row r="1959" spans="1:10" s="10" customFormat="1" x14ac:dyDescent="0.25">
      <c r="A1959" s="18"/>
      <c r="C1959" s="17"/>
      <c r="D1959" s="19"/>
      <c r="E1959" s="17"/>
      <c r="F1959" s="18"/>
      <c r="G1959" s="17"/>
      <c r="H1959" s="17"/>
      <c r="J1959" s="18"/>
    </row>
    <row r="1960" spans="1:10" s="10" customFormat="1" x14ac:dyDescent="0.25">
      <c r="A1960" s="18"/>
      <c r="C1960" s="17"/>
      <c r="D1960" s="19"/>
      <c r="E1960" s="17"/>
      <c r="F1960" s="18"/>
      <c r="G1960" s="17"/>
      <c r="H1960" s="17"/>
      <c r="J1960" s="18"/>
    </row>
    <row r="1961" spans="1:10" s="10" customFormat="1" x14ac:dyDescent="0.25">
      <c r="A1961" s="18"/>
      <c r="C1961" s="17"/>
      <c r="D1961" s="19"/>
      <c r="E1961" s="17"/>
      <c r="F1961" s="18"/>
      <c r="G1961" s="17"/>
      <c r="H1961" s="17"/>
      <c r="J1961" s="18"/>
    </row>
    <row r="1962" spans="1:10" s="10" customFormat="1" x14ac:dyDescent="0.25">
      <c r="A1962" s="18"/>
      <c r="C1962" s="17"/>
      <c r="D1962" s="19"/>
      <c r="E1962" s="17"/>
      <c r="F1962" s="18"/>
      <c r="G1962" s="17"/>
      <c r="H1962" s="17"/>
      <c r="J1962" s="18"/>
    </row>
    <row r="1963" spans="1:10" s="10" customFormat="1" x14ac:dyDescent="0.25">
      <c r="A1963" s="18"/>
      <c r="C1963" s="17"/>
      <c r="D1963" s="19"/>
      <c r="E1963" s="17"/>
      <c r="F1963" s="18"/>
      <c r="G1963" s="17"/>
      <c r="H1963" s="17"/>
      <c r="J1963" s="18"/>
    </row>
    <row r="1964" spans="1:10" s="10" customFormat="1" x14ac:dyDescent="0.25">
      <c r="A1964" s="18"/>
      <c r="C1964" s="17"/>
      <c r="D1964" s="19"/>
      <c r="E1964" s="17"/>
      <c r="F1964" s="18"/>
      <c r="G1964" s="17"/>
      <c r="H1964" s="17"/>
      <c r="J1964" s="18"/>
    </row>
    <row r="1965" spans="1:10" s="10" customFormat="1" x14ac:dyDescent="0.25">
      <c r="A1965" s="18"/>
      <c r="C1965" s="17"/>
      <c r="D1965" s="19"/>
      <c r="E1965" s="17"/>
      <c r="F1965" s="18"/>
      <c r="G1965" s="17"/>
      <c r="H1965" s="17"/>
      <c r="J1965" s="18"/>
    </row>
    <row r="1966" spans="1:10" s="10" customFormat="1" x14ac:dyDescent="0.25">
      <c r="A1966" s="18"/>
      <c r="C1966" s="17"/>
      <c r="D1966" s="19"/>
      <c r="E1966" s="17"/>
      <c r="F1966" s="18"/>
      <c r="G1966" s="17"/>
      <c r="H1966" s="17"/>
      <c r="J1966" s="18"/>
    </row>
    <row r="1967" spans="1:10" s="10" customFormat="1" x14ac:dyDescent="0.25">
      <c r="A1967" s="18"/>
      <c r="C1967" s="17"/>
      <c r="D1967" s="19"/>
      <c r="E1967" s="17"/>
      <c r="F1967" s="18"/>
      <c r="G1967" s="17"/>
      <c r="H1967" s="17"/>
      <c r="J1967" s="18"/>
    </row>
    <row r="1968" spans="1:10" s="10" customFormat="1" x14ac:dyDescent="0.25">
      <c r="A1968" s="18"/>
      <c r="C1968" s="17"/>
      <c r="D1968" s="19"/>
      <c r="E1968" s="17"/>
      <c r="F1968" s="18"/>
      <c r="G1968" s="17"/>
      <c r="H1968" s="17"/>
      <c r="J1968" s="18"/>
    </row>
    <row r="1969" spans="1:10" s="10" customFormat="1" x14ac:dyDescent="0.25">
      <c r="A1969" s="18"/>
      <c r="C1969" s="17"/>
      <c r="D1969" s="19"/>
      <c r="E1969" s="17"/>
      <c r="F1969" s="18"/>
      <c r="G1969" s="17"/>
      <c r="H1969" s="17"/>
      <c r="J1969" s="18"/>
    </row>
    <row r="1970" spans="1:10" s="10" customFormat="1" x14ac:dyDescent="0.25">
      <c r="A1970" s="18"/>
      <c r="C1970" s="17"/>
      <c r="D1970" s="19"/>
      <c r="E1970" s="17"/>
      <c r="F1970" s="18"/>
      <c r="G1970" s="17"/>
      <c r="H1970" s="17"/>
      <c r="J1970" s="18"/>
    </row>
    <row r="1971" spans="1:10" s="10" customFormat="1" x14ac:dyDescent="0.25">
      <c r="A1971" s="18"/>
      <c r="C1971" s="17"/>
      <c r="D1971" s="19"/>
      <c r="E1971" s="17"/>
      <c r="F1971" s="18"/>
      <c r="G1971" s="17"/>
      <c r="H1971" s="17"/>
      <c r="J1971" s="18"/>
    </row>
    <row r="1972" spans="1:10" s="10" customFormat="1" x14ac:dyDescent="0.25">
      <c r="A1972" s="18"/>
      <c r="C1972" s="17"/>
      <c r="D1972" s="19"/>
      <c r="E1972" s="17"/>
      <c r="F1972" s="18"/>
      <c r="G1972" s="17"/>
      <c r="H1972" s="17"/>
      <c r="J1972" s="18"/>
    </row>
    <row r="1973" spans="1:10" s="10" customFormat="1" x14ac:dyDescent="0.25">
      <c r="A1973" s="18"/>
      <c r="C1973" s="17"/>
      <c r="D1973" s="19"/>
      <c r="E1973" s="17"/>
      <c r="F1973" s="18"/>
      <c r="G1973" s="17"/>
      <c r="H1973" s="17"/>
      <c r="J1973" s="18"/>
    </row>
    <row r="1974" spans="1:10" s="10" customFormat="1" x14ac:dyDescent="0.25">
      <c r="A1974" s="18"/>
      <c r="C1974" s="17"/>
      <c r="D1974" s="19"/>
      <c r="E1974" s="17"/>
      <c r="F1974" s="18"/>
      <c r="G1974" s="17"/>
      <c r="H1974" s="17"/>
      <c r="J1974" s="18"/>
    </row>
    <row r="1975" spans="1:10" s="10" customFormat="1" x14ac:dyDescent="0.25">
      <c r="A1975" s="18"/>
      <c r="C1975" s="17"/>
      <c r="D1975" s="19"/>
      <c r="E1975" s="17"/>
      <c r="F1975" s="18"/>
      <c r="G1975" s="17"/>
      <c r="H1975" s="17"/>
      <c r="J1975" s="18"/>
    </row>
    <row r="1976" spans="1:10" s="10" customFormat="1" x14ac:dyDescent="0.25">
      <c r="A1976" s="18"/>
      <c r="C1976" s="17"/>
      <c r="D1976" s="19"/>
      <c r="E1976" s="17"/>
      <c r="F1976" s="18"/>
      <c r="G1976" s="17"/>
      <c r="H1976" s="17"/>
      <c r="J1976" s="18"/>
    </row>
    <row r="1977" spans="1:10" s="10" customFormat="1" x14ac:dyDescent="0.25">
      <c r="A1977" s="18"/>
      <c r="C1977" s="17"/>
      <c r="D1977" s="19"/>
      <c r="E1977" s="17"/>
      <c r="F1977" s="18"/>
      <c r="G1977" s="17"/>
      <c r="H1977" s="17"/>
      <c r="J1977" s="18"/>
    </row>
    <row r="1978" spans="1:10" s="10" customFormat="1" x14ac:dyDescent="0.25">
      <c r="A1978" s="18"/>
      <c r="C1978" s="17"/>
      <c r="D1978" s="19"/>
      <c r="E1978" s="17"/>
      <c r="F1978" s="18"/>
      <c r="G1978" s="17"/>
      <c r="H1978" s="17"/>
      <c r="J1978" s="18"/>
    </row>
    <row r="1979" spans="1:10" s="10" customFormat="1" x14ac:dyDescent="0.25">
      <c r="A1979" s="18"/>
      <c r="C1979" s="17"/>
      <c r="D1979" s="19"/>
      <c r="E1979" s="17"/>
      <c r="F1979" s="18"/>
      <c r="G1979" s="17"/>
      <c r="H1979" s="17"/>
      <c r="J1979" s="18"/>
    </row>
    <row r="1980" spans="1:10" s="10" customFormat="1" x14ac:dyDescent="0.25">
      <c r="A1980" s="18"/>
      <c r="C1980" s="17"/>
      <c r="D1980" s="19"/>
      <c r="E1980" s="17"/>
      <c r="F1980" s="18"/>
      <c r="G1980" s="17"/>
      <c r="H1980" s="17"/>
      <c r="J1980" s="18"/>
    </row>
    <row r="1981" spans="1:10" s="10" customFormat="1" x14ac:dyDescent="0.25">
      <c r="A1981" s="18"/>
      <c r="C1981" s="17"/>
      <c r="D1981" s="19"/>
      <c r="E1981" s="17"/>
      <c r="F1981" s="18"/>
      <c r="G1981" s="17"/>
      <c r="H1981" s="17"/>
      <c r="J1981" s="18"/>
    </row>
    <row r="1982" spans="1:10" s="10" customFormat="1" x14ac:dyDescent="0.25">
      <c r="A1982" s="18"/>
      <c r="C1982" s="17"/>
      <c r="D1982" s="19"/>
      <c r="E1982" s="17"/>
      <c r="F1982" s="18"/>
      <c r="G1982" s="17"/>
      <c r="H1982" s="17"/>
      <c r="J1982" s="18"/>
    </row>
    <row r="1983" spans="1:10" s="10" customFormat="1" x14ac:dyDescent="0.25">
      <c r="A1983" s="18"/>
      <c r="C1983" s="17"/>
      <c r="D1983" s="19"/>
      <c r="E1983" s="17"/>
      <c r="F1983" s="18"/>
      <c r="G1983" s="17"/>
      <c r="H1983" s="17"/>
      <c r="J1983" s="18"/>
    </row>
    <row r="1984" spans="1:10" s="10" customFormat="1" x14ac:dyDescent="0.25">
      <c r="A1984" s="18"/>
      <c r="C1984" s="17"/>
      <c r="D1984" s="19"/>
      <c r="E1984" s="17"/>
      <c r="F1984" s="18"/>
      <c r="G1984" s="17"/>
      <c r="H1984" s="17"/>
      <c r="J1984" s="18"/>
    </row>
    <row r="1985" spans="1:10" s="10" customFormat="1" x14ac:dyDescent="0.25">
      <c r="A1985" s="18"/>
      <c r="C1985" s="17"/>
      <c r="D1985" s="19"/>
      <c r="E1985" s="17"/>
      <c r="F1985" s="18"/>
      <c r="G1985" s="17"/>
      <c r="H1985" s="17"/>
      <c r="J1985" s="18"/>
    </row>
    <row r="1986" spans="1:10" s="10" customFormat="1" x14ac:dyDescent="0.25">
      <c r="A1986" s="18"/>
      <c r="C1986" s="17"/>
      <c r="D1986" s="19"/>
      <c r="E1986" s="17"/>
      <c r="F1986" s="18"/>
      <c r="G1986" s="17"/>
      <c r="H1986" s="17"/>
      <c r="J1986" s="18"/>
    </row>
    <row r="1987" spans="1:10" s="10" customFormat="1" x14ac:dyDescent="0.25">
      <c r="A1987" s="18"/>
      <c r="C1987" s="17"/>
      <c r="D1987" s="19"/>
      <c r="E1987" s="17"/>
      <c r="F1987" s="18"/>
      <c r="G1987" s="17"/>
      <c r="H1987" s="17"/>
      <c r="J1987" s="18"/>
    </row>
    <row r="1988" spans="1:10" s="10" customFormat="1" x14ac:dyDescent="0.25">
      <c r="A1988" s="18"/>
      <c r="C1988" s="17"/>
      <c r="D1988" s="19"/>
      <c r="E1988" s="17"/>
      <c r="F1988" s="18"/>
      <c r="G1988" s="17"/>
      <c r="H1988" s="17"/>
      <c r="J1988" s="18"/>
    </row>
    <row r="1989" spans="1:10" s="10" customFormat="1" x14ac:dyDescent="0.25">
      <c r="A1989" s="18"/>
      <c r="C1989" s="17"/>
      <c r="D1989" s="19"/>
      <c r="E1989" s="17"/>
      <c r="F1989" s="18"/>
      <c r="G1989" s="17"/>
      <c r="H1989" s="17"/>
      <c r="J1989" s="18"/>
    </row>
    <row r="1990" spans="1:10" s="10" customFormat="1" x14ac:dyDescent="0.25">
      <c r="A1990" s="18"/>
      <c r="C1990" s="17"/>
      <c r="D1990" s="19"/>
      <c r="E1990" s="17"/>
      <c r="F1990" s="18"/>
      <c r="G1990" s="17"/>
      <c r="H1990" s="17"/>
      <c r="J1990" s="18"/>
    </row>
    <row r="1991" spans="1:10" s="10" customFormat="1" x14ac:dyDescent="0.25">
      <c r="A1991" s="18"/>
      <c r="C1991" s="17"/>
      <c r="D1991" s="19"/>
      <c r="E1991" s="17"/>
      <c r="F1991" s="18"/>
      <c r="G1991" s="17"/>
      <c r="H1991" s="17"/>
      <c r="J1991" s="18"/>
    </row>
    <row r="1992" spans="1:10" s="10" customFormat="1" x14ac:dyDescent="0.25">
      <c r="A1992" s="18"/>
      <c r="C1992" s="17"/>
      <c r="D1992" s="19"/>
      <c r="E1992" s="17"/>
      <c r="F1992" s="18"/>
      <c r="G1992" s="17"/>
      <c r="H1992" s="17"/>
      <c r="J1992" s="18"/>
    </row>
    <row r="1993" spans="1:10" s="10" customFormat="1" x14ac:dyDescent="0.25">
      <c r="A1993" s="18"/>
      <c r="C1993" s="17"/>
      <c r="D1993" s="19"/>
      <c r="E1993" s="17"/>
      <c r="F1993" s="18"/>
      <c r="G1993" s="17"/>
      <c r="H1993" s="17"/>
      <c r="J1993" s="18"/>
    </row>
    <row r="1994" spans="1:10" s="10" customFormat="1" x14ac:dyDescent="0.25">
      <c r="A1994" s="18"/>
      <c r="C1994" s="17"/>
      <c r="D1994" s="19"/>
      <c r="E1994" s="17"/>
      <c r="F1994" s="18"/>
      <c r="G1994" s="17"/>
      <c r="H1994" s="17"/>
      <c r="J1994" s="18"/>
    </row>
    <row r="1995" spans="1:10" s="10" customFormat="1" x14ac:dyDescent="0.25">
      <c r="A1995" s="18"/>
      <c r="C1995" s="17"/>
      <c r="D1995" s="19"/>
      <c r="E1995" s="17"/>
      <c r="F1995" s="18"/>
      <c r="G1995" s="17"/>
      <c r="H1995" s="17"/>
      <c r="J1995" s="18"/>
    </row>
    <row r="1996" spans="1:10" s="10" customFormat="1" x14ac:dyDescent="0.25">
      <c r="A1996" s="18"/>
      <c r="C1996" s="17"/>
      <c r="D1996" s="19"/>
      <c r="E1996" s="17"/>
      <c r="F1996" s="18"/>
      <c r="G1996" s="17"/>
      <c r="H1996" s="17"/>
      <c r="J1996" s="18"/>
    </row>
    <row r="1997" spans="1:10" s="10" customFormat="1" x14ac:dyDescent="0.25">
      <c r="A1997" s="18"/>
      <c r="C1997" s="17"/>
      <c r="D1997" s="19"/>
      <c r="E1997" s="17"/>
      <c r="F1997" s="18"/>
      <c r="G1997" s="17"/>
      <c r="H1997" s="17"/>
      <c r="J1997" s="18"/>
    </row>
    <row r="1998" spans="1:10" s="10" customFormat="1" x14ac:dyDescent="0.25">
      <c r="A1998" s="18"/>
      <c r="C1998" s="17"/>
      <c r="D1998" s="19"/>
      <c r="E1998" s="17"/>
      <c r="F1998" s="18"/>
      <c r="G1998" s="17"/>
      <c r="H1998" s="17"/>
      <c r="J1998" s="18"/>
    </row>
    <row r="1999" spans="1:10" s="10" customFormat="1" x14ac:dyDescent="0.25">
      <c r="A1999" s="18"/>
      <c r="C1999" s="17"/>
      <c r="D1999" s="19"/>
      <c r="E1999" s="17"/>
      <c r="F1999" s="18"/>
      <c r="G1999" s="17"/>
      <c r="H1999" s="17"/>
      <c r="J1999" s="18"/>
    </row>
    <row r="2000" spans="1:10" s="10" customFormat="1" x14ac:dyDescent="0.25">
      <c r="A2000" s="18"/>
      <c r="C2000" s="17"/>
      <c r="D2000" s="19"/>
      <c r="E2000" s="17"/>
      <c r="F2000" s="18"/>
      <c r="G2000" s="17"/>
      <c r="H2000" s="17"/>
      <c r="J2000" s="18"/>
    </row>
    <row r="2001" spans="1:10" s="10" customFormat="1" x14ac:dyDescent="0.25">
      <c r="A2001" s="18"/>
      <c r="C2001" s="17"/>
      <c r="D2001" s="19"/>
      <c r="E2001" s="17"/>
      <c r="F2001" s="18"/>
      <c r="G2001" s="17"/>
      <c r="H2001" s="17"/>
      <c r="J2001" s="18"/>
    </row>
    <row r="2002" spans="1:10" s="10" customFormat="1" x14ac:dyDescent="0.25">
      <c r="A2002" s="18"/>
      <c r="C2002" s="17"/>
      <c r="D2002" s="19"/>
      <c r="E2002" s="17"/>
      <c r="F2002" s="18"/>
      <c r="G2002" s="17"/>
      <c r="H2002" s="17"/>
      <c r="J2002" s="18"/>
    </row>
    <row r="2003" spans="1:10" s="10" customFormat="1" x14ac:dyDescent="0.25">
      <c r="A2003" s="18"/>
      <c r="C2003" s="17"/>
      <c r="D2003" s="19"/>
      <c r="E2003" s="17"/>
      <c r="F2003" s="18"/>
      <c r="G2003" s="17"/>
      <c r="H2003" s="17"/>
      <c r="J2003" s="18"/>
    </row>
    <row r="2004" spans="1:10" s="10" customFormat="1" x14ac:dyDescent="0.25">
      <c r="A2004" s="18"/>
      <c r="C2004" s="17"/>
      <c r="D2004" s="19"/>
      <c r="E2004" s="17"/>
      <c r="F2004" s="18"/>
      <c r="G2004" s="17"/>
      <c r="H2004" s="17"/>
      <c r="J2004" s="18"/>
    </row>
    <row r="2005" spans="1:10" s="10" customFormat="1" x14ac:dyDescent="0.25">
      <c r="A2005" s="18"/>
      <c r="C2005" s="17"/>
      <c r="D2005" s="19"/>
      <c r="E2005" s="17"/>
      <c r="F2005" s="18"/>
      <c r="G2005" s="17"/>
      <c r="H2005" s="17"/>
      <c r="J2005" s="18"/>
    </row>
    <row r="2006" spans="1:10" s="10" customFormat="1" x14ac:dyDescent="0.25">
      <c r="A2006" s="18"/>
      <c r="C2006" s="17"/>
      <c r="D2006" s="19"/>
      <c r="E2006" s="17"/>
      <c r="F2006" s="18"/>
      <c r="G2006" s="17"/>
      <c r="H2006" s="17"/>
      <c r="J2006" s="18"/>
    </row>
    <row r="2007" spans="1:10" s="10" customFormat="1" x14ac:dyDescent="0.25">
      <c r="A2007" s="18"/>
      <c r="C2007" s="17"/>
      <c r="D2007" s="19"/>
      <c r="E2007" s="17"/>
      <c r="F2007" s="18"/>
      <c r="G2007" s="17"/>
      <c r="H2007" s="17"/>
      <c r="J2007" s="18"/>
    </row>
    <row r="2008" spans="1:10" s="10" customFormat="1" x14ac:dyDescent="0.25">
      <c r="A2008" s="18"/>
      <c r="C2008" s="17"/>
      <c r="D2008" s="19"/>
      <c r="E2008" s="17"/>
      <c r="F2008" s="18"/>
      <c r="G2008" s="17"/>
      <c r="H2008" s="17"/>
      <c r="J2008" s="18"/>
    </row>
    <row r="2009" spans="1:10" s="10" customFormat="1" x14ac:dyDescent="0.25">
      <c r="A2009" s="18"/>
      <c r="C2009" s="17"/>
      <c r="D2009" s="19"/>
      <c r="E2009" s="17"/>
      <c r="F2009" s="18"/>
      <c r="G2009" s="17"/>
      <c r="H2009" s="17"/>
      <c r="J2009" s="18"/>
    </row>
    <row r="2010" spans="1:10" s="10" customFormat="1" x14ac:dyDescent="0.25">
      <c r="A2010" s="18"/>
      <c r="C2010" s="17"/>
      <c r="D2010" s="19"/>
      <c r="E2010" s="17"/>
      <c r="F2010" s="18"/>
      <c r="G2010" s="17"/>
      <c r="H2010" s="17"/>
      <c r="J2010" s="18"/>
    </row>
    <row r="2011" spans="1:10" s="10" customFormat="1" x14ac:dyDescent="0.25">
      <c r="A2011" s="18"/>
      <c r="C2011" s="17"/>
      <c r="D2011" s="19"/>
      <c r="E2011" s="17"/>
      <c r="F2011" s="18"/>
      <c r="G2011" s="17"/>
      <c r="H2011" s="17"/>
      <c r="J2011" s="18"/>
    </row>
    <row r="2012" spans="1:10" s="10" customFormat="1" x14ac:dyDescent="0.25">
      <c r="A2012" s="18"/>
      <c r="C2012" s="17"/>
      <c r="D2012" s="19"/>
      <c r="E2012" s="17"/>
      <c r="F2012" s="18"/>
      <c r="G2012" s="17"/>
      <c r="H2012" s="17"/>
      <c r="J2012" s="18"/>
    </row>
    <row r="2013" spans="1:10" s="10" customFormat="1" x14ac:dyDescent="0.25">
      <c r="A2013" s="18"/>
      <c r="C2013" s="17"/>
      <c r="D2013" s="19"/>
      <c r="E2013" s="17"/>
      <c r="F2013" s="18"/>
      <c r="G2013" s="17"/>
      <c r="H2013" s="17"/>
      <c r="J2013" s="18"/>
    </row>
    <row r="2014" spans="1:10" s="10" customFormat="1" x14ac:dyDescent="0.25">
      <c r="A2014" s="18"/>
      <c r="C2014" s="17"/>
      <c r="D2014" s="19"/>
      <c r="E2014" s="17"/>
      <c r="F2014" s="18"/>
      <c r="G2014" s="17"/>
      <c r="H2014" s="17"/>
      <c r="J2014" s="18"/>
    </row>
    <row r="2015" spans="1:10" s="10" customFormat="1" x14ac:dyDescent="0.25">
      <c r="A2015" s="18"/>
      <c r="C2015" s="17"/>
      <c r="D2015" s="19"/>
      <c r="E2015" s="17"/>
      <c r="F2015" s="18"/>
      <c r="G2015" s="17"/>
      <c r="H2015" s="17"/>
      <c r="J2015" s="18"/>
    </row>
    <row r="2016" spans="1:10" s="10" customFormat="1" x14ac:dyDescent="0.25">
      <c r="A2016" s="18"/>
      <c r="C2016" s="17"/>
      <c r="D2016" s="19"/>
      <c r="E2016" s="17"/>
      <c r="F2016" s="18"/>
      <c r="G2016" s="17"/>
      <c r="H2016" s="17"/>
      <c r="J2016" s="18"/>
    </row>
    <row r="2017" spans="1:10" s="10" customFormat="1" x14ac:dyDescent="0.25">
      <c r="A2017" s="18"/>
      <c r="C2017" s="17"/>
      <c r="D2017" s="19"/>
      <c r="E2017" s="17"/>
      <c r="F2017" s="18"/>
      <c r="G2017" s="17"/>
      <c r="H2017" s="17"/>
      <c r="J2017" s="18"/>
    </row>
    <row r="2018" spans="1:10" s="10" customFormat="1" x14ac:dyDescent="0.25">
      <c r="A2018" s="18"/>
      <c r="C2018" s="17"/>
      <c r="D2018" s="19"/>
      <c r="E2018" s="17"/>
      <c r="F2018" s="18"/>
      <c r="G2018" s="17"/>
      <c r="H2018" s="17"/>
      <c r="J2018" s="18"/>
    </row>
    <row r="2019" spans="1:10" s="10" customFormat="1" x14ac:dyDescent="0.25">
      <c r="A2019" s="18"/>
      <c r="C2019" s="17"/>
      <c r="D2019" s="19"/>
      <c r="E2019" s="17"/>
      <c r="F2019" s="18"/>
      <c r="G2019" s="17"/>
      <c r="H2019" s="17"/>
      <c r="J2019" s="18"/>
    </row>
    <row r="2020" spans="1:10" s="10" customFormat="1" x14ac:dyDescent="0.25">
      <c r="A2020" s="18"/>
      <c r="C2020" s="17"/>
      <c r="D2020" s="19"/>
      <c r="E2020" s="17"/>
      <c r="F2020" s="18"/>
      <c r="G2020" s="17"/>
      <c r="H2020" s="17"/>
      <c r="J2020" s="18"/>
    </row>
    <row r="2021" spans="1:10" s="10" customFormat="1" x14ac:dyDescent="0.25">
      <c r="A2021" s="18"/>
      <c r="C2021" s="17"/>
      <c r="D2021" s="19"/>
      <c r="E2021" s="17"/>
      <c r="F2021" s="18"/>
      <c r="G2021" s="17"/>
      <c r="H2021" s="17"/>
      <c r="J2021" s="18"/>
    </row>
    <row r="2022" spans="1:10" s="10" customFormat="1" x14ac:dyDescent="0.25">
      <c r="A2022" s="18"/>
      <c r="C2022" s="17"/>
      <c r="D2022" s="19"/>
      <c r="E2022" s="17"/>
      <c r="F2022" s="18"/>
      <c r="G2022" s="17"/>
      <c r="H2022" s="17"/>
      <c r="J2022" s="18"/>
    </row>
    <row r="2023" spans="1:10" s="10" customFormat="1" x14ac:dyDescent="0.25">
      <c r="A2023" s="18"/>
      <c r="C2023" s="17"/>
      <c r="D2023" s="19"/>
      <c r="E2023" s="17"/>
      <c r="F2023" s="18"/>
      <c r="G2023" s="17"/>
      <c r="H2023" s="17"/>
      <c r="J2023" s="18"/>
    </row>
    <row r="2024" spans="1:10" s="10" customFormat="1" x14ac:dyDescent="0.25">
      <c r="A2024" s="18"/>
      <c r="C2024" s="17"/>
      <c r="D2024" s="19"/>
      <c r="E2024" s="17"/>
      <c r="F2024" s="18"/>
      <c r="G2024" s="17"/>
      <c r="H2024" s="17"/>
      <c r="J2024" s="18"/>
    </row>
    <row r="2025" spans="1:10" s="10" customFormat="1" x14ac:dyDescent="0.25">
      <c r="A2025" s="18"/>
      <c r="C2025" s="17"/>
      <c r="D2025" s="19"/>
      <c r="E2025" s="17"/>
      <c r="F2025" s="18"/>
      <c r="G2025" s="17"/>
      <c r="H2025" s="17"/>
      <c r="J2025" s="18"/>
    </row>
    <row r="2026" spans="1:10" s="10" customFormat="1" x14ac:dyDescent="0.25">
      <c r="A2026" s="18"/>
      <c r="C2026" s="17"/>
      <c r="D2026" s="19"/>
      <c r="E2026" s="17"/>
      <c r="F2026" s="18"/>
      <c r="G2026" s="17"/>
      <c r="H2026" s="17"/>
      <c r="J2026" s="18"/>
    </row>
    <row r="2027" spans="1:10" s="10" customFormat="1" x14ac:dyDescent="0.25">
      <c r="A2027" s="18"/>
      <c r="C2027" s="17"/>
      <c r="D2027" s="19"/>
      <c r="E2027" s="17"/>
      <c r="F2027" s="18"/>
      <c r="G2027" s="17"/>
      <c r="H2027" s="17"/>
      <c r="J2027" s="18"/>
    </row>
    <row r="2028" spans="1:10" s="10" customFormat="1" x14ac:dyDescent="0.25">
      <c r="A2028" s="18"/>
      <c r="C2028" s="17"/>
      <c r="D2028" s="19"/>
      <c r="E2028" s="17"/>
      <c r="F2028" s="18"/>
      <c r="G2028" s="17"/>
      <c r="H2028" s="17"/>
      <c r="J2028" s="18"/>
    </row>
    <row r="2029" spans="1:10" s="10" customFormat="1" x14ac:dyDescent="0.25">
      <c r="A2029" s="18"/>
      <c r="C2029" s="17"/>
      <c r="D2029" s="19"/>
      <c r="E2029" s="17"/>
      <c r="F2029" s="18"/>
      <c r="G2029" s="17"/>
      <c r="H2029" s="17"/>
      <c r="J2029" s="18"/>
    </row>
    <row r="2030" spans="1:10" s="10" customFormat="1" x14ac:dyDescent="0.25">
      <c r="A2030" s="18"/>
      <c r="C2030" s="17"/>
      <c r="D2030" s="19"/>
      <c r="E2030" s="17"/>
      <c r="F2030" s="18"/>
      <c r="G2030" s="17"/>
      <c r="H2030" s="17"/>
      <c r="J2030" s="18"/>
    </row>
    <row r="2031" spans="1:10" s="10" customFormat="1" x14ac:dyDescent="0.25">
      <c r="A2031" s="18"/>
      <c r="C2031" s="17"/>
      <c r="D2031" s="19"/>
      <c r="E2031" s="17"/>
      <c r="F2031" s="18"/>
      <c r="G2031" s="17"/>
      <c r="H2031" s="17"/>
      <c r="J2031" s="18"/>
    </row>
    <row r="2032" spans="1:10" s="10" customFormat="1" x14ac:dyDescent="0.25">
      <c r="A2032" s="18"/>
      <c r="C2032" s="17"/>
      <c r="D2032" s="19"/>
      <c r="E2032" s="17"/>
      <c r="F2032" s="18"/>
      <c r="G2032" s="17"/>
      <c r="H2032" s="17"/>
      <c r="J2032" s="18"/>
    </row>
    <row r="2033" spans="1:10" s="10" customFormat="1" x14ac:dyDescent="0.25">
      <c r="A2033" s="18"/>
      <c r="C2033" s="17"/>
      <c r="D2033" s="19"/>
      <c r="E2033" s="17"/>
      <c r="F2033" s="18"/>
      <c r="G2033" s="17"/>
      <c r="H2033" s="17"/>
      <c r="J2033" s="18"/>
    </row>
    <row r="2034" spans="1:10" s="10" customFormat="1" x14ac:dyDescent="0.25">
      <c r="A2034" s="18"/>
      <c r="C2034" s="17"/>
      <c r="D2034" s="19"/>
      <c r="E2034" s="17"/>
      <c r="F2034" s="18"/>
      <c r="G2034" s="17"/>
      <c r="H2034" s="17"/>
      <c r="J2034" s="18"/>
    </row>
    <row r="2035" spans="1:10" s="10" customFormat="1" x14ac:dyDescent="0.25">
      <c r="A2035" s="18"/>
      <c r="C2035" s="17"/>
      <c r="D2035" s="19"/>
      <c r="E2035" s="17"/>
      <c r="F2035" s="18"/>
      <c r="G2035" s="17"/>
      <c r="H2035" s="17"/>
      <c r="J2035" s="18"/>
    </row>
    <row r="2036" spans="1:10" s="10" customFormat="1" x14ac:dyDescent="0.25">
      <c r="A2036" s="18"/>
      <c r="C2036" s="17"/>
      <c r="D2036" s="19"/>
      <c r="E2036" s="17"/>
      <c r="F2036" s="18"/>
      <c r="G2036" s="17"/>
      <c r="H2036" s="17"/>
      <c r="J2036" s="18"/>
    </row>
    <row r="2037" spans="1:10" s="10" customFormat="1" x14ac:dyDescent="0.25">
      <c r="A2037" s="18"/>
      <c r="C2037" s="17"/>
      <c r="D2037" s="19"/>
      <c r="E2037" s="17"/>
      <c r="F2037" s="18"/>
      <c r="G2037" s="17"/>
      <c r="H2037" s="17"/>
      <c r="J2037" s="18"/>
    </row>
    <row r="2038" spans="1:10" s="10" customFormat="1" x14ac:dyDescent="0.25">
      <c r="A2038" s="18"/>
      <c r="C2038" s="17"/>
      <c r="D2038" s="19"/>
      <c r="E2038" s="17"/>
      <c r="F2038" s="18"/>
      <c r="G2038" s="17"/>
      <c r="H2038" s="17"/>
      <c r="J2038" s="18"/>
    </row>
    <row r="2039" spans="1:10" s="10" customFormat="1" x14ac:dyDescent="0.25">
      <c r="A2039" s="18"/>
      <c r="C2039" s="17"/>
      <c r="D2039" s="19"/>
      <c r="E2039" s="17"/>
      <c r="F2039" s="18"/>
      <c r="G2039" s="17"/>
      <c r="H2039" s="17"/>
      <c r="J2039" s="18"/>
    </row>
    <row r="2040" spans="1:10" s="10" customFormat="1" x14ac:dyDescent="0.25">
      <c r="A2040" s="18"/>
      <c r="C2040" s="17"/>
      <c r="D2040" s="19"/>
      <c r="E2040" s="17"/>
      <c r="F2040" s="18"/>
      <c r="G2040" s="17"/>
      <c r="H2040" s="17"/>
      <c r="J2040" s="18"/>
    </row>
    <row r="2041" spans="1:10" s="10" customFormat="1" x14ac:dyDescent="0.25">
      <c r="A2041" s="18"/>
      <c r="C2041" s="17"/>
      <c r="D2041" s="19"/>
      <c r="E2041" s="17"/>
      <c r="F2041" s="18"/>
      <c r="G2041" s="17"/>
      <c r="H2041" s="17"/>
      <c r="J2041" s="18"/>
    </row>
    <row r="2042" spans="1:10" s="10" customFormat="1" x14ac:dyDescent="0.25">
      <c r="A2042" s="18"/>
      <c r="C2042" s="17"/>
      <c r="D2042" s="19"/>
      <c r="E2042" s="17"/>
      <c r="F2042" s="18"/>
      <c r="G2042" s="17"/>
      <c r="H2042" s="17"/>
      <c r="J2042" s="18"/>
    </row>
    <row r="2043" spans="1:10" s="10" customFormat="1" x14ac:dyDescent="0.25">
      <c r="A2043" s="18"/>
      <c r="C2043" s="17"/>
      <c r="D2043" s="19"/>
      <c r="E2043" s="17"/>
      <c r="F2043" s="18"/>
      <c r="G2043" s="17"/>
      <c r="H2043" s="17"/>
      <c r="J2043" s="18"/>
    </row>
    <row r="2044" spans="1:10" s="10" customFormat="1" x14ac:dyDescent="0.25">
      <c r="A2044" s="18"/>
      <c r="C2044" s="17"/>
      <c r="D2044" s="19"/>
      <c r="E2044" s="17"/>
      <c r="F2044" s="18"/>
      <c r="G2044" s="17"/>
      <c r="H2044" s="17"/>
      <c r="J2044" s="18"/>
    </row>
    <row r="2045" spans="1:10" s="10" customFormat="1" x14ac:dyDescent="0.25">
      <c r="A2045" s="18"/>
      <c r="C2045" s="17"/>
      <c r="D2045" s="19"/>
      <c r="E2045" s="17"/>
      <c r="F2045" s="18"/>
      <c r="G2045" s="17"/>
      <c r="H2045" s="17"/>
      <c r="J2045" s="18"/>
    </row>
    <row r="2046" spans="1:10" s="10" customFormat="1" x14ac:dyDescent="0.25">
      <c r="A2046" s="18"/>
      <c r="C2046" s="17"/>
      <c r="D2046" s="19"/>
      <c r="E2046" s="17"/>
      <c r="F2046" s="18"/>
      <c r="G2046" s="17"/>
      <c r="H2046" s="17"/>
      <c r="J2046" s="18"/>
    </row>
    <row r="2047" spans="1:10" s="10" customFormat="1" x14ac:dyDescent="0.25">
      <c r="A2047" s="18"/>
      <c r="C2047" s="17"/>
      <c r="D2047" s="19"/>
      <c r="E2047" s="17"/>
      <c r="F2047" s="18"/>
      <c r="G2047" s="17"/>
      <c r="H2047" s="17"/>
      <c r="J2047" s="18"/>
    </row>
    <row r="2048" spans="1:10" s="10" customFormat="1" x14ac:dyDescent="0.25">
      <c r="A2048" s="18"/>
      <c r="C2048" s="17"/>
      <c r="D2048" s="19"/>
      <c r="E2048" s="17"/>
      <c r="F2048" s="18"/>
      <c r="G2048" s="17"/>
      <c r="H2048" s="17"/>
      <c r="J2048" s="18"/>
    </row>
    <row r="2049" spans="1:10" s="10" customFormat="1" x14ac:dyDescent="0.25">
      <c r="A2049" s="18"/>
      <c r="C2049" s="17"/>
      <c r="D2049" s="19"/>
      <c r="E2049" s="17"/>
      <c r="F2049" s="18"/>
      <c r="G2049" s="17"/>
      <c r="H2049" s="17"/>
      <c r="J2049" s="18"/>
    </row>
    <row r="2050" spans="1:10" s="10" customFormat="1" x14ac:dyDescent="0.25">
      <c r="A2050" s="18"/>
      <c r="C2050" s="17"/>
      <c r="D2050" s="19"/>
      <c r="E2050" s="17"/>
      <c r="F2050" s="18"/>
      <c r="G2050" s="17"/>
      <c r="H2050" s="17"/>
      <c r="J2050" s="18"/>
    </row>
    <row r="2051" spans="1:10" s="10" customFormat="1" x14ac:dyDescent="0.25">
      <c r="A2051" s="18"/>
      <c r="C2051" s="17"/>
      <c r="D2051" s="19"/>
      <c r="E2051" s="17"/>
      <c r="F2051" s="18"/>
      <c r="G2051" s="17"/>
      <c r="H2051" s="17"/>
      <c r="J2051" s="18"/>
    </row>
    <row r="2052" spans="1:10" s="10" customFormat="1" x14ac:dyDescent="0.25">
      <c r="A2052" s="18"/>
      <c r="C2052" s="17"/>
      <c r="D2052" s="19"/>
      <c r="E2052" s="17"/>
      <c r="F2052" s="18"/>
      <c r="G2052" s="17"/>
      <c r="H2052" s="17"/>
      <c r="J2052" s="18"/>
    </row>
    <row r="2053" spans="1:10" s="10" customFormat="1" x14ac:dyDescent="0.25">
      <c r="A2053" s="18"/>
      <c r="C2053" s="17"/>
      <c r="D2053" s="19"/>
      <c r="E2053" s="17"/>
      <c r="F2053" s="18"/>
      <c r="G2053" s="17"/>
      <c r="H2053" s="17"/>
      <c r="J2053" s="18"/>
    </row>
    <row r="2054" spans="1:10" s="10" customFormat="1" x14ac:dyDescent="0.25">
      <c r="A2054" s="18"/>
      <c r="C2054" s="17"/>
      <c r="D2054" s="19"/>
      <c r="E2054" s="17"/>
      <c r="F2054" s="18"/>
      <c r="G2054" s="17"/>
      <c r="H2054" s="17"/>
      <c r="J2054" s="18"/>
    </row>
    <row r="2055" spans="1:10" s="10" customFormat="1" x14ac:dyDescent="0.25">
      <c r="A2055" s="18"/>
      <c r="C2055" s="17"/>
      <c r="D2055" s="19"/>
      <c r="E2055" s="17"/>
      <c r="F2055" s="18"/>
      <c r="G2055" s="17"/>
      <c r="H2055" s="17"/>
      <c r="J2055" s="18"/>
    </row>
    <row r="2056" spans="1:10" s="10" customFormat="1" x14ac:dyDescent="0.25">
      <c r="A2056" s="18"/>
      <c r="C2056" s="17"/>
      <c r="D2056" s="19"/>
      <c r="E2056" s="17"/>
      <c r="F2056" s="18"/>
      <c r="G2056" s="17"/>
      <c r="H2056" s="17"/>
      <c r="J2056" s="18"/>
    </row>
    <row r="2057" spans="1:10" s="10" customFormat="1" x14ac:dyDescent="0.25">
      <c r="A2057" s="18"/>
      <c r="C2057" s="17"/>
      <c r="D2057" s="19"/>
      <c r="E2057" s="17"/>
      <c r="F2057" s="18"/>
      <c r="G2057" s="17"/>
      <c r="H2057" s="17"/>
      <c r="J2057" s="18"/>
    </row>
    <row r="2058" spans="1:10" s="10" customFormat="1" x14ac:dyDescent="0.25">
      <c r="A2058" s="18"/>
      <c r="C2058" s="17"/>
      <c r="D2058" s="19"/>
      <c r="E2058" s="17"/>
      <c r="F2058" s="18"/>
      <c r="G2058" s="17"/>
      <c r="H2058" s="17"/>
      <c r="J2058" s="18"/>
    </row>
    <row r="2059" spans="1:10" s="10" customFormat="1" x14ac:dyDescent="0.25">
      <c r="A2059" s="18"/>
      <c r="C2059" s="17"/>
      <c r="D2059" s="19"/>
      <c r="E2059" s="17"/>
      <c r="F2059" s="18"/>
      <c r="G2059" s="17"/>
      <c r="H2059" s="17"/>
      <c r="J2059" s="18"/>
    </row>
    <row r="2060" spans="1:10" s="10" customFormat="1" x14ac:dyDescent="0.25">
      <c r="A2060" s="18"/>
      <c r="C2060" s="17"/>
      <c r="D2060" s="19"/>
      <c r="E2060" s="17"/>
      <c r="F2060" s="18"/>
      <c r="G2060" s="17"/>
      <c r="H2060" s="17"/>
      <c r="J2060" s="18"/>
    </row>
    <row r="2061" spans="1:10" s="10" customFormat="1" x14ac:dyDescent="0.25">
      <c r="A2061" s="18"/>
      <c r="C2061" s="17"/>
      <c r="D2061" s="19"/>
      <c r="E2061" s="17"/>
      <c r="F2061" s="18"/>
      <c r="G2061" s="17"/>
      <c r="H2061" s="17"/>
      <c r="J2061" s="18"/>
    </row>
    <row r="2062" spans="1:10" s="10" customFormat="1" x14ac:dyDescent="0.25">
      <c r="A2062" s="18"/>
      <c r="C2062" s="17"/>
      <c r="D2062" s="19"/>
      <c r="E2062" s="17"/>
      <c r="F2062" s="18"/>
      <c r="G2062" s="17"/>
      <c r="H2062" s="17"/>
      <c r="J2062" s="18"/>
    </row>
    <row r="2063" spans="1:10" s="10" customFormat="1" x14ac:dyDescent="0.25">
      <c r="A2063" s="18"/>
      <c r="C2063" s="17"/>
      <c r="D2063" s="19"/>
      <c r="E2063" s="17"/>
      <c r="F2063" s="18"/>
      <c r="G2063" s="17"/>
      <c r="H2063" s="17"/>
      <c r="J2063" s="18"/>
    </row>
    <row r="2064" spans="1:10" s="10" customFormat="1" x14ac:dyDescent="0.25">
      <c r="A2064" s="18"/>
      <c r="C2064" s="17"/>
      <c r="D2064" s="19"/>
      <c r="E2064" s="17"/>
      <c r="F2064" s="18"/>
      <c r="G2064" s="17"/>
      <c r="H2064" s="17"/>
      <c r="J2064" s="18"/>
    </row>
    <row r="2065" spans="1:10" s="10" customFormat="1" x14ac:dyDescent="0.25">
      <c r="A2065" s="18"/>
      <c r="C2065" s="17"/>
      <c r="D2065" s="19"/>
      <c r="E2065" s="17"/>
      <c r="F2065" s="18"/>
      <c r="G2065" s="17"/>
      <c r="H2065" s="17"/>
      <c r="J2065" s="18"/>
    </row>
    <row r="2066" spans="1:10" s="10" customFormat="1" x14ac:dyDescent="0.25">
      <c r="A2066" s="18"/>
      <c r="C2066" s="17"/>
      <c r="D2066" s="19"/>
      <c r="E2066" s="17"/>
      <c r="F2066" s="18"/>
      <c r="G2066" s="17"/>
      <c r="H2066" s="17"/>
      <c r="J2066" s="18"/>
    </row>
    <row r="2067" spans="1:10" s="10" customFormat="1" x14ac:dyDescent="0.25">
      <c r="A2067" s="18"/>
      <c r="C2067" s="17"/>
      <c r="D2067" s="19"/>
      <c r="E2067" s="17"/>
      <c r="F2067" s="18"/>
      <c r="G2067" s="17"/>
      <c r="H2067" s="17"/>
      <c r="J2067" s="18"/>
    </row>
    <row r="2068" spans="1:10" s="10" customFormat="1" x14ac:dyDescent="0.25">
      <c r="A2068" s="18"/>
      <c r="C2068" s="17"/>
      <c r="D2068" s="19"/>
      <c r="E2068" s="17"/>
      <c r="F2068" s="18"/>
      <c r="G2068" s="17"/>
      <c r="H2068" s="17"/>
      <c r="J2068" s="18"/>
    </row>
    <row r="2069" spans="1:10" s="10" customFormat="1" x14ac:dyDescent="0.25">
      <c r="A2069" s="18"/>
      <c r="C2069" s="17"/>
      <c r="D2069" s="19"/>
      <c r="E2069" s="17"/>
      <c r="F2069" s="18"/>
      <c r="G2069" s="17"/>
      <c r="H2069" s="17"/>
      <c r="J2069" s="18"/>
    </row>
    <row r="2070" spans="1:10" s="10" customFormat="1" x14ac:dyDescent="0.25">
      <c r="A2070" s="18"/>
      <c r="C2070" s="17"/>
      <c r="D2070" s="19"/>
      <c r="E2070" s="17"/>
      <c r="F2070" s="18"/>
      <c r="G2070" s="17"/>
      <c r="H2070" s="17"/>
      <c r="J2070" s="18"/>
    </row>
    <row r="2071" spans="1:10" s="10" customFormat="1" x14ac:dyDescent="0.25">
      <c r="A2071" s="18"/>
      <c r="C2071" s="17"/>
      <c r="D2071" s="19"/>
      <c r="E2071" s="17"/>
      <c r="F2071" s="18"/>
      <c r="G2071" s="17"/>
      <c r="H2071" s="17"/>
      <c r="J2071" s="18"/>
    </row>
    <row r="2072" spans="1:10" s="10" customFormat="1" x14ac:dyDescent="0.25">
      <c r="A2072" s="18"/>
      <c r="C2072" s="17"/>
      <c r="D2072" s="19"/>
      <c r="E2072" s="17"/>
      <c r="F2072" s="18"/>
      <c r="G2072" s="17"/>
      <c r="H2072" s="17"/>
      <c r="J2072" s="18"/>
    </row>
    <row r="2073" spans="1:10" s="10" customFormat="1" x14ac:dyDescent="0.25">
      <c r="A2073" s="18"/>
      <c r="C2073" s="17"/>
      <c r="D2073" s="19"/>
      <c r="E2073" s="17"/>
      <c r="F2073" s="18"/>
      <c r="G2073" s="17"/>
      <c r="H2073" s="17"/>
      <c r="J2073" s="18"/>
    </row>
    <row r="2074" spans="1:10" s="10" customFormat="1" x14ac:dyDescent="0.25">
      <c r="A2074" s="18"/>
      <c r="C2074" s="17"/>
      <c r="D2074" s="19"/>
      <c r="E2074" s="17"/>
      <c r="F2074" s="18"/>
      <c r="G2074" s="17"/>
      <c r="H2074" s="17"/>
      <c r="J2074" s="18"/>
    </row>
    <row r="2075" spans="1:10" s="10" customFormat="1" x14ac:dyDescent="0.25">
      <c r="A2075" s="18"/>
      <c r="C2075" s="17"/>
      <c r="D2075" s="19"/>
      <c r="E2075" s="17"/>
      <c r="F2075" s="18"/>
      <c r="G2075" s="17"/>
      <c r="H2075" s="17"/>
      <c r="J2075" s="18"/>
    </row>
    <row r="2076" spans="1:10" s="10" customFormat="1" x14ac:dyDescent="0.25">
      <c r="A2076" s="18"/>
      <c r="C2076" s="17"/>
      <c r="D2076" s="19"/>
      <c r="E2076" s="17"/>
      <c r="F2076" s="18"/>
      <c r="G2076" s="17"/>
      <c r="H2076" s="17"/>
      <c r="J2076" s="18"/>
    </row>
    <row r="2077" spans="1:10" s="10" customFormat="1" x14ac:dyDescent="0.25">
      <c r="A2077" s="18"/>
      <c r="C2077" s="17"/>
      <c r="D2077" s="19"/>
      <c r="E2077" s="17"/>
      <c r="F2077" s="18"/>
      <c r="G2077" s="17"/>
      <c r="H2077" s="17"/>
      <c r="J2077" s="18"/>
    </row>
    <row r="2078" spans="1:10" s="10" customFormat="1" x14ac:dyDescent="0.25">
      <c r="A2078" s="18"/>
      <c r="C2078" s="17"/>
      <c r="D2078" s="19"/>
      <c r="E2078" s="17"/>
      <c r="F2078" s="18"/>
      <c r="G2078" s="17"/>
      <c r="H2078" s="17"/>
      <c r="J2078" s="18"/>
    </row>
    <row r="2079" spans="1:10" s="10" customFormat="1" x14ac:dyDescent="0.25">
      <c r="A2079" s="18"/>
      <c r="C2079" s="17"/>
      <c r="D2079" s="19"/>
      <c r="E2079" s="17"/>
      <c r="F2079" s="18"/>
      <c r="G2079" s="17"/>
      <c r="H2079" s="17"/>
      <c r="J2079" s="18"/>
    </row>
    <row r="2080" spans="1:10" s="10" customFormat="1" x14ac:dyDescent="0.25">
      <c r="A2080" s="18"/>
      <c r="C2080" s="17"/>
      <c r="D2080" s="19"/>
      <c r="E2080" s="17"/>
      <c r="F2080" s="18"/>
      <c r="G2080" s="17"/>
      <c r="H2080" s="17"/>
      <c r="J2080" s="18"/>
    </row>
    <row r="2081" spans="1:10" s="10" customFormat="1" x14ac:dyDescent="0.25">
      <c r="A2081" s="18"/>
      <c r="C2081" s="17"/>
      <c r="D2081" s="19"/>
      <c r="E2081" s="17"/>
      <c r="F2081" s="18"/>
      <c r="G2081" s="17"/>
      <c r="H2081" s="17"/>
      <c r="J2081" s="18"/>
    </row>
    <row r="2082" spans="1:10" s="10" customFormat="1" x14ac:dyDescent="0.25">
      <c r="A2082" s="18"/>
      <c r="C2082" s="17"/>
      <c r="D2082" s="19"/>
      <c r="E2082" s="17"/>
      <c r="F2082" s="18"/>
      <c r="G2082" s="17"/>
      <c r="H2082" s="17"/>
      <c r="J2082" s="18"/>
    </row>
    <row r="2083" spans="1:10" s="10" customFormat="1" x14ac:dyDescent="0.25">
      <c r="A2083" s="18"/>
      <c r="C2083" s="17"/>
      <c r="D2083" s="19"/>
      <c r="E2083" s="17"/>
      <c r="F2083" s="18"/>
      <c r="G2083" s="17"/>
      <c r="H2083" s="17"/>
      <c r="J2083" s="18"/>
    </row>
    <row r="2084" spans="1:10" s="10" customFormat="1" x14ac:dyDescent="0.25">
      <c r="A2084" s="18"/>
      <c r="C2084" s="17"/>
      <c r="D2084" s="19"/>
      <c r="E2084" s="17"/>
      <c r="F2084" s="18"/>
      <c r="G2084" s="17"/>
      <c r="H2084" s="17"/>
      <c r="J2084" s="18"/>
    </row>
    <row r="2085" spans="1:10" s="10" customFormat="1" x14ac:dyDescent="0.25">
      <c r="A2085" s="18"/>
      <c r="C2085" s="17"/>
      <c r="D2085" s="19"/>
      <c r="E2085" s="17"/>
      <c r="F2085" s="18"/>
      <c r="G2085" s="17"/>
      <c r="H2085" s="17"/>
      <c r="J2085" s="18"/>
    </row>
    <row r="2086" spans="1:10" s="10" customFormat="1" x14ac:dyDescent="0.25">
      <c r="A2086" s="18"/>
      <c r="C2086" s="17"/>
      <c r="D2086" s="19"/>
      <c r="E2086" s="17"/>
      <c r="F2086" s="18"/>
      <c r="G2086" s="17"/>
      <c r="H2086" s="17"/>
      <c r="J2086" s="18"/>
    </row>
    <row r="2087" spans="1:10" s="10" customFormat="1" x14ac:dyDescent="0.25">
      <c r="A2087" s="18"/>
      <c r="C2087" s="17"/>
      <c r="D2087" s="19"/>
      <c r="E2087" s="17"/>
      <c r="F2087" s="18"/>
      <c r="G2087" s="17"/>
      <c r="H2087" s="17"/>
      <c r="J2087" s="18"/>
    </row>
    <row r="2088" spans="1:10" s="10" customFormat="1" x14ac:dyDescent="0.25">
      <c r="A2088" s="18"/>
      <c r="C2088" s="17"/>
      <c r="D2088" s="19"/>
      <c r="E2088" s="17"/>
      <c r="F2088" s="18"/>
      <c r="G2088" s="17"/>
      <c r="H2088" s="17"/>
      <c r="J2088" s="18"/>
    </row>
    <row r="2089" spans="1:10" s="10" customFormat="1" x14ac:dyDescent="0.25">
      <c r="A2089" s="18"/>
      <c r="C2089" s="17"/>
      <c r="D2089" s="19"/>
      <c r="E2089" s="17"/>
      <c r="F2089" s="18"/>
      <c r="G2089" s="17"/>
      <c r="H2089" s="17"/>
      <c r="J2089" s="18"/>
    </row>
    <row r="2090" spans="1:10" s="10" customFormat="1" x14ac:dyDescent="0.25">
      <c r="A2090" s="18"/>
      <c r="C2090" s="17"/>
      <c r="D2090" s="19"/>
      <c r="E2090" s="17"/>
      <c r="F2090" s="18"/>
      <c r="G2090" s="17"/>
      <c r="H2090" s="17"/>
      <c r="J2090" s="18"/>
    </row>
    <row r="2091" spans="1:10" s="10" customFormat="1" x14ac:dyDescent="0.25">
      <c r="A2091" s="18"/>
      <c r="C2091" s="17"/>
      <c r="D2091" s="19"/>
      <c r="E2091" s="17"/>
      <c r="F2091" s="18"/>
      <c r="G2091" s="17"/>
      <c r="H2091" s="17"/>
      <c r="J2091" s="18"/>
    </row>
    <row r="2092" spans="1:10" s="10" customFormat="1" x14ac:dyDescent="0.25">
      <c r="A2092" s="18"/>
      <c r="C2092" s="17"/>
      <c r="D2092" s="19"/>
      <c r="E2092" s="17"/>
      <c r="F2092" s="18"/>
      <c r="G2092" s="17"/>
      <c r="H2092" s="17"/>
      <c r="J2092" s="18"/>
    </row>
    <row r="2093" spans="1:10" s="10" customFormat="1" x14ac:dyDescent="0.25">
      <c r="A2093" s="18"/>
      <c r="C2093" s="17"/>
      <c r="D2093" s="19"/>
      <c r="E2093" s="17"/>
      <c r="F2093" s="18"/>
      <c r="G2093" s="17"/>
      <c r="H2093" s="17"/>
      <c r="J2093" s="18"/>
    </row>
    <row r="2094" spans="1:10" s="10" customFormat="1" x14ac:dyDescent="0.25">
      <c r="A2094" s="18"/>
      <c r="C2094" s="17"/>
      <c r="D2094" s="19"/>
      <c r="E2094" s="17"/>
      <c r="F2094" s="18"/>
      <c r="G2094" s="17"/>
      <c r="H2094" s="17"/>
      <c r="J2094" s="18"/>
    </row>
    <row r="2095" spans="1:10" s="10" customFormat="1" x14ac:dyDescent="0.25">
      <c r="A2095" s="18"/>
      <c r="C2095" s="17"/>
      <c r="D2095" s="19"/>
      <c r="E2095" s="17"/>
      <c r="F2095" s="18"/>
      <c r="G2095" s="17"/>
      <c r="H2095" s="17"/>
      <c r="J2095" s="18"/>
    </row>
    <row r="2096" spans="1:10" s="10" customFormat="1" x14ac:dyDescent="0.25">
      <c r="A2096" s="18"/>
      <c r="C2096" s="17"/>
      <c r="D2096" s="19"/>
      <c r="E2096" s="17"/>
      <c r="F2096" s="18"/>
      <c r="G2096" s="17"/>
      <c r="H2096" s="17"/>
      <c r="J2096" s="18"/>
    </row>
    <row r="2097" spans="1:10" s="10" customFormat="1" x14ac:dyDescent="0.25">
      <c r="A2097" s="18"/>
      <c r="C2097" s="17"/>
      <c r="D2097" s="19"/>
      <c r="E2097" s="17"/>
      <c r="F2097" s="18"/>
      <c r="G2097" s="17"/>
      <c r="H2097" s="17"/>
      <c r="J2097" s="18"/>
    </row>
    <row r="2098" spans="1:10" s="10" customFormat="1" x14ac:dyDescent="0.25">
      <c r="A2098" s="18"/>
      <c r="C2098" s="17"/>
      <c r="D2098" s="19"/>
      <c r="E2098" s="17"/>
      <c r="F2098" s="18"/>
      <c r="G2098" s="17"/>
      <c r="H2098" s="17"/>
      <c r="J2098" s="18"/>
    </row>
    <row r="2099" spans="1:10" s="10" customFormat="1" x14ac:dyDescent="0.25">
      <c r="A2099" s="18"/>
      <c r="C2099" s="17"/>
      <c r="D2099" s="19"/>
      <c r="E2099" s="17"/>
      <c r="F2099" s="18"/>
      <c r="G2099" s="17"/>
      <c r="H2099" s="17"/>
      <c r="J2099" s="18"/>
    </row>
    <row r="2100" spans="1:10" s="10" customFormat="1" x14ac:dyDescent="0.25">
      <c r="A2100" s="18"/>
      <c r="C2100" s="17"/>
      <c r="D2100" s="19"/>
      <c r="E2100" s="17"/>
      <c r="F2100" s="18"/>
      <c r="G2100" s="17"/>
      <c r="H2100" s="17"/>
      <c r="J2100" s="18"/>
    </row>
    <row r="2101" spans="1:10" s="10" customFormat="1" x14ac:dyDescent="0.25">
      <c r="A2101" s="18"/>
      <c r="C2101" s="17"/>
      <c r="D2101" s="19"/>
      <c r="E2101" s="17"/>
      <c r="F2101" s="18"/>
      <c r="G2101" s="17"/>
      <c r="H2101" s="17"/>
      <c r="J2101" s="18"/>
    </row>
    <row r="2102" spans="1:10" s="10" customFormat="1" x14ac:dyDescent="0.25">
      <c r="A2102" s="18"/>
      <c r="C2102" s="17"/>
      <c r="D2102" s="19"/>
      <c r="E2102" s="17"/>
      <c r="F2102" s="18"/>
      <c r="G2102" s="17"/>
      <c r="H2102" s="17"/>
      <c r="J2102" s="18"/>
    </row>
    <row r="2103" spans="1:10" s="10" customFormat="1" x14ac:dyDescent="0.25">
      <c r="A2103" s="18"/>
      <c r="C2103" s="17"/>
      <c r="D2103" s="19"/>
      <c r="E2103" s="17"/>
      <c r="F2103" s="18"/>
      <c r="G2103" s="17"/>
      <c r="H2103" s="17"/>
      <c r="J2103" s="18"/>
    </row>
    <row r="2104" spans="1:10" s="10" customFormat="1" x14ac:dyDescent="0.25">
      <c r="A2104" s="18"/>
      <c r="C2104" s="17"/>
      <c r="D2104" s="19"/>
      <c r="E2104" s="17"/>
      <c r="F2104" s="18"/>
      <c r="G2104" s="17"/>
      <c r="H2104" s="17"/>
      <c r="J2104" s="18"/>
    </row>
    <row r="2105" spans="1:10" s="10" customFormat="1" x14ac:dyDescent="0.25">
      <c r="A2105" s="18"/>
      <c r="C2105" s="17"/>
      <c r="D2105" s="19"/>
      <c r="E2105" s="17"/>
      <c r="F2105" s="18"/>
      <c r="G2105" s="17"/>
      <c r="H2105" s="17"/>
      <c r="J2105" s="18"/>
    </row>
    <row r="2106" spans="1:10" s="10" customFormat="1" x14ac:dyDescent="0.25">
      <c r="A2106" s="18"/>
      <c r="C2106" s="17"/>
      <c r="D2106" s="19"/>
      <c r="E2106" s="17"/>
      <c r="F2106" s="18"/>
      <c r="G2106" s="17"/>
      <c r="H2106" s="17"/>
      <c r="J2106" s="18"/>
    </row>
    <row r="2107" spans="1:10" s="10" customFormat="1" x14ac:dyDescent="0.25">
      <c r="A2107" s="18"/>
      <c r="C2107" s="17"/>
      <c r="D2107" s="19"/>
      <c r="E2107" s="17"/>
      <c r="F2107" s="18"/>
      <c r="G2107" s="17"/>
      <c r="H2107" s="17"/>
      <c r="J2107" s="18"/>
    </row>
    <row r="2108" spans="1:10" s="10" customFormat="1" x14ac:dyDescent="0.25">
      <c r="A2108" s="18"/>
      <c r="C2108" s="17"/>
      <c r="D2108" s="19"/>
      <c r="E2108" s="17"/>
      <c r="F2108" s="18"/>
      <c r="G2108" s="17"/>
      <c r="H2108" s="17"/>
      <c r="J2108" s="18"/>
    </row>
    <row r="2109" spans="1:10" s="10" customFormat="1" x14ac:dyDescent="0.25">
      <c r="A2109" s="18"/>
      <c r="C2109" s="17"/>
      <c r="D2109" s="19"/>
      <c r="E2109" s="17"/>
      <c r="F2109" s="18"/>
      <c r="G2109" s="17"/>
      <c r="H2109" s="17"/>
      <c r="J2109" s="18"/>
    </row>
    <row r="2110" spans="1:10" s="10" customFormat="1" x14ac:dyDescent="0.25">
      <c r="A2110" s="18"/>
      <c r="C2110" s="17"/>
      <c r="D2110" s="19"/>
      <c r="E2110" s="17"/>
      <c r="F2110" s="18"/>
      <c r="G2110" s="17"/>
      <c r="H2110" s="17"/>
      <c r="J2110" s="18"/>
    </row>
    <row r="2111" spans="1:10" s="10" customFormat="1" x14ac:dyDescent="0.25">
      <c r="A2111" s="18"/>
      <c r="C2111" s="17"/>
      <c r="D2111" s="19"/>
      <c r="E2111" s="17"/>
      <c r="F2111" s="18"/>
      <c r="G2111" s="17"/>
      <c r="H2111" s="17"/>
      <c r="J2111" s="18"/>
    </row>
    <row r="2112" spans="1:10" s="10" customFormat="1" x14ac:dyDescent="0.25">
      <c r="A2112" s="18"/>
      <c r="C2112" s="17"/>
      <c r="D2112" s="19"/>
      <c r="E2112" s="17"/>
      <c r="F2112" s="18"/>
      <c r="G2112" s="17"/>
      <c r="H2112" s="17"/>
      <c r="J2112" s="18"/>
    </row>
    <row r="2113" spans="1:10" s="10" customFormat="1" x14ac:dyDescent="0.25">
      <c r="A2113" s="18"/>
      <c r="C2113" s="17"/>
      <c r="D2113" s="19"/>
      <c r="E2113" s="17"/>
      <c r="F2113" s="18"/>
      <c r="G2113" s="17"/>
      <c r="H2113" s="17"/>
      <c r="J2113" s="18"/>
    </row>
    <row r="2114" spans="1:10" s="10" customFormat="1" x14ac:dyDescent="0.25">
      <c r="A2114" s="18"/>
      <c r="C2114" s="17"/>
      <c r="D2114" s="19"/>
      <c r="E2114" s="17"/>
      <c r="F2114" s="18"/>
      <c r="G2114" s="17"/>
      <c r="H2114" s="17"/>
      <c r="J2114" s="18"/>
    </row>
    <row r="2115" spans="1:10" s="10" customFormat="1" x14ac:dyDescent="0.25">
      <c r="A2115" s="18"/>
      <c r="C2115" s="17"/>
      <c r="D2115" s="19"/>
      <c r="E2115" s="17"/>
      <c r="F2115" s="18"/>
      <c r="G2115" s="17"/>
      <c r="H2115" s="17"/>
      <c r="J2115" s="18"/>
    </row>
    <row r="2116" spans="1:10" s="10" customFormat="1" x14ac:dyDescent="0.25">
      <c r="A2116" s="18"/>
      <c r="C2116" s="17"/>
      <c r="D2116" s="19"/>
      <c r="E2116" s="17"/>
      <c r="F2116" s="18"/>
      <c r="G2116" s="17"/>
      <c r="H2116" s="17"/>
      <c r="J2116" s="18"/>
    </row>
    <row r="2117" spans="1:10" s="10" customFormat="1" x14ac:dyDescent="0.25">
      <c r="A2117" s="18"/>
      <c r="C2117" s="17"/>
      <c r="D2117" s="19"/>
      <c r="E2117" s="17"/>
      <c r="F2117" s="18"/>
      <c r="G2117" s="17"/>
      <c r="H2117" s="17"/>
      <c r="J2117" s="18"/>
    </row>
    <row r="2118" spans="1:10" s="10" customFormat="1" x14ac:dyDescent="0.25">
      <c r="A2118" s="18"/>
      <c r="C2118" s="17"/>
      <c r="D2118" s="19"/>
      <c r="E2118" s="17"/>
      <c r="F2118" s="18"/>
      <c r="G2118" s="17"/>
      <c r="H2118" s="17"/>
      <c r="J2118" s="18"/>
    </row>
    <row r="2119" spans="1:10" s="10" customFormat="1" x14ac:dyDescent="0.25">
      <c r="A2119" s="18"/>
      <c r="C2119" s="17"/>
      <c r="D2119" s="19"/>
      <c r="E2119" s="17"/>
      <c r="F2119" s="18"/>
      <c r="G2119" s="17"/>
      <c r="H2119" s="17"/>
      <c r="J2119" s="18"/>
    </row>
    <row r="2120" spans="1:10" s="10" customFormat="1" x14ac:dyDescent="0.25">
      <c r="A2120" s="18"/>
      <c r="C2120" s="17"/>
      <c r="D2120" s="19"/>
      <c r="E2120" s="17"/>
      <c r="F2120" s="18"/>
      <c r="G2120" s="17"/>
      <c r="H2120" s="17"/>
      <c r="J2120" s="18"/>
    </row>
    <row r="2121" spans="1:10" s="10" customFormat="1" x14ac:dyDescent="0.25">
      <c r="A2121" s="18"/>
      <c r="C2121" s="17"/>
      <c r="D2121" s="19"/>
      <c r="E2121" s="17"/>
      <c r="F2121" s="18"/>
      <c r="G2121" s="17"/>
      <c r="H2121" s="17"/>
      <c r="J2121" s="18"/>
    </row>
    <row r="2122" spans="1:10" s="10" customFormat="1" x14ac:dyDescent="0.25">
      <c r="A2122" s="18"/>
      <c r="C2122" s="17"/>
      <c r="D2122" s="19"/>
      <c r="E2122" s="17"/>
      <c r="F2122" s="18"/>
      <c r="G2122" s="17"/>
      <c r="H2122" s="17"/>
      <c r="J2122" s="18"/>
    </row>
    <row r="2123" spans="1:10" s="10" customFormat="1" x14ac:dyDescent="0.25">
      <c r="A2123" s="18"/>
      <c r="C2123" s="17"/>
      <c r="D2123" s="19"/>
      <c r="E2123" s="17"/>
      <c r="F2123" s="18"/>
      <c r="G2123" s="17"/>
      <c r="H2123" s="17"/>
      <c r="J2123" s="18"/>
    </row>
    <row r="2124" spans="1:10" s="10" customFormat="1" x14ac:dyDescent="0.25">
      <c r="A2124" s="18"/>
      <c r="C2124" s="17"/>
      <c r="D2124" s="19"/>
      <c r="E2124" s="17"/>
      <c r="F2124" s="18"/>
      <c r="G2124" s="17"/>
      <c r="H2124" s="17"/>
      <c r="J2124" s="18"/>
    </row>
    <row r="2125" spans="1:10" s="10" customFormat="1" x14ac:dyDescent="0.25">
      <c r="A2125" s="18"/>
      <c r="C2125" s="17"/>
      <c r="D2125" s="19"/>
      <c r="E2125" s="17"/>
      <c r="F2125" s="18"/>
      <c r="G2125" s="17"/>
      <c r="H2125" s="17"/>
      <c r="J2125" s="18"/>
    </row>
    <row r="2126" spans="1:10" s="10" customFormat="1" x14ac:dyDescent="0.25">
      <c r="A2126" s="18"/>
      <c r="C2126" s="17"/>
      <c r="D2126" s="19"/>
      <c r="E2126" s="17"/>
      <c r="F2126" s="18"/>
      <c r="G2126" s="17"/>
      <c r="H2126" s="17"/>
      <c r="J2126" s="18"/>
    </row>
    <row r="2127" spans="1:10" s="10" customFormat="1" x14ac:dyDescent="0.25">
      <c r="A2127" s="18"/>
      <c r="C2127" s="17"/>
      <c r="D2127" s="19"/>
      <c r="E2127" s="17"/>
      <c r="F2127" s="18"/>
      <c r="G2127" s="17"/>
      <c r="H2127" s="17"/>
      <c r="J2127" s="18"/>
    </row>
    <row r="2128" spans="1:10" s="10" customFormat="1" x14ac:dyDescent="0.25">
      <c r="A2128" s="18"/>
      <c r="C2128" s="17"/>
      <c r="D2128" s="19"/>
      <c r="E2128" s="17"/>
      <c r="F2128" s="18"/>
      <c r="G2128" s="17"/>
      <c r="H2128" s="17"/>
      <c r="J2128" s="18"/>
    </row>
    <row r="2129" spans="1:10" s="10" customFormat="1" x14ac:dyDescent="0.25">
      <c r="A2129" s="18"/>
      <c r="C2129" s="17"/>
      <c r="D2129" s="19"/>
      <c r="E2129" s="17"/>
      <c r="F2129" s="18"/>
      <c r="G2129" s="17"/>
      <c r="H2129" s="17"/>
      <c r="J2129" s="18"/>
    </row>
    <row r="2130" spans="1:10" s="10" customFormat="1" x14ac:dyDescent="0.25">
      <c r="A2130" s="18"/>
      <c r="C2130" s="17"/>
      <c r="D2130" s="19"/>
      <c r="E2130" s="17"/>
      <c r="F2130" s="18"/>
      <c r="G2130" s="17"/>
      <c r="H2130" s="17"/>
      <c r="J2130" s="18"/>
    </row>
    <row r="2131" spans="1:10" s="10" customFormat="1" x14ac:dyDescent="0.25">
      <c r="A2131" s="18"/>
      <c r="C2131" s="17"/>
      <c r="D2131" s="19"/>
      <c r="E2131" s="17"/>
      <c r="F2131" s="18"/>
      <c r="G2131" s="17"/>
      <c r="H2131" s="17"/>
      <c r="J2131" s="18"/>
    </row>
    <row r="2132" spans="1:10" s="10" customFormat="1" x14ac:dyDescent="0.25">
      <c r="A2132" s="18"/>
      <c r="C2132" s="17"/>
      <c r="D2132" s="19"/>
      <c r="E2132" s="17"/>
      <c r="F2132" s="18"/>
      <c r="G2132" s="17"/>
      <c r="H2132" s="17"/>
      <c r="J2132" s="18"/>
    </row>
    <row r="2133" spans="1:10" s="10" customFormat="1" x14ac:dyDescent="0.25">
      <c r="A2133" s="18"/>
      <c r="C2133" s="17"/>
      <c r="D2133" s="19"/>
      <c r="E2133" s="17"/>
      <c r="F2133" s="18"/>
      <c r="G2133" s="17"/>
      <c r="H2133" s="17"/>
      <c r="J2133" s="18"/>
    </row>
    <row r="2134" spans="1:10" s="10" customFormat="1" x14ac:dyDescent="0.25">
      <c r="A2134" s="18"/>
      <c r="C2134" s="17"/>
      <c r="D2134" s="19"/>
      <c r="E2134" s="17"/>
      <c r="F2134" s="18"/>
      <c r="G2134" s="17"/>
      <c r="H2134" s="17"/>
      <c r="J2134" s="18"/>
    </row>
    <row r="2135" spans="1:10" s="10" customFormat="1" x14ac:dyDescent="0.25">
      <c r="A2135" s="18"/>
      <c r="C2135" s="17"/>
      <c r="D2135" s="19"/>
      <c r="E2135" s="17"/>
      <c r="F2135" s="18"/>
      <c r="G2135" s="17"/>
      <c r="H2135" s="17"/>
      <c r="J2135" s="18"/>
    </row>
    <row r="2136" spans="1:10" s="10" customFormat="1" x14ac:dyDescent="0.25">
      <c r="A2136" s="18"/>
      <c r="C2136" s="17"/>
      <c r="D2136" s="19"/>
      <c r="E2136" s="17"/>
      <c r="F2136" s="18"/>
      <c r="G2136" s="17"/>
      <c r="H2136" s="17"/>
      <c r="J2136" s="18"/>
    </row>
    <row r="2137" spans="1:10" s="10" customFormat="1" x14ac:dyDescent="0.25">
      <c r="A2137" s="18"/>
      <c r="C2137" s="17"/>
      <c r="D2137" s="19"/>
      <c r="E2137" s="17"/>
      <c r="F2137" s="18"/>
      <c r="G2137" s="17"/>
      <c r="H2137" s="17"/>
      <c r="J2137" s="18"/>
    </row>
    <row r="2138" spans="1:10" s="10" customFormat="1" x14ac:dyDescent="0.25">
      <c r="A2138" s="18"/>
      <c r="C2138" s="17"/>
      <c r="D2138" s="19"/>
      <c r="E2138" s="17"/>
      <c r="F2138" s="18"/>
      <c r="G2138" s="17"/>
      <c r="H2138" s="17"/>
      <c r="J2138" s="18"/>
    </row>
    <row r="2139" spans="1:10" s="10" customFormat="1" x14ac:dyDescent="0.25">
      <c r="A2139" s="18"/>
      <c r="C2139" s="17"/>
      <c r="D2139" s="19"/>
      <c r="E2139" s="17"/>
      <c r="F2139" s="18"/>
      <c r="G2139" s="17"/>
      <c r="H2139" s="17"/>
      <c r="J2139" s="18"/>
    </row>
    <row r="2140" spans="1:10" s="10" customFormat="1" x14ac:dyDescent="0.25">
      <c r="A2140" s="18"/>
      <c r="C2140" s="17"/>
      <c r="D2140" s="19"/>
      <c r="E2140" s="17"/>
      <c r="F2140" s="18"/>
      <c r="G2140" s="17"/>
      <c r="H2140" s="17"/>
      <c r="J2140" s="18"/>
    </row>
    <row r="2141" spans="1:10" s="10" customFormat="1" x14ac:dyDescent="0.25">
      <c r="A2141" s="18"/>
      <c r="C2141" s="17"/>
      <c r="D2141" s="19"/>
      <c r="E2141" s="17"/>
      <c r="F2141" s="18"/>
      <c r="G2141" s="17"/>
      <c r="H2141" s="17"/>
      <c r="J2141" s="18"/>
    </row>
    <row r="2142" spans="1:10" s="10" customFormat="1" x14ac:dyDescent="0.25">
      <c r="A2142" s="18"/>
      <c r="C2142" s="17"/>
      <c r="D2142" s="19"/>
      <c r="E2142" s="17"/>
      <c r="F2142" s="18"/>
      <c r="G2142" s="17"/>
      <c r="H2142" s="17"/>
      <c r="J2142" s="18"/>
    </row>
    <row r="2143" spans="1:10" s="10" customFormat="1" x14ac:dyDescent="0.25">
      <c r="A2143" s="18"/>
      <c r="C2143" s="17"/>
      <c r="D2143" s="19"/>
      <c r="E2143" s="17"/>
      <c r="F2143" s="18"/>
      <c r="G2143" s="17"/>
      <c r="H2143" s="17"/>
      <c r="J2143" s="18"/>
    </row>
    <row r="2144" spans="1:10" s="10" customFormat="1" x14ac:dyDescent="0.25">
      <c r="A2144" s="18"/>
      <c r="C2144" s="17"/>
      <c r="D2144" s="19"/>
      <c r="E2144" s="17"/>
      <c r="F2144" s="18"/>
      <c r="G2144" s="17"/>
      <c r="H2144" s="17"/>
      <c r="J2144" s="18"/>
    </row>
    <row r="2145" spans="1:10" s="10" customFormat="1" x14ac:dyDescent="0.25">
      <c r="A2145" s="18"/>
      <c r="C2145" s="17"/>
      <c r="D2145" s="19"/>
      <c r="E2145" s="17"/>
      <c r="F2145" s="18"/>
      <c r="G2145" s="17"/>
      <c r="H2145" s="17"/>
      <c r="J2145" s="18"/>
    </row>
    <row r="2146" spans="1:10" s="10" customFormat="1" x14ac:dyDescent="0.25">
      <c r="A2146" s="18"/>
      <c r="C2146" s="17"/>
      <c r="D2146" s="19"/>
      <c r="E2146" s="17"/>
      <c r="F2146" s="18"/>
      <c r="G2146" s="17"/>
      <c r="H2146" s="17"/>
      <c r="J2146" s="18"/>
    </row>
    <row r="2147" spans="1:10" s="10" customFormat="1" x14ac:dyDescent="0.25">
      <c r="A2147" s="18"/>
      <c r="C2147" s="17"/>
      <c r="D2147" s="19"/>
      <c r="E2147" s="17"/>
      <c r="F2147" s="18"/>
      <c r="G2147" s="17"/>
      <c r="H2147" s="17"/>
      <c r="J2147" s="18"/>
    </row>
    <row r="2148" spans="1:10" s="10" customFormat="1" x14ac:dyDescent="0.25">
      <c r="A2148" s="18"/>
      <c r="C2148" s="17"/>
      <c r="D2148" s="19"/>
      <c r="E2148" s="17"/>
      <c r="F2148" s="18"/>
      <c r="G2148" s="17"/>
      <c r="H2148" s="17"/>
      <c r="J2148" s="18"/>
    </row>
    <row r="2149" spans="1:10" s="10" customFormat="1" x14ac:dyDescent="0.25">
      <c r="A2149" s="18"/>
      <c r="C2149" s="17"/>
      <c r="D2149" s="19"/>
      <c r="E2149" s="17"/>
      <c r="F2149" s="18"/>
      <c r="G2149" s="17"/>
      <c r="H2149" s="17"/>
      <c r="J2149" s="18"/>
    </row>
    <row r="2150" spans="1:10" s="10" customFormat="1" x14ac:dyDescent="0.25">
      <c r="A2150" s="18"/>
      <c r="C2150" s="17"/>
      <c r="D2150" s="19"/>
      <c r="E2150" s="17"/>
      <c r="F2150" s="18"/>
      <c r="G2150" s="17"/>
      <c r="H2150" s="17"/>
      <c r="J2150" s="18"/>
    </row>
    <row r="2151" spans="1:10" s="10" customFormat="1" x14ac:dyDescent="0.25">
      <c r="A2151" s="18"/>
      <c r="C2151" s="17"/>
      <c r="D2151" s="19"/>
      <c r="E2151" s="17"/>
      <c r="F2151" s="18"/>
      <c r="G2151" s="17"/>
      <c r="H2151" s="17"/>
      <c r="J2151" s="18"/>
    </row>
    <row r="2152" spans="1:10" s="10" customFormat="1" x14ac:dyDescent="0.25">
      <c r="A2152" s="18"/>
      <c r="C2152" s="17"/>
      <c r="D2152" s="19"/>
      <c r="E2152" s="17"/>
      <c r="F2152" s="18"/>
      <c r="G2152" s="17"/>
      <c r="H2152" s="17"/>
      <c r="J2152" s="18"/>
    </row>
    <row r="2153" spans="1:10" s="10" customFormat="1" x14ac:dyDescent="0.25">
      <c r="A2153" s="18"/>
      <c r="C2153" s="17"/>
      <c r="D2153" s="19"/>
      <c r="E2153" s="17"/>
      <c r="F2153" s="18"/>
      <c r="G2153" s="17"/>
      <c r="H2153" s="17"/>
      <c r="J2153" s="18"/>
    </row>
    <row r="2154" spans="1:10" s="10" customFormat="1" x14ac:dyDescent="0.25">
      <c r="A2154" s="18"/>
      <c r="C2154" s="17"/>
      <c r="D2154" s="19"/>
      <c r="E2154" s="17"/>
      <c r="F2154" s="18"/>
      <c r="G2154" s="17"/>
      <c r="H2154" s="17"/>
      <c r="J2154" s="18"/>
    </row>
    <row r="2155" spans="1:10" s="10" customFormat="1" x14ac:dyDescent="0.25">
      <c r="A2155" s="18"/>
      <c r="C2155" s="17"/>
      <c r="D2155" s="19"/>
      <c r="E2155" s="17"/>
      <c r="F2155" s="18"/>
      <c r="G2155" s="17"/>
      <c r="H2155" s="17"/>
      <c r="J2155" s="18"/>
    </row>
    <row r="2156" spans="1:10" s="10" customFormat="1" x14ac:dyDescent="0.25">
      <c r="A2156" s="18"/>
      <c r="C2156" s="17"/>
      <c r="D2156" s="19"/>
      <c r="E2156" s="17"/>
      <c r="F2156" s="18"/>
      <c r="G2156" s="17"/>
      <c r="H2156" s="17"/>
      <c r="J2156" s="18"/>
    </row>
    <row r="2157" spans="1:10" s="10" customFormat="1" x14ac:dyDescent="0.25">
      <c r="A2157" s="18"/>
      <c r="C2157" s="17"/>
      <c r="D2157" s="19"/>
      <c r="E2157" s="17"/>
      <c r="F2157" s="18"/>
      <c r="G2157" s="17"/>
      <c r="H2157" s="17"/>
      <c r="J2157" s="18"/>
    </row>
    <row r="2158" spans="1:10" s="10" customFormat="1" x14ac:dyDescent="0.25">
      <c r="A2158" s="18"/>
      <c r="C2158" s="17"/>
      <c r="D2158" s="19"/>
      <c r="E2158" s="17"/>
      <c r="F2158" s="18"/>
      <c r="G2158" s="17"/>
      <c r="H2158" s="17"/>
      <c r="J2158" s="18"/>
    </row>
    <row r="2159" spans="1:10" s="10" customFormat="1" x14ac:dyDescent="0.25">
      <c r="A2159" s="18"/>
      <c r="C2159" s="17"/>
      <c r="D2159" s="19"/>
      <c r="E2159" s="17"/>
      <c r="F2159" s="18"/>
      <c r="G2159" s="17"/>
      <c r="H2159" s="17"/>
      <c r="J2159" s="18"/>
    </row>
    <row r="2160" spans="1:10" s="10" customFormat="1" x14ac:dyDescent="0.25">
      <c r="A2160" s="18"/>
      <c r="C2160" s="17"/>
      <c r="D2160" s="19"/>
      <c r="E2160" s="17"/>
      <c r="F2160" s="18"/>
      <c r="G2160" s="17"/>
      <c r="H2160" s="17"/>
      <c r="J2160" s="18"/>
    </row>
    <row r="2161" spans="1:10" s="10" customFormat="1" x14ac:dyDescent="0.25">
      <c r="A2161" s="18"/>
      <c r="C2161" s="17"/>
      <c r="D2161" s="19"/>
      <c r="E2161" s="17"/>
      <c r="F2161" s="18"/>
      <c r="G2161" s="17"/>
      <c r="H2161" s="17"/>
      <c r="J2161" s="18"/>
    </row>
    <row r="2162" spans="1:10" s="10" customFormat="1" x14ac:dyDescent="0.25">
      <c r="A2162" s="18"/>
      <c r="C2162" s="17"/>
      <c r="D2162" s="19"/>
      <c r="E2162" s="17"/>
      <c r="F2162" s="18"/>
      <c r="G2162" s="17"/>
      <c r="H2162" s="17"/>
      <c r="J2162" s="18"/>
    </row>
    <row r="2163" spans="1:10" s="10" customFormat="1" x14ac:dyDescent="0.25">
      <c r="A2163" s="18"/>
      <c r="C2163" s="17"/>
      <c r="D2163" s="19"/>
      <c r="E2163" s="17"/>
      <c r="F2163" s="18"/>
      <c r="G2163" s="17"/>
      <c r="H2163" s="17"/>
      <c r="J2163" s="18"/>
    </row>
    <row r="2164" spans="1:10" s="10" customFormat="1" x14ac:dyDescent="0.25">
      <c r="A2164" s="18"/>
      <c r="C2164" s="17"/>
      <c r="D2164" s="19"/>
      <c r="E2164" s="17"/>
      <c r="F2164" s="18"/>
      <c r="G2164" s="17"/>
      <c r="H2164" s="17"/>
      <c r="J2164" s="18"/>
    </row>
    <row r="2165" spans="1:10" s="10" customFormat="1" x14ac:dyDescent="0.25">
      <c r="A2165" s="18"/>
      <c r="C2165" s="17"/>
      <c r="D2165" s="19"/>
      <c r="E2165" s="17"/>
      <c r="F2165" s="18"/>
      <c r="G2165" s="17"/>
      <c r="H2165" s="17"/>
      <c r="J2165" s="18"/>
    </row>
    <row r="2166" spans="1:10" s="10" customFormat="1" x14ac:dyDescent="0.25">
      <c r="A2166" s="18"/>
      <c r="C2166" s="17"/>
      <c r="D2166" s="19"/>
      <c r="E2166" s="17"/>
      <c r="F2166" s="18"/>
      <c r="G2166" s="17"/>
      <c r="H2166" s="17"/>
      <c r="J2166" s="18"/>
    </row>
    <row r="2167" spans="1:10" s="10" customFormat="1" x14ac:dyDescent="0.25">
      <c r="A2167" s="18"/>
      <c r="C2167" s="17"/>
      <c r="D2167" s="19"/>
      <c r="E2167" s="17"/>
      <c r="F2167" s="18"/>
      <c r="G2167" s="17"/>
      <c r="H2167" s="17"/>
      <c r="J2167" s="18"/>
    </row>
    <row r="2168" spans="1:10" s="10" customFormat="1" x14ac:dyDescent="0.25">
      <c r="A2168" s="18"/>
      <c r="C2168" s="17"/>
      <c r="D2168" s="19"/>
      <c r="E2168" s="17"/>
      <c r="F2168" s="18"/>
      <c r="G2168" s="17"/>
      <c r="H2168" s="17"/>
      <c r="J2168" s="18"/>
    </row>
    <row r="2169" spans="1:10" s="10" customFormat="1" x14ac:dyDescent="0.25">
      <c r="A2169" s="18"/>
      <c r="C2169" s="17"/>
      <c r="D2169" s="19"/>
      <c r="E2169" s="17"/>
      <c r="F2169" s="18"/>
      <c r="G2169" s="17"/>
      <c r="H2169" s="17"/>
      <c r="J2169" s="18"/>
    </row>
    <row r="2170" spans="1:10" s="10" customFormat="1" x14ac:dyDescent="0.25">
      <c r="A2170" s="18"/>
      <c r="C2170" s="17"/>
      <c r="D2170" s="19"/>
      <c r="E2170" s="17"/>
      <c r="F2170" s="18"/>
      <c r="G2170" s="17"/>
      <c r="H2170" s="17"/>
      <c r="J2170" s="18"/>
    </row>
    <row r="2171" spans="1:10" s="10" customFormat="1" x14ac:dyDescent="0.25">
      <c r="A2171" s="18"/>
      <c r="C2171" s="17"/>
      <c r="D2171" s="19"/>
      <c r="E2171" s="17"/>
      <c r="F2171" s="18"/>
      <c r="G2171" s="17"/>
      <c r="H2171" s="17"/>
      <c r="J2171" s="18"/>
    </row>
    <row r="2172" spans="1:10" s="10" customFormat="1" x14ac:dyDescent="0.25">
      <c r="A2172" s="18"/>
      <c r="C2172" s="17"/>
      <c r="D2172" s="19"/>
      <c r="E2172" s="17"/>
      <c r="F2172" s="18"/>
      <c r="G2172" s="17"/>
      <c r="H2172" s="17"/>
      <c r="J2172" s="18"/>
    </row>
    <row r="2173" spans="1:10" s="10" customFormat="1" x14ac:dyDescent="0.25">
      <c r="A2173" s="18"/>
      <c r="C2173" s="17"/>
      <c r="D2173" s="19"/>
      <c r="E2173" s="17"/>
      <c r="F2173" s="18"/>
      <c r="G2173" s="17"/>
      <c r="H2173" s="17"/>
      <c r="J2173" s="18"/>
    </row>
    <row r="2174" spans="1:10" s="10" customFormat="1" x14ac:dyDescent="0.25">
      <c r="A2174" s="18"/>
      <c r="C2174" s="17"/>
      <c r="D2174" s="19"/>
      <c r="E2174" s="17"/>
      <c r="F2174" s="18"/>
      <c r="G2174" s="17"/>
      <c r="H2174" s="17"/>
      <c r="J2174" s="18"/>
    </row>
    <row r="2175" spans="1:10" s="10" customFormat="1" x14ac:dyDescent="0.25">
      <c r="A2175" s="18"/>
      <c r="C2175" s="17"/>
      <c r="D2175" s="19"/>
      <c r="E2175" s="17"/>
      <c r="F2175" s="18"/>
      <c r="G2175" s="17"/>
      <c r="H2175" s="17"/>
      <c r="J2175" s="18"/>
    </row>
    <row r="2176" spans="1:10" s="10" customFormat="1" x14ac:dyDescent="0.25">
      <c r="A2176" s="18"/>
      <c r="C2176" s="17"/>
      <c r="D2176" s="19"/>
      <c r="E2176" s="17"/>
      <c r="F2176" s="18"/>
      <c r="G2176" s="17"/>
      <c r="H2176" s="17"/>
      <c r="J2176" s="18"/>
    </row>
    <row r="2177" spans="1:10" s="10" customFormat="1" x14ac:dyDescent="0.25">
      <c r="A2177" s="18"/>
      <c r="C2177" s="17"/>
      <c r="D2177" s="19"/>
      <c r="E2177" s="17"/>
      <c r="F2177" s="18"/>
      <c r="G2177" s="17"/>
      <c r="H2177" s="17"/>
      <c r="J2177" s="18"/>
    </row>
    <row r="2178" spans="1:10" s="10" customFormat="1" x14ac:dyDescent="0.25">
      <c r="A2178" s="18"/>
      <c r="C2178" s="17"/>
      <c r="D2178" s="19"/>
      <c r="E2178" s="17"/>
      <c r="F2178" s="18"/>
      <c r="G2178" s="17"/>
      <c r="H2178" s="17"/>
      <c r="J2178" s="18"/>
    </row>
    <row r="2179" spans="1:10" s="10" customFormat="1" x14ac:dyDescent="0.25">
      <c r="A2179" s="18"/>
      <c r="C2179" s="17"/>
      <c r="D2179" s="19"/>
      <c r="E2179" s="17"/>
      <c r="F2179" s="18"/>
      <c r="G2179" s="17"/>
      <c r="H2179" s="17"/>
      <c r="J2179" s="18"/>
    </row>
    <row r="2180" spans="1:10" s="10" customFormat="1" x14ac:dyDescent="0.25">
      <c r="A2180" s="18"/>
      <c r="C2180" s="17"/>
      <c r="D2180" s="19"/>
      <c r="E2180" s="17"/>
      <c r="F2180" s="18"/>
      <c r="G2180" s="17"/>
      <c r="H2180" s="17"/>
      <c r="J2180" s="18"/>
    </row>
    <row r="2181" spans="1:10" s="10" customFormat="1" x14ac:dyDescent="0.25">
      <c r="A2181" s="18"/>
      <c r="C2181" s="17"/>
      <c r="D2181" s="19"/>
      <c r="E2181" s="17"/>
      <c r="F2181" s="18"/>
      <c r="G2181" s="17"/>
      <c r="H2181" s="17"/>
      <c r="J2181" s="18"/>
    </row>
    <row r="2182" spans="1:10" s="10" customFormat="1" x14ac:dyDescent="0.25">
      <c r="A2182" s="18"/>
      <c r="C2182" s="17"/>
      <c r="D2182" s="19"/>
      <c r="E2182" s="17"/>
      <c r="F2182" s="18"/>
      <c r="G2182" s="17"/>
      <c r="H2182" s="17"/>
      <c r="J2182" s="18"/>
    </row>
    <row r="2183" spans="1:10" s="10" customFormat="1" x14ac:dyDescent="0.25">
      <c r="A2183" s="18"/>
      <c r="C2183" s="17"/>
      <c r="D2183" s="19"/>
      <c r="E2183" s="17"/>
      <c r="F2183" s="18"/>
      <c r="G2183" s="17"/>
      <c r="H2183" s="17"/>
      <c r="J2183" s="18"/>
    </row>
    <row r="2184" spans="1:10" s="10" customFormat="1" x14ac:dyDescent="0.25">
      <c r="A2184" s="18"/>
      <c r="C2184" s="17"/>
      <c r="D2184" s="19"/>
      <c r="E2184" s="17"/>
      <c r="F2184" s="18"/>
      <c r="G2184" s="17"/>
      <c r="H2184" s="17"/>
      <c r="J2184" s="18"/>
    </row>
    <row r="2185" spans="1:10" s="10" customFormat="1" x14ac:dyDescent="0.25">
      <c r="A2185" s="18"/>
      <c r="C2185" s="17"/>
      <c r="D2185" s="19"/>
      <c r="E2185" s="17"/>
      <c r="F2185" s="18"/>
      <c r="G2185" s="17"/>
      <c r="H2185" s="17"/>
      <c r="J2185" s="18"/>
    </row>
    <row r="2186" spans="1:10" s="10" customFormat="1" x14ac:dyDescent="0.25">
      <c r="A2186" s="18"/>
      <c r="C2186" s="17"/>
      <c r="D2186" s="19"/>
      <c r="E2186" s="17"/>
      <c r="F2186" s="18"/>
      <c r="G2186" s="17"/>
      <c r="H2186" s="17"/>
      <c r="J2186" s="18"/>
    </row>
    <row r="2187" spans="1:10" s="10" customFormat="1" x14ac:dyDescent="0.25">
      <c r="A2187" s="18"/>
      <c r="C2187" s="17"/>
      <c r="D2187" s="19"/>
      <c r="E2187" s="17"/>
      <c r="F2187" s="18"/>
      <c r="G2187" s="17"/>
      <c r="H2187" s="17"/>
      <c r="J2187" s="18"/>
    </row>
    <row r="2188" spans="1:10" s="10" customFormat="1" x14ac:dyDescent="0.25">
      <c r="A2188" s="18"/>
      <c r="C2188" s="17"/>
      <c r="D2188" s="19"/>
      <c r="E2188" s="17"/>
      <c r="F2188" s="18"/>
      <c r="G2188" s="17"/>
      <c r="H2188" s="17"/>
      <c r="J2188" s="18"/>
    </row>
    <row r="2189" spans="1:10" s="10" customFormat="1" x14ac:dyDescent="0.25">
      <c r="A2189" s="18"/>
      <c r="C2189" s="17"/>
      <c r="D2189" s="19"/>
      <c r="E2189" s="17"/>
      <c r="F2189" s="18"/>
      <c r="G2189" s="17"/>
      <c r="H2189" s="17"/>
      <c r="J2189" s="18"/>
    </row>
    <row r="2190" spans="1:10" s="10" customFormat="1" x14ac:dyDescent="0.25">
      <c r="A2190" s="18"/>
      <c r="C2190" s="17"/>
      <c r="D2190" s="19"/>
      <c r="E2190" s="17"/>
      <c r="F2190" s="18"/>
      <c r="G2190" s="17"/>
      <c r="H2190" s="17"/>
      <c r="J2190" s="18"/>
    </row>
    <row r="2191" spans="1:10" s="10" customFormat="1" x14ac:dyDescent="0.25">
      <c r="A2191" s="18"/>
      <c r="C2191" s="17"/>
      <c r="D2191" s="19"/>
      <c r="E2191" s="17"/>
      <c r="F2191" s="18"/>
      <c r="G2191" s="17"/>
      <c r="H2191" s="17"/>
      <c r="J2191" s="18"/>
    </row>
    <row r="2192" spans="1:10" s="10" customFormat="1" x14ac:dyDescent="0.25">
      <c r="A2192" s="18"/>
      <c r="C2192" s="17"/>
      <c r="D2192" s="19"/>
      <c r="E2192" s="17"/>
      <c r="F2192" s="18"/>
      <c r="G2192" s="17"/>
      <c r="H2192" s="17"/>
      <c r="J2192" s="18"/>
    </row>
    <row r="2193" spans="1:10" s="10" customFormat="1" x14ac:dyDescent="0.25">
      <c r="A2193" s="18"/>
      <c r="C2193" s="17"/>
      <c r="D2193" s="19"/>
      <c r="E2193" s="17"/>
      <c r="F2193" s="18"/>
      <c r="G2193" s="17"/>
      <c r="H2193" s="17"/>
      <c r="J2193" s="18"/>
    </row>
    <row r="2194" spans="1:10" s="10" customFormat="1" x14ac:dyDescent="0.25">
      <c r="A2194" s="18"/>
      <c r="C2194" s="17"/>
      <c r="D2194" s="19"/>
      <c r="E2194" s="17"/>
      <c r="F2194" s="18"/>
      <c r="G2194" s="17"/>
      <c r="H2194" s="17"/>
      <c r="J2194" s="18"/>
    </row>
    <row r="2195" spans="1:10" s="10" customFormat="1" x14ac:dyDescent="0.25">
      <c r="A2195" s="18"/>
      <c r="C2195" s="17"/>
      <c r="D2195" s="19"/>
      <c r="E2195" s="17"/>
      <c r="F2195" s="18"/>
      <c r="G2195" s="17"/>
      <c r="H2195" s="17"/>
      <c r="J2195" s="18"/>
    </row>
    <row r="2196" spans="1:10" s="10" customFormat="1" x14ac:dyDescent="0.25">
      <c r="A2196" s="18"/>
      <c r="C2196" s="17"/>
      <c r="D2196" s="19"/>
      <c r="E2196" s="17"/>
      <c r="F2196" s="18"/>
      <c r="G2196" s="17"/>
      <c r="H2196" s="17"/>
      <c r="J2196" s="18"/>
    </row>
    <row r="2197" spans="1:10" s="10" customFormat="1" x14ac:dyDescent="0.25">
      <c r="A2197" s="18"/>
      <c r="C2197" s="17"/>
      <c r="D2197" s="19"/>
      <c r="E2197" s="17"/>
      <c r="F2197" s="18"/>
      <c r="G2197" s="17"/>
      <c r="H2197" s="17"/>
      <c r="J2197" s="18"/>
    </row>
    <row r="2198" spans="1:10" s="10" customFormat="1" x14ac:dyDescent="0.25">
      <c r="A2198" s="18"/>
      <c r="C2198" s="17"/>
      <c r="D2198" s="19"/>
      <c r="E2198" s="17"/>
      <c r="F2198" s="18"/>
      <c r="G2198" s="17"/>
      <c r="H2198" s="17"/>
      <c r="J2198" s="18"/>
    </row>
    <row r="2199" spans="1:10" s="10" customFormat="1" x14ac:dyDescent="0.25">
      <c r="A2199" s="18"/>
      <c r="C2199" s="17"/>
      <c r="D2199" s="19"/>
      <c r="E2199" s="17"/>
      <c r="F2199" s="18"/>
      <c r="G2199" s="17"/>
      <c r="H2199" s="17"/>
      <c r="J2199" s="18"/>
    </row>
    <row r="2200" spans="1:10" s="10" customFormat="1" x14ac:dyDescent="0.25">
      <c r="A2200" s="18"/>
      <c r="C2200" s="17"/>
      <c r="D2200" s="19"/>
      <c r="E2200" s="17"/>
      <c r="F2200" s="18"/>
      <c r="G2200" s="17"/>
      <c r="H2200" s="17"/>
      <c r="J2200" s="18"/>
    </row>
    <row r="2201" spans="1:10" s="10" customFormat="1" x14ac:dyDescent="0.25">
      <c r="A2201" s="18"/>
      <c r="C2201" s="17"/>
      <c r="D2201" s="19"/>
      <c r="E2201" s="17"/>
      <c r="F2201" s="18"/>
      <c r="G2201" s="17"/>
      <c r="H2201" s="17"/>
      <c r="J2201" s="18"/>
    </row>
    <row r="2202" spans="1:10" s="10" customFormat="1" x14ac:dyDescent="0.25">
      <c r="A2202" s="18"/>
      <c r="C2202" s="17"/>
      <c r="D2202" s="19"/>
      <c r="E2202" s="17"/>
      <c r="F2202" s="18"/>
      <c r="G2202" s="17"/>
      <c r="H2202" s="17"/>
      <c r="J2202" s="18"/>
    </row>
    <row r="2203" spans="1:10" s="10" customFormat="1" x14ac:dyDescent="0.25">
      <c r="A2203" s="18"/>
      <c r="C2203" s="17"/>
      <c r="D2203" s="19"/>
      <c r="E2203" s="17"/>
      <c r="F2203" s="18"/>
      <c r="G2203" s="17"/>
      <c r="H2203" s="17"/>
      <c r="J2203" s="18"/>
    </row>
    <row r="2204" spans="1:10" s="10" customFormat="1" x14ac:dyDescent="0.25">
      <c r="A2204" s="18"/>
      <c r="C2204" s="17"/>
      <c r="D2204" s="19"/>
      <c r="E2204" s="17"/>
      <c r="F2204" s="18"/>
      <c r="G2204" s="17"/>
      <c r="H2204" s="17"/>
      <c r="J2204" s="18"/>
    </row>
    <row r="2205" spans="1:10" s="10" customFormat="1" x14ac:dyDescent="0.25">
      <c r="A2205" s="18"/>
      <c r="C2205" s="17"/>
      <c r="D2205" s="19"/>
      <c r="E2205" s="17"/>
      <c r="F2205" s="18"/>
      <c r="G2205" s="17"/>
      <c r="H2205" s="17"/>
      <c r="J2205" s="18"/>
    </row>
    <row r="2206" spans="1:10" s="10" customFormat="1" x14ac:dyDescent="0.25">
      <c r="A2206" s="18"/>
      <c r="C2206" s="17"/>
      <c r="D2206" s="19"/>
      <c r="E2206" s="17"/>
      <c r="F2206" s="18"/>
      <c r="G2206" s="17"/>
      <c r="H2206" s="17"/>
      <c r="J2206" s="18"/>
    </row>
    <row r="2207" spans="1:10" s="10" customFormat="1" x14ac:dyDescent="0.25">
      <c r="A2207" s="18"/>
      <c r="C2207" s="17"/>
      <c r="D2207" s="19"/>
      <c r="E2207" s="17"/>
      <c r="F2207" s="18"/>
      <c r="G2207" s="17"/>
      <c r="H2207" s="17"/>
      <c r="J2207" s="18"/>
    </row>
    <row r="2208" spans="1:10" s="10" customFormat="1" x14ac:dyDescent="0.25">
      <c r="A2208" s="18"/>
      <c r="C2208" s="17"/>
      <c r="D2208" s="19"/>
      <c r="E2208" s="17"/>
      <c r="F2208" s="18"/>
      <c r="G2208" s="17"/>
      <c r="H2208" s="17"/>
      <c r="J2208" s="18"/>
    </row>
    <row r="2209" spans="1:10" s="10" customFormat="1" x14ac:dyDescent="0.25">
      <c r="A2209" s="18"/>
      <c r="C2209" s="17"/>
      <c r="D2209" s="19"/>
      <c r="E2209" s="17"/>
      <c r="F2209" s="18"/>
      <c r="G2209" s="17"/>
      <c r="H2209" s="17"/>
      <c r="J2209" s="18"/>
    </row>
    <row r="2210" spans="1:10" s="10" customFormat="1" x14ac:dyDescent="0.25">
      <c r="A2210" s="18"/>
      <c r="C2210" s="17"/>
      <c r="D2210" s="19"/>
      <c r="E2210" s="17"/>
      <c r="F2210" s="18"/>
      <c r="G2210" s="17"/>
      <c r="H2210" s="17"/>
      <c r="J2210" s="18"/>
    </row>
    <row r="2211" spans="1:10" s="10" customFormat="1" x14ac:dyDescent="0.25">
      <c r="A2211" s="18"/>
      <c r="C2211" s="17"/>
      <c r="D2211" s="19"/>
      <c r="E2211" s="17"/>
      <c r="F2211" s="18"/>
      <c r="G2211" s="17"/>
      <c r="H2211" s="17"/>
      <c r="J2211" s="18"/>
    </row>
    <row r="2212" spans="1:10" s="10" customFormat="1" x14ac:dyDescent="0.25">
      <c r="A2212" s="18"/>
      <c r="C2212" s="17"/>
      <c r="D2212" s="19"/>
      <c r="E2212" s="17"/>
      <c r="F2212" s="18"/>
      <c r="G2212" s="17"/>
      <c r="H2212" s="17"/>
      <c r="J2212" s="18"/>
    </row>
    <row r="2213" spans="1:10" s="10" customFormat="1" x14ac:dyDescent="0.25">
      <c r="A2213" s="18"/>
      <c r="C2213" s="17"/>
      <c r="D2213" s="19"/>
      <c r="E2213" s="17"/>
      <c r="F2213" s="18"/>
      <c r="G2213" s="17"/>
      <c r="H2213" s="17"/>
      <c r="J2213" s="18"/>
    </row>
    <row r="2214" spans="1:10" s="10" customFormat="1" x14ac:dyDescent="0.25">
      <c r="A2214" s="18"/>
      <c r="C2214" s="17"/>
      <c r="D2214" s="19"/>
      <c r="E2214" s="17"/>
      <c r="F2214" s="18"/>
      <c r="G2214" s="17"/>
      <c r="H2214" s="17"/>
      <c r="J2214" s="18"/>
    </row>
    <row r="2215" spans="1:10" s="10" customFormat="1" x14ac:dyDescent="0.25">
      <c r="A2215" s="18"/>
      <c r="C2215" s="17"/>
      <c r="D2215" s="19"/>
      <c r="E2215" s="17"/>
      <c r="F2215" s="18"/>
      <c r="G2215" s="17"/>
      <c r="H2215" s="17"/>
      <c r="J2215" s="18"/>
    </row>
    <row r="2216" spans="1:10" s="10" customFormat="1" x14ac:dyDescent="0.25">
      <c r="A2216" s="18"/>
      <c r="C2216" s="17"/>
      <c r="D2216" s="19"/>
      <c r="E2216" s="17"/>
      <c r="F2216" s="18"/>
      <c r="G2216" s="17"/>
      <c r="H2216" s="17"/>
      <c r="J2216" s="18"/>
    </row>
    <row r="2217" spans="1:10" s="10" customFormat="1" x14ac:dyDescent="0.25">
      <c r="A2217" s="18"/>
      <c r="C2217" s="17"/>
      <c r="D2217" s="19"/>
      <c r="E2217" s="17"/>
      <c r="F2217" s="18"/>
      <c r="G2217" s="17"/>
      <c r="H2217" s="17"/>
      <c r="J2217" s="18"/>
    </row>
    <row r="2218" spans="1:10" s="10" customFormat="1" x14ac:dyDescent="0.25">
      <c r="A2218" s="18"/>
      <c r="C2218" s="17"/>
      <c r="D2218" s="19"/>
      <c r="E2218" s="17"/>
      <c r="F2218" s="18"/>
      <c r="G2218" s="17"/>
      <c r="H2218" s="17"/>
      <c r="J2218" s="18"/>
    </row>
    <row r="2219" spans="1:10" s="10" customFormat="1" x14ac:dyDescent="0.25">
      <c r="A2219" s="18"/>
      <c r="C2219" s="17"/>
      <c r="D2219" s="19"/>
      <c r="E2219" s="17"/>
      <c r="F2219" s="18"/>
      <c r="G2219" s="17"/>
      <c r="H2219" s="17"/>
      <c r="J2219" s="18"/>
    </row>
    <row r="2220" spans="1:10" s="10" customFormat="1" x14ac:dyDescent="0.25">
      <c r="A2220" s="18"/>
      <c r="C2220" s="17"/>
      <c r="D2220" s="19"/>
      <c r="E2220" s="17"/>
      <c r="F2220" s="18"/>
      <c r="G2220" s="17"/>
      <c r="H2220" s="17"/>
      <c r="J2220" s="18"/>
    </row>
    <row r="2221" spans="1:10" s="10" customFormat="1" x14ac:dyDescent="0.25">
      <c r="A2221" s="18"/>
      <c r="C2221" s="17"/>
      <c r="D2221" s="19"/>
      <c r="E2221" s="17"/>
      <c r="F2221" s="18"/>
      <c r="G2221" s="17"/>
      <c r="H2221" s="17"/>
      <c r="J2221" s="18"/>
    </row>
    <row r="2222" spans="1:10" s="10" customFormat="1" x14ac:dyDescent="0.25">
      <c r="A2222" s="18"/>
      <c r="C2222" s="17"/>
      <c r="D2222" s="19"/>
      <c r="E2222" s="17"/>
      <c r="F2222" s="18"/>
      <c r="G2222" s="17"/>
      <c r="H2222" s="17"/>
      <c r="J2222" s="18"/>
    </row>
    <row r="2223" spans="1:10" s="10" customFormat="1" x14ac:dyDescent="0.25">
      <c r="A2223" s="18"/>
      <c r="C2223" s="17"/>
      <c r="D2223" s="19"/>
      <c r="E2223" s="17"/>
      <c r="F2223" s="18"/>
      <c r="G2223" s="17"/>
      <c r="H2223" s="17"/>
      <c r="J2223" s="18"/>
    </row>
    <row r="2224" spans="1:10" s="10" customFormat="1" x14ac:dyDescent="0.25">
      <c r="A2224" s="18"/>
      <c r="C2224" s="17"/>
      <c r="D2224" s="19"/>
      <c r="E2224" s="17"/>
      <c r="F2224" s="18"/>
      <c r="G2224" s="17"/>
      <c r="H2224" s="17"/>
      <c r="J2224" s="18"/>
    </row>
    <row r="2225" spans="1:10" s="10" customFormat="1" x14ac:dyDescent="0.25">
      <c r="A2225" s="18"/>
      <c r="C2225" s="17"/>
      <c r="D2225" s="19"/>
      <c r="E2225" s="17"/>
      <c r="F2225" s="18"/>
      <c r="G2225" s="17"/>
      <c r="H2225" s="17"/>
      <c r="J2225" s="18"/>
    </row>
    <row r="2226" spans="1:10" s="10" customFormat="1" x14ac:dyDescent="0.25">
      <c r="A2226" s="18"/>
      <c r="C2226" s="17"/>
      <c r="D2226" s="19"/>
      <c r="E2226" s="17"/>
      <c r="F2226" s="18"/>
      <c r="G2226" s="17"/>
      <c r="H2226" s="17"/>
      <c r="J2226" s="18"/>
    </row>
    <row r="2227" spans="1:10" s="10" customFormat="1" x14ac:dyDescent="0.25">
      <c r="A2227" s="18"/>
      <c r="C2227" s="17"/>
      <c r="D2227" s="19"/>
      <c r="E2227" s="17"/>
      <c r="F2227" s="18"/>
      <c r="G2227" s="17"/>
      <c r="H2227" s="17"/>
      <c r="J2227" s="18"/>
    </row>
    <row r="2228" spans="1:10" s="10" customFormat="1" x14ac:dyDescent="0.25">
      <c r="A2228" s="18"/>
      <c r="C2228" s="17"/>
      <c r="D2228" s="19"/>
      <c r="E2228" s="17"/>
      <c r="F2228" s="18"/>
      <c r="G2228" s="17"/>
      <c r="H2228" s="17"/>
      <c r="J2228" s="18"/>
    </row>
    <row r="2229" spans="1:10" s="10" customFormat="1" x14ac:dyDescent="0.25">
      <c r="A2229" s="18"/>
      <c r="C2229" s="17"/>
      <c r="D2229" s="19"/>
      <c r="E2229" s="17"/>
      <c r="F2229" s="18"/>
      <c r="G2229" s="17"/>
      <c r="H2229" s="17"/>
      <c r="J2229" s="18"/>
    </row>
    <row r="2230" spans="1:10" s="10" customFormat="1" x14ac:dyDescent="0.25">
      <c r="A2230" s="18"/>
      <c r="C2230" s="17"/>
      <c r="D2230" s="19"/>
      <c r="E2230" s="17"/>
      <c r="F2230" s="18"/>
      <c r="G2230" s="17"/>
      <c r="H2230" s="17"/>
      <c r="J2230" s="18"/>
    </row>
    <row r="2231" spans="1:10" s="10" customFormat="1" x14ac:dyDescent="0.25">
      <c r="A2231" s="18"/>
      <c r="C2231" s="17"/>
      <c r="D2231" s="19"/>
      <c r="E2231" s="17"/>
      <c r="F2231" s="18"/>
      <c r="G2231" s="17"/>
      <c r="H2231" s="17"/>
      <c r="J2231" s="18"/>
    </row>
    <row r="2232" spans="1:10" s="10" customFormat="1" x14ac:dyDescent="0.25">
      <c r="A2232" s="18"/>
      <c r="C2232" s="17"/>
      <c r="D2232" s="19"/>
      <c r="E2232" s="17"/>
      <c r="F2232" s="18"/>
      <c r="G2232" s="17"/>
      <c r="H2232" s="17"/>
      <c r="J2232" s="18"/>
    </row>
    <row r="2233" spans="1:10" s="10" customFormat="1" x14ac:dyDescent="0.25">
      <c r="A2233" s="18"/>
      <c r="C2233" s="17"/>
      <c r="D2233" s="19"/>
      <c r="E2233" s="17"/>
      <c r="F2233" s="18"/>
      <c r="G2233" s="17"/>
      <c r="H2233" s="17"/>
      <c r="J2233" s="18"/>
    </row>
    <row r="2234" spans="1:10" s="10" customFormat="1" x14ac:dyDescent="0.25">
      <c r="A2234" s="18"/>
      <c r="C2234" s="17"/>
      <c r="D2234" s="19"/>
      <c r="E2234" s="17"/>
      <c r="F2234" s="18"/>
      <c r="G2234" s="17"/>
      <c r="H2234" s="17"/>
      <c r="J2234" s="18"/>
    </row>
    <row r="2235" spans="1:10" s="10" customFormat="1" x14ac:dyDescent="0.25">
      <c r="A2235" s="18"/>
      <c r="C2235" s="17"/>
      <c r="D2235" s="19"/>
      <c r="E2235" s="17"/>
      <c r="F2235" s="18"/>
      <c r="G2235" s="17"/>
      <c r="H2235" s="17"/>
      <c r="J2235" s="18"/>
    </row>
    <row r="2236" spans="1:10" s="10" customFormat="1" x14ac:dyDescent="0.25">
      <c r="A2236" s="18"/>
      <c r="C2236" s="17"/>
      <c r="D2236" s="19"/>
      <c r="E2236" s="17"/>
      <c r="F2236" s="18"/>
      <c r="G2236" s="17"/>
      <c r="H2236" s="17"/>
      <c r="J2236" s="18"/>
    </row>
    <row r="2237" spans="1:10" s="10" customFormat="1" x14ac:dyDescent="0.25">
      <c r="A2237" s="18"/>
      <c r="C2237" s="17"/>
      <c r="D2237" s="19"/>
      <c r="E2237" s="17"/>
      <c r="F2237" s="18"/>
      <c r="G2237" s="17"/>
      <c r="H2237" s="17"/>
      <c r="J2237" s="18"/>
    </row>
    <row r="2238" spans="1:10" s="10" customFormat="1" x14ac:dyDescent="0.25">
      <c r="A2238" s="18"/>
      <c r="C2238" s="17"/>
      <c r="D2238" s="19"/>
      <c r="E2238" s="17"/>
      <c r="F2238" s="18"/>
      <c r="G2238" s="17"/>
      <c r="H2238" s="17"/>
      <c r="J2238" s="18"/>
    </row>
    <row r="2239" spans="1:10" s="10" customFormat="1" x14ac:dyDescent="0.25">
      <c r="A2239" s="18"/>
      <c r="C2239" s="17"/>
      <c r="D2239" s="19"/>
      <c r="E2239" s="17"/>
      <c r="F2239" s="18"/>
      <c r="G2239" s="17"/>
      <c r="H2239" s="17"/>
      <c r="J2239" s="18"/>
    </row>
    <row r="2240" spans="1:10" s="10" customFormat="1" x14ac:dyDescent="0.25">
      <c r="A2240" s="18"/>
      <c r="C2240" s="17"/>
      <c r="D2240" s="19"/>
      <c r="E2240" s="17"/>
      <c r="F2240" s="18"/>
      <c r="G2240" s="17"/>
      <c r="H2240" s="17"/>
      <c r="J2240" s="18"/>
    </row>
    <row r="2241" spans="1:10" s="10" customFormat="1" x14ac:dyDescent="0.25">
      <c r="A2241" s="18"/>
      <c r="C2241" s="17"/>
      <c r="D2241" s="19"/>
      <c r="E2241" s="17"/>
      <c r="F2241" s="18"/>
      <c r="G2241" s="17"/>
      <c r="H2241" s="17"/>
      <c r="J2241" s="18"/>
    </row>
    <row r="2242" spans="1:10" s="10" customFormat="1" x14ac:dyDescent="0.25">
      <c r="A2242" s="18"/>
      <c r="C2242" s="17"/>
      <c r="D2242" s="19"/>
      <c r="E2242" s="17"/>
      <c r="F2242" s="18"/>
      <c r="G2242" s="17"/>
      <c r="H2242" s="17"/>
      <c r="J2242" s="18"/>
    </row>
    <row r="2243" spans="1:10" s="10" customFormat="1" x14ac:dyDescent="0.25">
      <c r="A2243" s="18"/>
      <c r="C2243" s="17"/>
      <c r="D2243" s="19"/>
      <c r="E2243" s="17"/>
      <c r="F2243" s="18"/>
      <c r="G2243" s="17"/>
      <c r="H2243" s="17"/>
      <c r="J2243" s="18"/>
    </row>
    <row r="2244" spans="1:10" s="10" customFormat="1" x14ac:dyDescent="0.25">
      <c r="A2244" s="18"/>
      <c r="C2244" s="17"/>
      <c r="D2244" s="19"/>
      <c r="E2244" s="17"/>
      <c r="F2244" s="18"/>
      <c r="G2244" s="17"/>
      <c r="H2244" s="17"/>
      <c r="J2244" s="18"/>
    </row>
    <row r="2245" spans="1:10" s="10" customFormat="1" x14ac:dyDescent="0.25">
      <c r="A2245" s="18"/>
      <c r="C2245" s="17"/>
      <c r="D2245" s="19"/>
      <c r="E2245" s="17"/>
      <c r="F2245" s="18"/>
      <c r="G2245" s="17"/>
      <c r="H2245" s="17"/>
      <c r="J2245" s="18"/>
    </row>
    <row r="2246" spans="1:10" s="10" customFormat="1" x14ac:dyDescent="0.25">
      <c r="A2246" s="18"/>
      <c r="C2246" s="17"/>
      <c r="D2246" s="19"/>
      <c r="E2246" s="17"/>
      <c r="F2246" s="18"/>
      <c r="G2246" s="17"/>
      <c r="H2246" s="17"/>
      <c r="J2246" s="18"/>
    </row>
    <row r="2247" spans="1:10" s="10" customFormat="1" x14ac:dyDescent="0.25">
      <c r="A2247" s="18"/>
      <c r="C2247" s="17"/>
      <c r="D2247" s="19"/>
      <c r="E2247" s="17"/>
      <c r="F2247" s="18"/>
      <c r="G2247" s="17"/>
      <c r="H2247" s="17"/>
      <c r="J2247" s="18"/>
    </row>
    <row r="2248" spans="1:10" s="10" customFormat="1" x14ac:dyDescent="0.25">
      <c r="A2248" s="18"/>
      <c r="C2248" s="17"/>
      <c r="D2248" s="19"/>
      <c r="E2248" s="17"/>
      <c r="F2248" s="18"/>
      <c r="G2248" s="17"/>
      <c r="H2248" s="17"/>
      <c r="J2248" s="18"/>
    </row>
    <row r="2249" spans="1:10" s="10" customFormat="1" x14ac:dyDescent="0.25">
      <c r="A2249" s="18"/>
      <c r="C2249" s="17"/>
      <c r="D2249" s="19"/>
      <c r="E2249" s="17"/>
      <c r="F2249" s="18"/>
      <c r="G2249" s="17"/>
      <c r="H2249" s="17"/>
      <c r="J2249" s="18"/>
    </row>
    <row r="2250" spans="1:10" s="10" customFormat="1" x14ac:dyDescent="0.25">
      <c r="A2250" s="18"/>
      <c r="C2250" s="17"/>
      <c r="D2250" s="19"/>
      <c r="E2250" s="17"/>
      <c r="F2250" s="18"/>
      <c r="G2250" s="17"/>
      <c r="H2250" s="17"/>
      <c r="J2250" s="18"/>
    </row>
    <row r="2251" spans="1:10" s="10" customFormat="1" x14ac:dyDescent="0.25">
      <c r="A2251" s="18"/>
      <c r="C2251" s="17"/>
      <c r="D2251" s="19"/>
      <c r="E2251" s="17"/>
      <c r="F2251" s="18"/>
      <c r="G2251" s="17"/>
      <c r="H2251" s="17"/>
      <c r="J2251" s="18"/>
    </row>
    <row r="2252" spans="1:10" s="10" customFormat="1" x14ac:dyDescent="0.25">
      <c r="A2252" s="18"/>
      <c r="C2252" s="17"/>
      <c r="D2252" s="19"/>
      <c r="E2252" s="17"/>
      <c r="F2252" s="18"/>
      <c r="G2252" s="17"/>
      <c r="H2252" s="17"/>
      <c r="J2252" s="18"/>
    </row>
    <row r="2253" spans="1:10" s="10" customFormat="1" x14ac:dyDescent="0.25">
      <c r="A2253" s="18"/>
      <c r="C2253" s="17"/>
      <c r="D2253" s="19"/>
      <c r="E2253" s="17"/>
      <c r="F2253" s="18"/>
      <c r="G2253" s="17"/>
      <c r="H2253" s="17"/>
      <c r="J2253" s="18"/>
    </row>
    <row r="2254" spans="1:10" s="10" customFormat="1" x14ac:dyDescent="0.25">
      <c r="A2254" s="18"/>
      <c r="C2254" s="17"/>
      <c r="D2254" s="19"/>
      <c r="E2254" s="17"/>
      <c r="F2254" s="18"/>
      <c r="G2254" s="17"/>
      <c r="H2254" s="17"/>
      <c r="J2254" s="18"/>
    </row>
    <row r="2255" spans="1:10" s="10" customFormat="1" x14ac:dyDescent="0.25">
      <c r="A2255" s="18"/>
      <c r="C2255" s="17"/>
      <c r="D2255" s="19"/>
      <c r="E2255" s="17"/>
      <c r="F2255" s="18"/>
      <c r="G2255" s="17"/>
      <c r="H2255" s="17"/>
      <c r="J2255" s="18"/>
    </row>
    <row r="2256" spans="1:10" s="10" customFormat="1" x14ac:dyDescent="0.25">
      <c r="A2256" s="18"/>
      <c r="C2256" s="17"/>
      <c r="D2256" s="19"/>
      <c r="E2256" s="17"/>
      <c r="F2256" s="18"/>
      <c r="G2256" s="17"/>
      <c r="H2256" s="17"/>
      <c r="J2256" s="18"/>
    </row>
    <row r="2257" spans="1:10" s="10" customFormat="1" x14ac:dyDescent="0.25">
      <c r="A2257" s="18"/>
      <c r="C2257" s="17"/>
      <c r="D2257" s="19"/>
      <c r="E2257" s="17"/>
      <c r="F2257" s="18"/>
      <c r="G2257" s="17"/>
      <c r="H2257" s="17"/>
      <c r="J2257" s="18"/>
    </row>
    <row r="2258" spans="1:10" s="10" customFormat="1" x14ac:dyDescent="0.25">
      <c r="A2258" s="18"/>
      <c r="C2258" s="17"/>
      <c r="D2258" s="19"/>
      <c r="E2258" s="17"/>
      <c r="F2258" s="18"/>
      <c r="G2258" s="17"/>
      <c r="H2258" s="17"/>
      <c r="J2258" s="18"/>
    </row>
    <row r="2259" spans="1:10" s="10" customFormat="1" x14ac:dyDescent="0.25">
      <c r="A2259" s="18"/>
      <c r="C2259" s="17"/>
      <c r="D2259" s="19"/>
      <c r="E2259" s="17"/>
      <c r="F2259" s="18"/>
      <c r="G2259" s="17"/>
      <c r="H2259" s="17"/>
      <c r="J2259" s="18"/>
    </row>
    <row r="2260" spans="1:10" s="10" customFormat="1" x14ac:dyDescent="0.25">
      <c r="A2260" s="18"/>
      <c r="C2260" s="17"/>
      <c r="D2260" s="19"/>
      <c r="E2260" s="17"/>
      <c r="F2260" s="18"/>
      <c r="G2260" s="17"/>
      <c r="H2260" s="17"/>
      <c r="J2260" s="18"/>
    </row>
    <row r="2261" spans="1:10" s="10" customFormat="1" x14ac:dyDescent="0.25">
      <c r="A2261" s="18"/>
      <c r="C2261" s="17"/>
      <c r="D2261" s="19"/>
      <c r="E2261" s="17"/>
      <c r="F2261" s="18"/>
      <c r="G2261" s="17"/>
      <c r="H2261" s="17"/>
      <c r="J2261" s="18"/>
    </row>
    <row r="2262" spans="1:10" s="10" customFormat="1" x14ac:dyDescent="0.25">
      <c r="A2262" s="18"/>
      <c r="C2262" s="17"/>
      <c r="D2262" s="19"/>
      <c r="E2262" s="17"/>
      <c r="F2262" s="18"/>
      <c r="G2262" s="17"/>
      <c r="H2262" s="17"/>
      <c r="J2262" s="18"/>
    </row>
    <row r="2263" spans="1:10" s="10" customFormat="1" x14ac:dyDescent="0.25">
      <c r="A2263" s="18"/>
      <c r="C2263" s="17"/>
      <c r="D2263" s="19"/>
      <c r="E2263" s="17"/>
      <c r="F2263" s="18"/>
      <c r="G2263" s="17"/>
      <c r="H2263" s="17"/>
      <c r="J2263" s="18"/>
    </row>
    <row r="2264" spans="1:10" s="10" customFormat="1" x14ac:dyDescent="0.25">
      <c r="A2264" s="18"/>
      <c r="C2264" s="17"/>
      <c r="D2264" s="19"/>
      <c r="E2264" s="17"/>
      <c r="F2264" s="18"/>
      <c r="G2264" s="17"/>
      <c r="H2264" s="17"/>
      <c r="J2264" s="18"/>
    </row>
    <row r="2265" spans="1:10" s="10" customFormat="1" x14ac:dyDescent="0.25">
      <c r="A2265" s="18"/>
      <c r="C2265" s="17"/>
      <c r="D2265" s="19"/>
      <c r="E2265" s="17"/>
      <c r="F2265" s="18"/>
      <c r="G2265" s="17"/>
      <c r="H2265" s="17"/>
      <c r="J2265" s="18"/>
    </row>
    <row r="2266" spans="1:10" s="10" customFormat="1" x14ac:dyDescent="0.25">
      <c r="A2266" s="18"/>
      <c r="C2266" s="17"/>
      <c r="D2266" s="19"/>
      <c r="E2266" s="17"/>
      <c r="F2266" s="18"/>
      <c r="G2266" s="17"/>
      <c r="H2266" s="17"/>
      <c r="J2266" s="18"/>
    </row>
    <row r="2267" spans="1:10" s="10" customFormat="1" x14ac:dyDescent="0.25">
      <c r="A2267" s="18"/>
      <c r="C2267" s="17"/>
      <c r="D2267" s="19"/>
      <c r="E2267" s="17"/>
      <c r="F2267" s="18"/>
      <c r="G2267" s="17"/>
      <c r="H2267" s="17"/>
      <c r="J2267" s="18"/>
    </row>
    <row r="2268" spans="1:10" s="10" customFormat="1" x14ac:dyDescent="0.25">
      <c r="A2268" s="18"/>
      <c r="C2268" s="17"/>
      <c r="D2268" s="19"/>
      <c r="E2268" s="17"/>
      <c r="F2268" s="18"/>
      <c r="G2268" s="17"/>
      <c r="H2268" s="17"/>
      <c r="J2268" s="18"/>
    </row>
    <row r="2269" spans="1:10" s="10" customFormat="1" x14ac:dyDescent="0.25">
      <c r="A2269" s="18"/>
      <c r="C2269" s="17"/>
      <c r="D2269" s="19"/>
      <c r="E2269" s="17"/>
      <c r="F2269" s="18"/>
      <c r="G2269" s="17"/>
      <c r="H2269" s="17"/>
      <c r="J2269" s="18"/>
    </row>
    <row r="2270" spans="1:10" s="10" customFormat="1" x14ac:dyDescent="0.25">
      <c r="A2270" s="18"/>
      <c r="C2270" s="17"/>
      <c r="D2270" s="19"/>
      <c r="E2270" s="17"/>
      <c r="F2270" s="18"/>
      <c r="G2270" s="17"/>
      <c r="H2270" s="17"/>
      <c r="J2270" s="18"/>
    </row>
    <row r="2271" spans="1:10" s="10" customFormat="1" x14ac:dyDescent="0.25">
      <c r="A2271" s="18"/>
      <c r="C2271" s="17"/>
      <c r="D2271" s="19"/>
      <c r="E2271" s="17"/>
      <c r="F2271" s="18"/>
      <c r="G2271" s="17"/>
      <c r="H2271" s="17"/>
      <c r="J2271" s="18"/>
    </row>
    <row r="2272" spans="1:10" s="10" customFormat="1" x14ac:dyDescent="0.25">
      <c r="A2272" s="18"/>
      <c r="C2272" s="17"/>
      <c r="D2272" s="19"/>
      <c r="E2272" s="17"/>
      <c r="F2272" s="18"/>
      <c r="G2272" s="17"/>
      <c r="H2272" s="17"/>
      <c r="J2272" s="18"/>
    </row>
    <row r="2273" spans="1:10" s="10" customFormat="1" x14ac:dyDescent="0.25">
      <c r="A2273" s="18"/>
      <c r="C2273" s="17"/>
      <c r="D2273" s="19"/>
      <c r="E2273" s="17"/>
      <c r="F2273" s="18"/>
      <c r="G2273" s="17"/>
      <c r="H2273" s="17"/>
      <c r="J2273" s="18"/>
    </row>
    <row r="2274" spans="1:10" s="10" customFormat="1" x14ac:dyDescent="0.25">
      <c r="A2274" s="18"/>
      <c r="C2274" s="17"/>
      <c r="D2274" s="19"/>
      <c r="E2274" s="17"/>
      <c r="F2274" s="18"/>
      <c r="G2274" s="17"/>
      <c r="H2274" s="17"/>
      <c r="J2274" s="18"/>
    </row>
    <row r="2275" spans="1:10" s="10" customFormat="1" x14ac:dyDescent="0.25">
      <c r="A2275" s="18"/>
      <c r="C2275" s="17"/>
      <c r="D2275" s="19"/>
      <c r="E2275" s="17"/>
      <c r="F2275" s="18"/>
      <c r="G2275" s="17"/>
      <c r="H2275" s="17"/>
      <c r="J2275" s="18"/>
    </row>
    <row r="2276" spans="1:10" s="10" customFormat="1" x14ac:dyDescent="0.25">
      <c r="A2276" s="18"/>
      <c r="C2276" s="17"/>
      <c r="D2276" s="19"/>
      <c r="E2276" s="17"/>
      <c r="F2276" s="18"/>
      <c r="G2276" s="17"/>
      <c r="H2276" s="17"/>
      <c r="J2276" s="18"/>
    </row>
    <row r="2277" spans="1:10" s="10" customFormat="1" x14ac:dyDescent="0.25">
      <c r="A2277" s="18"/>
      <c r="C2277" s="17"/>
      <c r="D2277" s="19"/>
      <c r="E2277" s="17"/>
      <c r="F2277" s="18"/>
      <c r="G2277" s="17"/>
      <c r="H2277" s="17"/>
      <c r="J2277" s="18"/>
    </row>
    <row r="2278" spans="1:10" s="10" customFormat="1" x14ac:dyDescent="0.25">
      <c r="A2278" s="18"/>
      <c r="C2278" s="17"/>
      <c r="D2278" s="19"/>
      <c r="E2278" s="17"/>
      <c r="F2278" s="18"/>
      <c r="G2278" s="17"/>
      <c r="H2278" s="17"/>
      <c r="J2278" s="18"/>
    </row>
    <row r="2279" spans="1:10" s="10" customFormat="1" x14ac:dyDescent="0.25">
      <c r="A2279" s="18"/>
      <c r="C2279" s="17"/>
      <c r="D2279" s="19"/>
      <c r="E2279" s="17"/>
      <c r="F2279" s="18"/>
      <c r="G2279" s="17"/>
      <c r="H2279" s="17"/>
      <c r="J2279" s="18"/>
    </row>
    <row r="2280" spans="1:10" s="10" customFormat="1" x14ac:dyDescent="0.25">
      <c r="A2280" s="18"/>
      <c r="C2280" s="17"/>
      <c r="D2280" s="19"/>
      <c r="E2280" s="17"/>
      <c r="F2280" s="18"/>
      <c r="G2280" s="17"/>
      <c r="H2280" s="17"/>
      <c r="J2280" s="18"/>
    </row>
    <row r="2281" spans="1:10" s="10" customFormat="1" x14ac:dyDescent="0.25">
      <c r="A2281" s="18"/>
      <c r="C2281" s="17"/>
      <c r="D2281" s="19"/>
      <c r="E2281" s="17"/>
      <c r="F2281" s="18"/>
      <c r="G2281" s="17"/>
      <c r="H2281" s="17"/>
      <c r="J2281" s="18"/>
    </row>
    <row r="2282" spans="1:10" s="10" customFormat="1" x14ac:dyDescent="0.25">
      <c r="A2282" s="18"/>
      <c r="C2282" s="17"/>
      <c r="D2282" s="19"/>
      <c r="E2282" s="17"/>
      <c r="F2282" s="18"/>
      <c r="G2282" s="17"/>
      <c r="H2282" s="17"/>
      <c r="J2282" s="18"/>
    </row>
    <row r="2283" spans="1:10" s="10" customFormat="1" x14ac:dyDescent="0.25">
      <c r="A2283" s="18"/>
      <c r="C2283" s="17"/>
      <c r="D2283" s="19"/>
      <c r="E2283" s="17"/>
      <c r="F2283" s="18"/>
      <c r="G2283" s="17"/>
      <c r="H2283" s="17"/>
      <c r="J2283" s="18"/>
    </row>
    <row r="2284" spans="1:10" s="10" customFormat="1" x14ac:dyDescent="0.25">
      <c r="A2284" s="18"/>
      <c r="C2284" s="17"/>
      <c r="D2284" s="19"/>
      <c r="E2284" s="17"/>
      <c r="F2284" s="18"/>
      <c r="G2284" s="17"/>
      <c r="H2284" s="17"/>
      <c r="J2284" s="18"/>
    </row>
    <row r="2285" spans="1:10" s="10" customFormat="1" x14ac:dyDescent="0.25">
      <c r="A2285" s="18"/>
      <c r="C2285" s="17"/>
      <c r="D2285" s="19"/>
      <c r="E2285" s="17"/>
      <c r="F2285" s="18"/>
      <c r="G2285" s="17"/>
      <c r="H2285" s="17"/>
      <c r="J2285" s="18"/>
    </row>
    <row r="2286" spans="1:10" s="10" customFormat="1" x14ac:dyDescent="0.25">
      <c r="A2286" s="18"/>
      <c r="C2286" s="17"/>
      <c r="D2286" s="19"/>
      <c r="E2286" s="17"/>
      <c r="F2286" s="18"/>
      <c r="G2286" s="17"/>
      <c r="H2286" s="17"/>
      <c r="J2286" s="18"/>
    </row>
    <row r="2287" spans="1:10" s="10" customFormat="1" x14ac:dyDescent="0.25">
      <c r="A2287" s="18"/>
      <c r="C2287" s="17"/>
      <c r="D2287" s="19"/>
      <c r="E2287" s="17"/>
      <c r="F2287" s="18"/>
      <c r="G2287" s="17"/>
      <c r="H2287" s="17"/>
      <c r="J2287" s="18"/>
    </row>
    <row r="2288" spans="1:10" s="10" customFormat="1" x14ac:dyDescent="0.25">
      <c r="A2288" s="18"/>
      <c r="C2288" s="17"/>
      <c r="D2288" s="19"/>
      <c r="E2288" s="17"/>
      <c r="F2288" s="18"/>
      <c r="G2288" s="17"/>
      <c r="H2288" s="17"/>
      <c r="J2288" s="18"/>
    </row>
    <row r="2289" spans="1:10" s="10" customFormat="1" x14ac:dyDescent="0.25">
      <c r="A2289" s="18"/>
      <c r="C2289" s="17"/>
      <c r="D2289" s="19"/>
      <c r="E2289" s="17"/>
      <c r="F2289" s="18"/>
      <c r="G2289" s="17"/>
      <c r="H2289" s="17"/>
      <c r="J2289" s="18"/>
    </row>
    <row r="2290" spans="1:10" s="10" customFormat="1" x14ac:dyDescent="0.25">
      <c r="A2290" s="18"/>
      <c r="C2290" s="17"/>
      <c r="D2290" s="19"/>
      <c r="E2290" s="17"/>
      <c r="F2290" s="18"/>
      <c r="G2290" s="17"/>
      <c r="H2290" s="17"/>
      <c r="J2290" s="18"/>
    </row>
    <row r="2291" spans="1:10" s="10" customFormat="1" x14ac:dyDescent="0.25">
      <c r="A2291" s="18"/>
      <c r="C2291" s="17"/>
      <c r="D2291" s="19"/>
      <c r="E2291" s="17"/>
      <c r="F2291" s="18"/>
      <c r="G2291" s="17"/>
      <c r="H2291" s="17"/>
      <c r="J2291" s="18"/>
    </row>
    <row r="2292" spans="1:10" s="10" customFormat="1" x14ac:dyDescent="0.25">
      <c r="A2292" s="18"/>
      <c r="C2292" s="17"/>
      <c r="D2292" s="19"/>
      <c r="E2292" s="17"/>
      <c r="F2292" s="18"/>
      <c r="G2292" s="17"/>
      <c r="H2292" s="17"/>
      <c r="J2292" s="18"/>
    </row>
    <row r="2293" spans="1:10" s="10" customFormat="1" x14ac:dyDescent="0.25">
      <c r="A2293" s="18"/>
      <c r="C2293" s="17"/>
      <c r="D2293" s="19"/>
      <c r="E2293" s="17"/>
      <c r="F2293" s="18"/>
      <c r="G2293" s="17"/>
      <c r="H2293" s="17"/>
      <c r="J2293" s="18"/>
    </row>
    <row r="2294" spans="1:10" s="10" customFormat="1" x14ac:dyDescent="0.25">
      <c r="A2294" s="18"/>
      <c r="C2294" s="17"/>
      <c r="D2294" s="19"/>
      <c r="E2294" s="17"/>
      <c r="F2294" s="18"/>
      <c r="G2294" s="17"/>
      <c r="H2294" s="17"/>
      <c r="J2294" s="18"/>
    </row>
    <row r="2295" spans="1:10" s="10" customFormat="1" x14ac:dyDescent="0.25">
      <c r="A2295" s="18"/>
      <c r="C2295" s="17"/>
      <c r="D2295" s="19"/>
      <c r="E2295" s="17"/>
      <c r="F2295" s="18"/>
      <c r="G2295" s="17"/>
      <c r="H2295" s="17"/>
      <c r="J2295" s="18"/>
    </row>
    <row r="2296" spans="1:10" s="10" customFormat="1" x14ac:dyDescent="0.25">
      <c r="A2296" s="18"/>
      <c r="C2296" s="17"/>
      <c r="D2296" s="19"/>
      <c r="E2296" s="17"/>
      <c r="F2296" s="18"/>
      <c r="G2296" s="17"/>
      <c r="H2296" s="17"/>
      <c r="J2296" s="18"/>
    </row>
    <row r="2297" spans="1:10" s="10" customFormat="1" x14ac:dyDescent="0.25">
      <c r="A2297" s="18"/>
      <c r="C2297" s="17"/>
      <c r="D2297" s="19"/>
      <c r="E2297" s="17"/>
      <c r="F2297" s="18"/>
      <c r="G2297" s="17"/>
      <c r="H2297" s="17"/>
      <c r="J2297" s="18"/>
    </row>
    <row r="2298" spans="1:10" s="10" customFormat="1" x14ac:dyDescent="0.25">
      <c r="A2298" s="18"/>
      <c r="C2298" s="17"/>
      <c r="D2298" s="19"/>
      <c r="E2298" s="17"/>
      <c r="F2298" s="18"/>
      <c r="G2298" s="17"/>
      <c r="H2298" s="17"/>
      <c r="J2298" s="18"/>
    </row>
    <row r="2299" spans="1:10" s="10" customFormat="1" x14ac:dyDescent="0.25">
      <c r="A2299" s="18"/>
      <c r="C2299" s="17"/>
      <c r="D2299" s="19"/>
      <c r="E2299" s="17"/>
      <c r="F2299" s="18"/>
      <c r="G2299" s="17"/>
      <c r="H2299" s="17"/>
      <c r="J2299" s="18"/>
    </row>
    <row r="2300" spans="1:10" s="10" customFormat="1" x14ac:dyDescent="0.25">
      <c r="A2300" s="18"/>
      <c r="C2300" s="17"/>
      <c r="D2300" s="19"/>
      <c r="E2300" s="17"/>
      <c r="F2300" s="18"/>
      <c r="G2300" s="17"/>
      <c r="H2300" s="17"/>
      <c r="J2300" s="18"/>
    </row>
    <row r="2301" spans="1:10" s="10" customFormat="1" x14ac:dyDescent="0.25">
      <c r="A2301" s="18"/>
      <c r="C2301" s="17"/>
      <c r="D2301" s="19"/>
      <c r="E2301" s="17"/>
      <c r="F2301" s="18"/>
      <c r="G2301" s="17"/>
      <c r="H2301" s="17"/>
      <c r="J2301" s="18"/>
    </row>
    <row r="2302" spans="1:10" s="10" customFormat="1" x14ac:dyDescent="0.25">
      <c r="A2302" s="18"/>
      <c r="C2302" s="17"/>
      <c r="D2302" s="19"/>
      <c r="E2302" s="17"/>
      <c r="F2302" s="18"/>
      <c r="G2302" s="17"/>
      <c r="H2302" s="17"/>
      <c r="J2302" s="18"/>
    </row>
    <row r="2303" spans="1:10" s="10" customFormat="1" x14ac:dyDescent="0.25">
      <c r="A2303" s="18"/>
      <c r="C2303" s="17"/>
      <c r="D2303" s="19"/>
      <c r="E2303" s="17"/>
      <c r="F2303" s="18"/>
      <c r="G2303" s="17"/>
      <c r="H2303" s="17"/>
      <c r="J2303" s="18"/>
    </row>
    <row r="2304" spans="1:10" s="10" customFormat="1" x14ac:dyDescent="0.25">
      <c r="A2304" s="18"/>
      <c r="C2304" s="17"/>
      <c r="D2304" s="19"/>
      <c r="E2304" s="17"/>
      <c r="F2304" s="18"/>
      <c r="G2304" s="17"/>
      <c r="H2304" s="17"/>
      <c r="J2304" s="18"/>
    </row>
    <row r="2305" spans="1:10" s="10" customFormat="1" x14ac:dyDescent="0.25">
      <c r="A2305" s="18"/>
      <c r="C2305" s="17"/>
      <c r="D2305" s="19"/>
      <c r="E2305" s="17"/>
      <c r="F2305" s="18"/>
      <c r="G2305" s="17"/>
      <c r="H2305" s="17"/>
      <c r="J2305" s="18"/>
    </row>
    <row r="2306" spans="1:10" s="10" customFormat="1" x14ac:dyDescent="0.25">
      <c r="A2306" s="18"/>
      <c r="C2306" s="17"/>
      <c r="D2306" s="19"/>
      <c r="E2306" s="17"/>
      <c r="F2306" s="18"/>
      <c r="G2306" s="17"/>
      <c r="H2306" s="17"/>
      <c r="J2306" s="18"/>
    </row>
    <row r="2307" spans="1:10" s="10" customFormat="1" x14ac:dyDescent="0.25">
      <c r="A2307" s="18"/>
      <c r="C2307" s="17"/>
      <c r="D2307" s="19"/>
      <c r="E2307" s="17"/>
      <c r="F2307" s="18"/>
      <c r="G2307" s="17"/>
      <c r="H2307" s="17"/>
      <c r="J2307" s="18"/>
    </row>
    <row r="2308" spans="1:10" s="10" customFormat="1" x14ac:dyDescent="0.25">
      <c r="A2308" s="18"/>
      <c r="C2308" s="17"/>
      <c r="D2308" s="19"/>
      <c r="E2308" s="17"/>
      <c r="F2308" s="18"/>
      <c r="G2308" s="17"/>
      <c r="H2308" s="17"/>
      <c r="J2308" s="18"/>
    </row>
    <row r="2309" spans="1:10" s="10" customFormat="1" x14ac:dyDescent="0.25">
      <c r="A2309" s="18"/>
      <c r="C2309" s="17"/>
      <c r="D2309" s="19"/>
      <c r="E2309" s="17"/>
      <c r="F2309" s="18"/>
      <c r="G2309" s="17"/>
      <c r="H2309" s="17"/>
      <c r="J2309" s="18"/>
    </row>
    <row r="2310" spans="1:10" s="10" customFormat="1" x14ac:dyDescent="0.25">
      <c r="A2310" s="18"/>
      <c r="C2310" s="17"/>
      <c r="D2310" s="19"/>
      <c r="E2310" s="17"/>
      <c r="F2310" s="18"/>
      <c r="G2310" s="17"/>
      <c r="H2310" s="17"/>
      <c r="J2310" s="18"/>
    </row>
    <row r="2311" spans="1:10" s="10" customFormat="1" x14ac:dyDescent="0.25">
      <c r="A2311" s="18"/>
      <c r="C2311" s="17"/>
      <c r="D2311" s="19"/>
      <c r="E2311" s="17"/>
      <c r="F2311" s="18"/>
      <c r="G2311" s="17"/>
      <c r="H2311" s="17"/>
      <c r="J2311" s="18"/>
    </row>
    <row r="2312" spans="1:10" s="10" customFormat="1" x14ac:dyDescent="0.25">
      <c r="A2312" s="18"/>
      <c r="C2312" s="17"/>
      <c r="D2312" s="19"/>
      <c r="E2312" s="17"/>
      <c r="F2312" s="18"/>
      <c r="G2312" s="17"/>
      <c r="H2312" s="17"/>
      <c r="J2312" s="18"/>
    </row>
    <row r="2313" spans="1:10" s="10" customFormat="1" x14ac:dyDescent="0.25">
      <c r="A2313" s="18"/>
      <c r="C2313" s="17"/>
      <c r="D2313" s="19"/>
      <c r="E2313" s="17"/>
      <c r="F2313" s="18"/>
      <c r="G2313" s="17"/>
      <c r="H2313" s="17"/>
      <c r="J2313" s="18"/>
    </row>
    <row r="2314" spans="1:10" s="10" customFormat="1" x14ac:dyDescent="0.25">
      <c r="A2314" s="18"/>
      <c r="C2314" s="17"/>
      <c r="D2314" s="19"/>
      <c r="E2314" s="17"/>
      <c r="F2314" s="18"/>
      <c r="G2314" s="17"/>
      <c r="H2314" s="17"/>
      <c r="J2314" s="18"/>
    </row>
    <row r="2315" spans="1:10" s="10" customFormat="1" x14ac:dyDescent="0.25">
      <c r="A2315" s="18"/>
      <c r="C2315" s="17"/>
      <c r="D2315" s="19"/>
      <c r="E2315" s="17"/>
      <c r="F2315" s="18"/>
      <c r="G2315" s="17"/>
      <c r="H2315" s="17"/>
      <c r="J2315" s="18"/>
    </row>
    <row r="2316" spans="1:10" s="10" customFormat="1" x14ac:dyDescent="0.25">
      <c r="A2316" s="18"/>
      <c r="C2316" s="17"/>
      <c r="D2316" s="19"/>
      <c r="E2316" s="17"/>
      <c r="F2316" s="18"/>
      <c r="G2316" s="17"/>
      <c r="H2316" s="17"/>
      <c r="J2316" s="18"/>
    </row>
    <row r="2317" spans="1:10" s="10" customFormat="1" x14ac:dyDescent="0.25">
      <c r="A2317" s="18"/>
      <c r="C2317" s="17"/>
      <c r="D2317" s="19"/>
      <c r="E2317" s="17"/>
      <c r="F2317" s="18"/>
      <c r="G2317" s="17"/>
      <c r="H2317" s="17"/>
      <c r="J2317" s="18"/>
    </row>
    <row r="2318" spans="1:10" s="10" customFormat="1" x14ac:dyDescent="0.25">
      <c r="A2318" s="18"/>
      <c r="C2318" s="17"/>
      <c r="D2318" s="19"/>
      <c r="E2318" s="17"/>
      <c r="F2318" s="18"/>
      <c r="G2318" s="17"/>
      <c r="H2318" s="17"/>
      <c r="J2318" s="18"/>
    </row>
    <row r="2319" spans="1:10" s="10" customFormat="1" x14ac:dyDescent="0.25">
      <c r="A2319" s="18"/>
      <c r="C2319" s="17"/>
      <c r="D2319" s="19"/>
      <c r="E2319" s="17"/>
      <c r="F2319" s="18"/>
      <c r="G2319" s="17"/>
      <c r="H2319" s="17"/>
      <c r="J2319" s="18"/>
    </row>
    <row r="2320" spans="1:10" s="10" customFormat="1" x14ac:dyDescent="0.25">
      <c r="A2320" s="18"/>
      <c r="C2320" s="17"/>
      <c r="D2320" s="19"/>
      <c r="E2320" s="17"/>
      <c r="F2320" s="18"/>
      <c r="G2320" s="17"/>
      <c r="H2320" s="17"/>
      <c r="J2320" s="18"/>
    </row>
    <row r="2321" spans="1:10" s="10" customFormat="1" x14ac:dyDescent="0.25">
      <c r="A2321" s="18"/>
      <c r="C2321" s="17"/>
      <c r="D2321" s="19"/>
      <c r="E2321" s="17"/>
      <c r="F2321" s="18"/>
      <c r="G2321" s="17"/>
      <c r="H2321" s="17"/>
      <c r="J2321" s="18"/>
    </row>
    <row r="2322" spans="1:10" s="10" customFormat="1" x14ac:dyDescent="0.25">
      <c r="A2322" s="18"/>
      <c r="C2322" s="17"/>
      <c r="D2322" s="19"/>
      <c r="E2322" s="17"/>
      <c r="F2322" s="18"/>
      <c r="G2322" s="17"/>
      <c r="H2322" s="17"/>
      <c r="J2322" s="18"/>
    </row>
    <row r="2323" spans="1:10" s="10" customFormat="1" x14ac:dyDescent="0.25">
      <c r="A2323" s="18"/>
      <c r="C2323" s="17"/>
      <c r="D2323" s="19"/>
      <c r="E2323" s="17"/>
      <c r="F2323" s="18"/>
      <c r="G2323" s="17"/>
      <c r="H2323" s="17"/>
      <c r="J2323" s="18"/>
    </row>
    <row r="2324" spans="1:10" s="10" customFormat="1" x14ac:dyDescent="0.25">
      <c r="A2324" s="18"/>
      <c r="C2324" s="17"/>
      <c r="D2324" s="19"/>
      <c r="E2324" s="17"/>
      <c r="F2324" s="18"/>
      <c r="G2324" s="17"/>
      <c r="H2324" s="17"/>
      <c r="J2324" s="18"/>
    </row>
    <row r="2325" spans="1:10" s="10" customFormat="1" x14ac:dyDescent="0.25">
      <c r="A2325" s="18"/>
      <c r="C2325" s="17"/>
      <c r="D2325" s="19"/>
      <c r="E2325" s="17"/>
      <c r="F2325" s="18"/>
      <c r="G2325" s="17"/>
      <c r="H2325" s="17"/>
      <c r="J2325" s="18"/>
    </row>
    <row r="2326" spans="1:10" s="10" customFormat="1" x14ac:dyDescent="0.25">
      <c r="A2326" s="18"/>
      <c r="C2326" s="17"/>
      <c r="D2326" s="19"/>
      <c r="E2326" s="17"/>
      <c r="F2326" s="18"/>
      <c r="G2326" s="17"/>
      <c r="H2326" s="17"/>
      <c r="J2326" s="18"/>
    </row>
    <row r="2327" spans="1:10" s="10" customFormat="1" x14ac:dyDescent="0.25">
      <c r="A2327" s="18"/>
      <c r="C2327" s="17"/>
      <c r="D2327" s="19"/>
      <c r="E2327" s="17"/>
      <c r="F2327" s="18"/>
      <c r="G2327" s="17"/>
      <c r="H2327" s="17"/>
      <c r="J2327" s="18"/>
    </row>
    <row r="2328" spans="1:10" s="10" customFormat="1" x14ac:dyDescent="0.25">
      <c r="A2328" s="18"/>
      <c r="C2328" s="17"/>
      <c r="D2328" s="19"/>
      <c r="E2328" s="17"/>
      <c r="F2328" s="18"/>
      <c r="G2328" s="17"/>
      <c r="H2328" s="17"/>
      <c r="J2328" s="18"/>
    </row>
    <row r="2329" spans="1:10" s="10" customFormat="1" x14ac:dyDescent="0.25">
      <c r="A2329" s="18"/>
      <c r="C2329" s="17"/>
      <c r="D2329" s="19"/>
      <c r="E2329" s="17"/>
      <c r="F2329" s="18"/>
      <c r="G2329" s="17"/>
      <c r="H2329" s="17"/>
      <c r="J2329" s="18"/>
    </row>
    <row r="2330" spans="1:10" s="10" customFormat="1" x14ac:dyDescent="0.25">
      <c r="A2330" s="18"/>
      <c r="C2330" s="17"/>
      <c r="D2330" s="19"/>
      <c r="E2330" s="17"/>
      <c r="F2330" s="18"/>
      <c r="G2330" s="17"/>
      <c r="H2330" s="17"/>
      <c r="J2330" s="18"/>
    </row>
    <row r="2331" spans="1:10" s="10" customFormat="1" x14ac:dyDescent="0.25">
      <c r="A2331" s="18"/>
      <c r="C2331" s="17"/>
      <c r="D2331" s="19"/>
      <c r="E2331" s="17"/>
      <c r="F2331" s="18"/>
      <c r="G2331" s="17"/>
      <c r="H2331" s="17"/>
      <c r="J2331" s="18"/>
    </row>
    <row r="2332" spans="1:10" s="10" customFormat="1" x14ac:dyDescent="0.25">
      <c r="A2332" s="18"/>
      <c r="C2332" s="17"/>
      <c r="D2332" s="19"/>
      <c r="E2332" s="17"/>
      <c r="F2332" s="18"/>
      <c r="G2332" s="17"/>
      <c r="H2332" s="17"/>
      <c r="J2332" s="18"/>
    </row>
    <row r="2333" spans="1:10" s="10" customFormat="1" x14ac:dyDescent="0.25">
      <c r="A2333" s="18"/>
      <c r="C2333" s="17"/>
      <c r="D2333" s="19"/>
      <c r="E2333" s="17"/>
      <c r="F2333" s="18"/>
      <c r="G2333" s="17"/>
      <c r="H2333" s="17"/>
      <c r="J2333" s="18"/>
    </row>
    <row r="2334" spans="1:10" s="10" customFormat="1" x14ac:dyDescent="0.25">
      <c r="A2334" s="18"/>
      <c r="C2334" s="17"/>
      <c r="D2334" s="19"/>
      <c r="E2334" s="17"/>
      <c r="F2334" s="18"/>
      <c r="G2334" s="17"/>
      <c r="H2334" s="17"/>
      <c r="J2334" s="18"/>
    </row>
    <row r="2335" spans="1:10" s="10" customFormat="1" x14ac:dyDescent="0.25">
      <c r="A2335" s="18"/>
      <c r="C2335" s="17"/>
      <c r="D2335" s="19"/>
      <c r="E2335" s="17"/>
      <c r="F2335" s="18"/>
      <c r="G2335" s="17"/>
      <c r="H2335" s="17"/>
      <c r="J2335" s="18"/>
    </row>
    <row r="2336" spans="1:10" s="10" customFormat="1" x14ac:dyDescent="0.25">
      <c r="A2336" s="18"/>
      <c r="C2336" s="17"/>
      <c r="D2336" s="19"/>
      <c r="E2336" s="17"/>
      <c r="F2336" s="18"/>
      <c r="G2336" s="17"/>
      <c r="H2336" s="17"/>
      <c r="J2336" s="18"/>
    </row>
    <row r="2337" spans="1:10" s="10" customFormat="1" x14ac:dyDescent="0.25">
      <c r="A2337" s="18"/>
      <c r="C2337" s="17"/>
      <c r="D2337" s="19"/>
      <c r="E2337" s="17"/>
      <c r="F2337" s="18"/>
      <c r="G2337" s="17"/>
      <c r="H2337" s="17"/>
      <c r="J2337" s="18"/>
    </row>
    <row r="2338" spans="1:10" s="10" customFormat="1" x14ac:dyDescent="0.25">
      <c r="A2338" s="18"/>
      <c r="C2338" s="17"/>
      <c r="D2338" s="19"/>
      <c r="E2338" s="17"/>
      <c r="F2338" s="18"/>
      <c r="G2338" s="17"/>
      <c r="H2338" s="17"/>
      <c r="J2338" s="18"/>
    </row>
    <row r="2339" spans="1:10" s="10" customFormat="1" x14ac:dyDescent="0.25">
      <c r="A2339" s="18"/>
      <c r="C2339" s="17"/>
      <c r="D2339" s="19"/>
      <c r="E2339" s="17"/>
      <c r="F2339" s="18"/>
      <c r="G2339" s="17"/>
      <c r="H2339" s="17"/>
      <c r="J2339" s="18"/>
    </row>
    <row r="2340" spans="1:10" s="10" customFormat="1" x14ac:dyDescent="0.25">
      <c r="A2340" s="18"/>
      <c r="C2340" s="17"/>
      <c r="D2340" s="19"/>
      <c r="E2340" s="17"/>
      <c r="F2340" s="18"/>
      <c r="G2340" s="17"/>
      <c r="H2340" s="17"/>
      <c r="J2340" s="18"/>
    </row>
    <row r="2341" spans="1:10" s="10" customFormat="1" x14ac:dyDescent="0.25">
      <c r="A2341" s="18"/>
      <c r="C2341" s="17"/>
      <c r="D2341" s="19"/>
      <c r="E2341" s="17"/>
      <c r="F2341" s="18"/>
      <c r="G2341" s="17"/>
      <c r="H2341" s="17"/>
      <c r="J2341" s="18"/>
    </row>
    <row r="2342" spans="1:10" s="10" customFormat="1" x14ac:dyDescent="0.25">
      <c r="A2342" s="18"/>
      <c r="C2342" s="17"/>
      <c r="D2342" s="19"/>
      <c r="E2342" s="17"/>
      <c r="F2342" s="18"/>
      <c r="G2342" s="17"/>
      <c r="H2342" s="17"/>
      <c r="J2342" s="18"/>
    </row>
    <row r="2343" spans="1:10" s="10" customFormat="1" x14ac:dyDescent="0.25">
      <c r="A2343" s="18"/>
      <c r="C2343" s="17"/>
      <c r="D2343" s="19"/>
      <c r="E2343" s="17"/>
      <c r="F2343" s="18"/>
      <c r="G2343" s="17"/>
      <c r="H2343" s="17"/>
      <c r="J2343" s="18"/>
    </row>
    <row r="2344" spans="1:10" s="10" customFormat="1" x14ac:dyDescent="0.25">
      <c r="A2344" s="18"/>
      <c r="C2344" s="17"/>
      <c r="D2344" s="19"/>
      <c r="E2344" s="17"/>
      <c r="F2344" s="18"/>
      <c r="G2344" s="17"/>
      <c r="H2344" s="17"/>
      <c r="J2344" s="18"/>
    </row>
    <row r="2345" spans="1:10" s="10" customFormat="1" x14ac:dyDescent="0.25">
      <c r="A2345" s="18"/>
      <c r="C2345" s="17"/>
      <c r="D2345" s="19"/>
      <c r="E2345" s="17"/>
      <c r="F2345" s="18"/>
      <c r="G2345" s="17"/>
      <c r="H2345" s="17"/>
      <c r="J2345" s="18"/>
    </row>
    <row r="2346" spans="1:10" s="10" customFormat="1" x14ac:dyDescent="0.25">
      <c r="A2346" s="18"/>
      <c r="C2346" s="17"/>
      <c r="D2346" s="19"/>
      <c r="E2346" s="17"/>
      <c r="F2346" s="18"/>
      <c r="G2346" s="17"/>
      <c r="H2346" s="17"/>
      <c r="J2346" s="18"/>
    </row>
    <row r="2347" spans="1:10" s="10" customFormat="1" x14ac:dyDescent="0.25">
      <c r="A2347" s="18"/>
      <c r="C2347" s="17"/>
      <c r="D2347" s="19"/>
      <c r="E2347" s="17"/>
      <c r="F2347" s="18"/>
      <c r="G2347" s="17"/>
      <c r="H2347" s="17"/>
      <c r="J2347" s="18"/>
    </row>
    <row r="2348" spans="1:10" s="10" customFormat="1" x14ac:dyDescent="0.25">
      <c r="A2348" s="18"/>
      <c r="C2348" s="17"/>
      <c r="D2348" s="19"/>
      <c r="E2348" s="17"/>
      <c r="F2348" s="18"/>
      <c r="G2348" s="17"/>
      <c r="H2348" s="17"/>
      <c r="J2348" s="18"/>
    </row>
    <row r="2349" spans="1:10" s="10" customFormat="1" x14ac:dyDescent="0.25">
      <c r="A2349" s="18"/>
      <c r="C2349" s="17"/>
      <c r="D2349" s="19"/>
      <c r="E2349" s="17"/>
      <c r="F2349" s="18"/>
      <c r="G2349" s="17"/>
      <c r="H2349" s="17"/>
      <c r="J2349" s="18"/>
    </row>
    <row r="2350" spans="1:10" s="10" customFormat="1" x14ac:dyDescent="0.25">
      <c r="A2350" s="18"/>
      <c r="C2350" s="17"/>
      <c r="D2350" s="19"/>
      <c r="E2350" s="17"/>
      <c r="F2350" s="18"/>
      <c r="G2350" s="17"/>
      <c r="H2350" s="17"/>
      <c r="J2350" s="18"/>
    </row>
    <row r="2351" spans="1:10" s="10" customFormat="1" x14ac:dyDescent="0.25">
      <c r="A2351" s="18"/>
      <c r="C2351" s="17"/>
      <c r="D2351" s="19"/>
      <c r="E2351" s="17"/>
      <c r="F2351" s="18"/>
      <c r="G2351" s="17"/>
      <c r="H2351" s="17"/>
      <c r="J2351" s="18"/>
    </row>
    <row r="2352" spans="1:10" s="10" customFormat="1" x14ac:dyDescent="0.25">
      <c r="A2352" s="18"/>
      <c r="C2352" s="17"/>
      <c r="D2352" s="19"/>
      <c r="E2352" s="17"/>
      <c r="F2352" s="18"/>
      <c r="G2352" s="17"/>
      <c r="H2352" s="17"/>
      <c r="J2352" s="18"/>
    </row>
    <row r="2353" spans="1:10" s="10" customFormat="1" x14ac:dyDescent="0.25">
      <c r="A2353" s="18"/>
      <c r="C2353" s="17"/>
      <c r="D2353" s="19"/>
      <c r="E2353" s="17"/>
      <c r="F2353" s="18"/>
      <c r="G2353" s="17"/>
      <c r="H2353" s="17"/>
      <c r="J2353" s="18"/>
    </row>
    <row r="2354" spans="1:10" s="10" customFormat="1" x14ac:dyDescent="0.25">
      <c r="A2354" s="18"/>
      <c r="C2354" s="17"/>
      <c r="D2354" s="19"/>
      <c r="E2354" s="17"/>
      <c r="F2354" s="18"/>
      <c r="G2354" s="17"/>
      <c r="H2354" s="17"/>
      <c r="J2354" s="18"/>
    </row>
    <row r="2355" spans="1:10" s="10" customFormat="1" x14ac:dyDescent="0.25">
      <c r="A2355" s="18"/>
      <c r="C2355" s="17"/>
      <c r="D2355" s="19"/>
      <c r="E2355" s="17"/>
      <c r="F2355" s="18"/>
      <c r="G2355" s="17"/>
      <c r="H2355" s="17"/>
      <c r="J2355" s="18"/>
    </row>
    <row r="2356" spans="1:10" s="10" customFormat="1" x14ac:dyDescent="0.25">
      <c r="A2356" s="18"/>
      <c r="C2356" s="17"/>
      <c r="D2356" s="19"/>
      <c r="E2356" s="17"/>
      <c r="F2356" s="18"/>
      <c r="G2356" s="17"/>
      <c r="H2356" s="17"/>
      <c r="J2356" s="18"/>
    </row>
    <row r="2357" spans="1:10" s="10" customFormat="1" x14ac:dyDescent="0.25">
      <c r="A2357" s="18"/>
      <c r="C2357" s="17"/>
      <c r="D2357" s="19"/>
      <c r="E2357" s="17"/>
      <c r="F2357" s="18"/>
      <c r="G2357" s="17"/>
      <c r="H2357" s="17"/>
      <c r="J2357" s="18"/>
    </row>
    <row r="2358" spans="1:10" s="10" customFormat="1" x14ac:dyDescent="0.25">
      <c r="A2358" s="18"/>
      <c r="C2358" s="17"/>
      <c r="D2358" s="19"/>
      <c r="E2358" s="17"/>
      <c r="F2358" s="18"/>
      <c r="G2358" s="17"/>
      <c r="H2358" s="17"/>
      <c r="J2358" s="18"/>
    </row>
    <row r="2359" spans="1:10" s="10" customFormat="1" x14ac:dyDescent="0.25">
      <c r="A2359" s="18"/>
      <c r="C2359" s="17"/>
      <c r="D2359" s="19"/>
      <c r="E2359" s="17"/>
      <c r="F2359" s="18"/>
      <c r="G2359" s="17"/>
      <c r="H2359" s="17"/>
      <c r="J2359" s="18"/>
    </row>
    <row r="2360" spans="1:10" s="10" customFormat="1" x14ac:dyDescent="0.25">
      <c r="A2360" s="18"/>
      <c r="C2360" s="17"/>
      <c r="D2360" s="19"/>
      <c r="E2360" s="17"/>
      <c r="F2360" s="18"/>
      <c r="G2360" s="17"/>
      <c r="H2360" s="17"/>
      <c r="J2360" s="18"/>
    </row>
    <row r="2361" spans="1:10" s="10" customFormat="1" x14ac:dyDescent="0.25">
      <c r="A2361" s="18"/>
      <c r="C2361" s="17"/>
      <c r="D2361" s="19"/>
      <c r="E2361" s="17"/>
      <c r="F2361" s="18"/>
      <c r="G2361" s="17"/>
      <c r="H2361" s="17"/>
      <c r="J2361" s="18"/>
    </row>
    <row r="2362" spans="1:10" s="10" customFormat="1" x14ac:dyDescent="0.25">
      <c r="A2362" s="18"/>
      <c r="C2362" s="17"/>
      <c r="D2362" s="19"/>
      <c r="E2362" s="17"/>
      <c r="F2362" s="18"/>
      <c r="G2362" s="17"/>
      <c r="H2362" s="17"/>
      <c r="J2362" s="18"/>
    </row>
    <row r="2363" spans="1:10" s="10" customFormat="1" x14ac:dyDescent="0.25">
      <c r="A2363" s="18"/>
      <c r="C2363" s="17"/>
      <c r="D2363" s="19"/>
      <c r="E2363" s="17"/>
      <c r="F2363" s="18"/>
      <c r="G2363" s="17"/>
      <c r="H2363" s="17"/>
      <c r="J2363" s="18"/>
    </row>
    <row r="2364" spans="1:10" s="10" customFormat="1" x14ac:dyDescent="0.25">
      <c r="A2364" s="18"/>
      <c r="C2364" s="17"/>
      <c r="D2364" s="19"/>
      <c r="E2364" s="17"/>
      <c r="F2364" s="18"/>
      <c r="G2364" s="17"/>
      <c r="H2364" s="17"/>
      <c r="J2364" s="18"/>
    </row>
    <row r="2365" spans="1:10" s="10" customFormat="1" x14ac:dyDescent="0.25">
      <c r="A2365" s="18"/>
      <c r="C2365" s="17"/>
      <c r="D2365" s="19"/>
      <c r="E2365" s="17"/>
      <c r="F2365" s="18"/>
      <c r="G2365" s="17"/>
      <c r="H2365" s="17"/>
      <c r="J2365" s="18"/>
    </row>
    <row r="2366" spans="1:10" s="10" customFormat="1" x14ac:dyDescent="0.25">
      <c r="A2366" s="18"/>
      <c r="C2366" s="17"/>
      <c r="D2366" s="19"/>
      <c r="E2366" s="17"/>
      <c r="F2366" s="18"/>
      <c r="G2366" s="17"/>
      <c r="H2366" s="17"/>
      <c r="J2366" s="18"/>
    </row>
    <row r="2367" spans="1:10" s="10" customFormat="1" x14ac:dyDescent="0.25">
      <c r="A2367" s="18"/>
      <c r="C2367" s="17"/>
      <c r="D2367" s="19"/>
      <c r="E2367" s="17"/>
      <c r="F2367" s="18"/>
      <c r="G2367" s="17"/>
      <c r="H2367" s="17"/>
      <c r="J2367" s="18"/>
    </row>
    <row r="2368" spans="1:10" s="10" customFormat="1" x14ac:dyDescent="0.25">
      <c r="A2368" s="18"/>
      <c r="C2368" s="17"/>
      <c r="D2368" s="19"/>
      <c r="E2368" s="17"/>
      <c r="F2368" s="18"/>
      <c r="G2368" s="17"/>
      <c r="H2368" s="17"/>
      <c r="J2368" s="18"/>
    </row>
    <row r="2369" spans="1:10" s="10" customFormat="1" x14ac:dyDescent="0.25">
      <c r="A2369" s="18"/>
      <c r="C2369" s="17"/>
      <c r="D2369" s="19"/>
      <c r="E2369" s="17"/>
      <c r="F2369" s="18"/>
      <c r="G2369" s="17"/>
      <c r="H2369" s="17"/>
      <c r="J2369" s="18"/>
    </row>
    <row r="2370" spans="1:10" s="10" customFormat="1" x14ac:dyDescent="0.25">
      <c r="A2370" s="18"/>
      <c r="C2370" s="17"/>
      <c r="D2370" s="19"/>
      <c r="E2370" s="17"/>
      <c r="F2370" s="18"/>
      <c r="G2370" s="17"/>
      <c r="H2370" s="17"/>
      <c r="J2370" s="18"/>
    </row>
    <row r="2371" spans="1:10" s="10" customFormat="1" x14ac:dyDescent="0.25">
      <c r="A2371" s="18"/>
      <c r="C2371" s="17"/>
      <c r="D2371" s="19"/>
      <c r="E2371" s="17"/>
      <c r="F2371" s="18"/>
      <c r="G2371" s="17"/>
      <c r="H2371" s="17"/>
      <c r="J2371" s="18"/>
    </row>
    <row r="2372" spans="1:10" s="10" customFormat="1" x14ac:dyDescent="0.25">
      <c r="A2372" s="18"/>
      <c r="C2372" s="17"/>
      <c r="D2372" s="19"/>
      <c r="E2372" s="17"/>
      <c r="F2372" s="18"/>
      <c r="G2372" s="17"/>
      <c r="H2372" s="17"/>
      <c r="J2372" s="18"/>
    </row>
    <row r="2373" spans="1:10" s="10" customFormat="1" x14ac:dyDescent="0.25">
      <c r="A2373" s="18"/>
      <c r="C2373" s="17"/>
      <c r="D2373" s="19"/>
      <c r="E2373" s="17"/>
      <c r="F2373" s="18"/>
      <c r="G2373" s="17"/>
      <c r="H2373" s="17"/>
      <c r="J2373" s="18"/>
    </row>
    <row r="2374" spans="1:10" s="10" customFormat="1" x14ac:dyDescent="0.25">
      <c r="A2374" s="18"/>
      <c r="C2374" s="17"/>
      <c r="D2374" s="19"/>
      <c r="E2374" s="17"/>
      <c r="F2374" s="18"/>
      <c r="G2374" s="17"/>
      <c r="H2374" s="17"/>
      <c r="J2374" s="18"/>
    </row>
    <row r="2375" spans="1:10" s="10" customFormat="1" x14ac:dyDescent="0.25">
      <c r="A2375" s="18"/>
      <c r="C2375" s="17"/>
      <c r="D2375" s="19"/>
      <c r="E2375" s="17"/>
      <c r="F2375" s="18"/>
      <c r="G2375" s="17"/>
      <c r="H2375" s="17"/>
      <c r="J2375" s="18"/>
    </row>
    <row r="2376" spans="1:10" s="10" customFormat="1" x14ac:dyDescent="0.25">
      <c r="A2376" s="18"/>
      <c r="C2376" s="17"/>
      <c r="D2376" s="19"/>
      <c r="E2376" s="17"/>
      <c r="F2376" s="18"/>
      <c r="G2376" s="17"/>
      <c r="H2376" s="17"/>
      <c r="J2376" s="18"/>
    </row>
    <row r="2377" spans="1:10" s="10" customFormat="1" x14ac:dyDescent="0.25">
      <c r="A2377" s="18"/>
      <c r="C2377" s="17"/>
      <c r="D2377" s="19"/>
      <c r="E2377" s="17"/>
      <c r="F2377" s="18"/>
      <c r="G2377" s="17"/>
      <c r="H2377" s="17"/>
      <c r="J2377" s="18"/>
    </row>
    <row r="2378" spans="1:10" s="10" customFormat="1" x14ac:dyDescent="0.25">
      <c r="A2378" s="18"/>
      <c r="C2378" s="17"/>
      <c r="D2378" s="19"/>
      <c r="E2378" s="17"/>
      <c r="F2378" s="18"/>
      <c r="G2378" s="17"/>
      <c r="H2378" s="17"/>
      <c r="J2378" s="18"/>
    </row>
    <row r="2379" spans="1:10" s="10" customFormat="1" x14ac:dyDescent="0.25">
      <c r="A2379" s="18"/>
      <c r="C2379" s="17"/>
      <c r="D2379" s="19"/>
      <c r="E2379" s="17"/>
      <c r="F2379" s="18"/>
      <c r="G2379" s="17"/>
      <c r="H2379" s="17"/>
      <c r="J2379" s="18"/>
    </row>
    <row r="2380" spans="1:10" s="10" customFormat="1" x14ac:dyDescent="0.25">
      <c r="A2380" s="18"/>
      <c r="C2380" s="17"/>
      <c r="D2380" s="19"/>
      <c r="E2380" s="17"/>
      <c r="F2380" s="18"/>
      <c r="G2380" s="17"/>
      <c r="H2380" s="17"/>
      <c r="J2380" s="18"/>
    </row>
    <row r="2381" spans="1:10" s="10" customFormat="1" x14ac:dyDescent="0.25">
      <c r="A2381" s="18"/>
      <c r="C2381" s="17"/>
      <c r="D2381" s="19"/>
      <c r="E2381" s="17"/>
      <c r="F2381" s="18"/>
      <c r="G2381" s="17"/>
      <c r="H2381" s="17"/>
      <c r="J2381" s="18"/>
    </row>
    <row r="2382" spans="1:10" s="10" customFormat="1" x14ac:dyDescent="0.25">
      <c r="A2382" s="18"/>
      <c r="C2382" s="17"/>
      <c r="D2382" s="19"/>
      <c r="E2382" s="17"/>
      <c r="F2382" s="18"/>
      <c r="G2382" s="17"/>
      <c r="H2382" s="17"/>
      <c r="J2382" s="18"/>
    </row>
    <row r="2383" spans="1:10" s="10" customFormat="1" x14ac:dyDescent="0.25">
      <c r="A2383" s="18"/>
      <c r="C2383" s="17"/>
      <c r="D2383" s="19"/>
      <c r="E2383" s="17"/>
      <c r="F2383" s="18"/>
      <c r="G2383" s="17"/>
      <c r="H2383" s="17"/>
      <c r="J2383" s="18"/>
    </row>
    <row r="2384" spans="1:10" s="10" customFormat="1" x14ac:dyDescent="0.25">
      <c r="A2384" s="18"/>
      <c r="C2384" s="17"/>
      <c r="D2384" s="19"/>
      <c r="E2384" s="17"/>
      <c r="F2384" s="18"/>
      <c r="G2384" s="17"/>
      <c r="H2384" s="17"/>
      <c r="J2384" s="18"/>
    </row>
    <row r="2385" spans="1:10" s="10" customFormat="1" x14ac:dyDescent="0.25">
      <c r="A2385" s="18"/>
      <c r="C2385" s="17"/>
      <c r="D2385" s="19"/>
      <c r="E2385" s="17"/>
      <c r="F2385" s="18"/>
      <c r="G2385" s="17"/>
      <c r="H2385" s="17"/>
      <c r="J2385" s="18"/>
    </row>
    <row r="2386" spans="1:10" s="10" customFormat="1" x14ac:dyDescent="0.25">
      <c r="A2386" s="18"/>
      <c r="C2386" s="17"/>
      <c r="D2386" s="19"/>
      <c r="E2386" s="17"/>
      <c r="F2386" s="18"/>
      <c r="G2386" s="17"/>
      <c r="H2386" s="17"/>
      <c r="J2386" s="18"/>
    </row>
    <row r="2387" spans="1:10" s="10" customFormat="1" x14ac:dyDescent="0.25">
      <c r="A2387" s="18"/>
      <c r="C2387" s="17"/>
      <c r="D2387" s="19"/>
      <c r="E2387" s="17"/>
      <c r="F2387" s="18"/>
      <c r="G2387" s="17"/>
      <c r="H2387" s="17"/>
      <c r="J2387" s="18"/>
    </row>
    <row r="2388" spans="1:10" s="10" customFormat="1" x14ac:dyDescent="0.25">
      <c r="A2388" s="18"/>
      <c r="C2388" s="17"/>
      <c r="D2388" s="19"/>
      <c r="E2388" s="17"/>
      <c r="F2388" s="18"/>
      <c r="G2388" s="17"/>
      <c r="H2388" s="17"/>
      <c r="J2388" s="18"/>
    </row>
    <row r="2389" spans="1:10" s="10" customFormat="1" x14ac:dyDescent="0.25">
      <c r="A2389" s="18"/>
      <c r="C2389" s="17"/>
      <c r="D2389" s="19"/>
      <c r="E2389" s="17"/>
      <c r="F2389" s="18"/>
      <c r="G2389" s="17"/>
      <c r="H2389" s="17"/>
      <c r="J2389" s="18"/>
    </row>
    <row r="2390" spans="1:10" s="10" customFormat="1" x14ac:dyDescent="0.25">
      <c r="A2390" s="18"/>
      <c r="C2390" s="17"/>
      <c r="D2390" s="19"/>
      <c r="E2390" s="17"/>
      <c r="F2390" s="18"/>
      <c r="G2390" s="17"/>
      <c r="H2390" s="17"/>
      <c r="J2390" s="18"/>
    </row>
    <row r="2391" spans="1:10" s="10" customFormat="1" x14ac:dyDescent="0.25">
      <c r="A2391" s="18"/>
      <c r="C2391" s="17"/>
      <c r="D2391" s="19"/>
      <c r="E2391" s="17"/>
      <c r="F2391" s="18"/>
      <c r="G2391" s="17"/>
      <c r="H2391" s="17"/>
      <c r="J2391" s="18"/>
    </row>
    <row r="2392" spans="1:10" s="10" customFormat="1" x14ac:dyDescent="0.25">
      <c r="A2392" s="18"/>
      <c r="C2392" s="17"/>
      <c r="D2392" s="19"/>
      <c r="E2392" s="17"/>
      <c r="F2392" s="18"/>
      <c r="G2392" s="17"/>
      <c r="H2392" s="17"/>
      <c r="J2392" s="18"/>
    </row>
    <row r="2393" spans="1:10" s="10" customFormat="1" x14ac:dyDescent="0.25">
      <c r="A2393" s="18"/>
      <c r="C2393" s="17"/>
      <c r="D2393" s="19"/>
      <c r="E2393" s="17"/>
      <c r="F2393" s="18"/>
      <c r="G2393" s="17"/>
      <c r="H2393" s="17"/>
      <c r="J2393" s="18"/>
    </row>
    <row r="2394" spans="1:10" s="10" customFormat="1" x14ac:dyDescent="0.25">
      <c r="A2394" s="18"/>
      <c r="C2394" s="17"/>
      <c r="D2394" s="19"/>
      <c r="E2394" s="17"/>
      <c r="F2394" s="18"/>
      <c r="G2394" s="17"/>
      <c r="H2394" s="17"/>
      <c r="J2394" s="18"/>
    </row>
    <row r="2395" spans="1:10" s="10" customFormat="1" x14ac:dyDescent="0.25">
      <c r="A2395" s="18"/>
      <c r="C2395" s="17"/>
      <c r="D2395" s="19"/>
      <c r="E2395" s="17"/>
      <c r="F2395" s="18"/>
      <c r="G2395" s="17"/>
      <c r="H2395" s="17"/>
      <c r="J2395" s="18"/>
    </row>
    <row r="2396" spans="1:10" s="10" customFormat="1" x14ac:dyDescent="0.25">
      <c r="A2396" s="18"/>
      <c r="C2396" s="17"/>
      <c r="D2396" s="19"/>
      <c r="E2396" s="17"/>
      <c r="F2396" s="18"/>
      <c r="G2396" s="17"/>
      <c r="H2396" s="17"/>
      <c r="J2396" s="18"/>
    </row>
    <row r="2397" spans="1:10" s="10" customFormat="1" x14ac:dyDescent="0.25">
      <c r="A2397" s="18"/>
      <c r="C2397" s="17"/>
      <c r="D2397" s="19"/>
      <c r="E2397" s="17"/>
      <c r="F2397" s="18"/>
      <c r="G2397" s="17"/>
      <c r="H2397" s="17"/>
      <c r="J2397" s="18"/>
    </row>
    <row r="2398" spans="1:10" s="10" customFormat="1" x14ac:dyDescent="0.25">
      <c r="A2398" s="18"/>
      <c r="C2398" s="17"/>
      <c r="D2398" s="19"/>
      <c r="E2398" s="17"/>
      <c r="F2398" s="18"/>
      <c r="G2398" s="17"/>
      <c r="H2398" s="17"/>
      <c r="J2398" s="18"/>
    </row>
    <row r="2399" spans="1:10" s="10" customFormat="1" x14ac:dyDescent="0.25">
      <c r="A2399" s="18"/>
      <c r="C2399" s="17"/>
      <c r="D2399" s="19"/>
      <c r="E2399" s="17"/>
      <c r="F2399" s="18"/>
      <c r="G2399" s="17"/>
      <c r="H2399" s="17"/>
      <c r="J2399" s="18"/>
    </row>
    <row r="2400" spans="1:10" s="10" customFormat="1" x14ac:dyDescent="0.25">
      <c r="A2400" s="18"/>
      <c r="C2400" s="17"/>
      <c r="D2400" s="19"/>
      <c r="E2400" s="17"/>
      <c r="F2400" s="18"/>
      <c r="G2400" s="17"/>
      <c r="H2400" s="17"/>
      <c r="J2400" s="18"/>
    </row>
    <row r="2401" spans="1:10" s="10" customFormat="1" x14ac:dyDescent="0.25">
      <c r="A2401" s="18"/>
      <c r="C2401" s="17"/>
      <c r="D2401" s="19"/>
      <c r="E2401" s="17"/>
      <c r="F2401" s="18"/>
      <c r="G2401" s="17"/>
      <c r="H2401" s="17"/>
      <c r="J2401" s="18"/>
    </row>
    <row r="2402" spans="1:10" s="10" customFormat="1" x14ac:dyDescent="0.25">
      <c r="A2402" s="18"/>
      <c r="C2402" s="17"/>
      <c r="D2402" s="19"/>
      <c r="E2402" s="17"/>
      <c r="F2402" s="18"/>
      <c r="G2402" s="17"/>
      <c r="H2402" s="17"/>
      <c r="J2402" s="18"/>
    </row>
    <row r="2403" spans="1:10" s="10" customFormat="1" x14ac:dyDescent="0.25">
      <c r="A2403" s="18"/>
      <c r="C2403" s="17"/>
      <c r="D2403" s="19"/>
      <c r="E2403" s="17"/>
      <c r="F2403" s="18"/>
      <c r="G2403" s="17"/>
      <c r="H2403" s="17"/>
      <c r="J2403" s="18"/>
    </row>
    <row r="2404" spans="1:10" s="10" customFormat="1" x14ac:dyDescent="0.25">
      <c r="A2404" s="18"/>
      <c r="C2404" s="17"/>
      <c r="D2404" s="19"/>
      <c r="E2404" s="17"/>
      <c r="F2404" s="18"/>
      <c r="G2404" s="17"/>
      <c r="H2404" s="17"/>
      <c r="J2404" s="18"/>
    </row>
    <row r="2405" spans="1:10" s="10" customFormat="1" x14ac:dyDescent="0.25">
      <c r="A2405" s="18"/>
      <c r="C2405" s="17"/>
      <c r="D2405" s="19"/>
      <c r="E2405" s="17"/>
      <c r="F2405" s="18"/>
      <c r="G2405" s="17"/>
      <c r="H2405" s="17"/>
      <c r="J2405" s="18"/>
    </row>
    <row r="2406" spans="1:10" s="10" customFormat="1" x14ac:dyDescent="0.25">
      <c r="A2406" s="18"/>
      <c r="C2406" s="17"/>
      <c r="D2406" s="19"/>
      <c r="E2406" s="17"/>
      <c r="F2406" s="18"/>
      <c r="G2406" s="17"/>
      <c r="H2406" s="17"/>
      <c r="J2406" s="18"/>
    </row>
    <row r="2407" spans="1:10" s="10" customFormat="1" x14ac:dyDescent="0.25">
      <c r="A2407" s="18"/>
      <c r="C2407" s="17"/>
      <c r="D2407" s="19"/>
      <c r="E2407" s="17"/>
      <c r="F2407" s="18"/>
      <c r="G2407" s="17"/>
      <c r="H2407" s="17"/>
      <c r="J2407" s="18"/>
    </row>
    <row r="2408" spans="1:10" s="10" customFormat="1" x14ac:dyDescent="0.25">
      <c r="A2408" s="18"/>
      <c r="C2408" s="17"/>
      <c r="D2408" s="19"/>
      <c r="E2408" s="17"/>
      <c r="F2408" s="18"/>
      <c r="G2408" s="17"/>
      <c r="H2408" s="17"/>
      <c r="J2408" s="18"/>
    </row>
    <row r="2409" spans="1:10" s="10" customFormat="1" x14ac:dyDescent="0.25">
      <c r="A2409" s="18"/>
      <c r="C2409" s="17"/>
      <c r="D2409" s="19"/>
      <c r="E2409" s="17"/>
      <c r="F2409" s="18"/>
      <c r="G2409" s="17"/>
      <c r="H2409" s="17"/>
      <c r="J2409" s="18"/>
    </row>
    <row r="2410" spans="1:10" s="10" customFormat="1" x14ac:dyDescent="0.25">
      <c r="A2410" s="18"/>
      <c r="C2410" s="17"/>
      <c r="D2410" s="19"/>
      <c r="E2410" s="17"/>
      <c r="F2410" s="18"/>
      <c r="G2410" s="17"/>
      <c r="H2410" s="17"/>
      <c r="J2410" s="18"/>
    </row>
    <row r="2411" spans="1:10" s="10" customFormat="1" x14ac:dyDescent="0.25">
      <c r="A2411" s="18"/>
      <c r="C2411" s="17"/>
      <c r="D2411" s="19"/>
      <c r="E2411" s="17"/>
      <c r="F2411" s="18"/>
      <c r="G2411" s="17"/>
      <c r="H2411" s="17"/>
      <c r="J2411" s="18"/>
    </row>
    <row r="2412" spans="1:10" s="10" customFormat="1" x14ac:dyDescent="0.25">
      <c r="A2412" s="18"/>
      <c r="C2412" s="17"/>
      <c r="D2412" s="19"/>
      <c r="E2412" s="17"/>
      <c r="F2412" s="18"/>
      <c r="G2412" s="17"/>
      <c r="H2412" s="17"/>
      <c r="J2412" s="18"/>
    </row>
    <row r="2413" spans="1:10" s="10" customFormat="1" x14ac:dyDescent="0.25">
      <c r="A2413" s="18"/>
      <c r="C2413" s="17"/>
      <c r="D2413" s="19"/>
      <c r="E2413" s="17"/>
      <c r="F2413" s="18"/>
      <c r="G2413" s="17"/>
      <c r="H2413" s="17"/>
      <c r="J2413" s="18"/>
    </row>
    <row r="2414" spans="1:10" s="10" customFormat="1" x14ac:dyDescent="0.25">
      <c r="A2414" s="18"/>
      <c r="C2414" s="17"/>
      <c r="D2414" s="19"/>
      <c r="E2414" s="17"/>
      <c r="F2414" s="18"/>
      <c r="G2414" s="17"/>
      <c r="H2414" s="17"/>
      <c r="J2414" s="18"/>
    </row>
    <row r="2415" spans="1:10" s="10" customFormat="1" x14ac:dyDescent="0.25">
      <c r="A2415" s="18"/>
      <c r="C2415" s="17"/>
      <c r="D2415" s="19"/>
      <c r="E2415" s="17"/>
      <c r="F2415" s="18"/>
      <c r="G2415" s="17"/>
      <c r="H2415" s="17"/>
      <c r="J2415" s="18"/>
    </row>
    <row r="2416" spans="1:10" s="10" customFormat="1" x14ac:dyDescent="0.25">
      <c r="A2416" s="18"/>
      <c r="C2416" s="17"/>
      <c r="D2416" s="19"/>
      <c r="E2416" s="17"/>
      <c r="F2416" s="18"/>
      <c r="G2416" s="17"/>
      <c r="H2416" s="17"/>
      <c r="J2416" s="18"/>
    </row>
    <row r="2417" spans="1:10" s="10" customFormat="1" x14ac:dyDescent="0.25">
      <c r="A2417" s="18"/>
      <c r="C2417" s="17"/>
      <c r="D2417" s="19"/>
      <c r="E2417" s="17"/>
      <c r="F2417" s="18"/>
      <c r="G2417" s="17"/>
      <c r="H2417" s="17"/>
      <c r="J2417" s="18"/>
    </row>
    <row r="2418" spans="1:10" s="10" customFormat="1" x14ac:dyDescent="0.25">
      <c r="A2418" s="18"/>
      <c r="C2418" s="17"/>
      <c r="D2418" s="19"/>
      <c r="E2418" s="17"/>
      <c r="F2418" s="18"/>
      <c r="G2418" s="17"/>
      <c r="H2418" s="17"/>
      <c r="J2418" s="18"/>
    </row>
    <row r="2419" spans="1:10" s="10" customFormat="1" x14ac:dyDescent="0.25">
      <c r="A2419" s="18"/>
      <c r="C2419" s="17"/>
      <c r="D2419" s="19"/>
      <c r="E2419" s="17"/>
      <c r="F2419" s="18"/>
      <c r="G2419" s="17"/>
      <c r="H2419" s="17"/>
      <c r="J2419" s="18"/>
    </row>
    <row r="2420" spans="1:10" s="10" customFormat="1" x14ac:dyDescent="0.25">
      <c r="A2420" s="18"/>
      <c r="C2420" s="17"/>
      <c r="D2420" s="19"/>
      <c r="E2420" s="17"/>
      <c r="F2420" s="18"/>
      <c r="G2420" s="17"/>
      <c r="H2420" s="17"/>
      <c r="J2420" s="18"/>
    </row>
    <row r="2421" spans="1:10" s="10" customFormat="1" x14ac:dyDescent="0.25">
      <c r="A2421" s="18"/>
      <c r="C2421" s="17"/>
      <c r="D2421" s="19"/>
      <c r="E2421" s="17"/>
      <c r="F2421" s="18"/>
      <c r="G2421" s="17"/>
      <c r="H2421" s="17"/>
      <c r="J2421" s="18"/>
    </row>
    <row r="2422" spans="1:10" s="10" customFormat="1" x14ac:dyDescent="0.25">
      <c r="A2422" s="18"/>
      <c r="C2422" s="17"/>
      <c r="D2422" s="19"/>
      <c r="E2422" s="17"/>
      <c r="F2422" s="18"/>
      <c r="G2422" s="17"/>
      <c r="H2422" s="17"/>
      <c r="J2422" s="18"/>
    </row>
    <row r="2423" spans="1:10" s="10" customFormat="1" x14ac:dyDescent="0.25">
      <c r="A2423" s="18"/>
      <c r="C2423" s="17"/>
      <c r="D2423" s="19"/>
      <c r="E2423" s="17"/>
      <c r="F2423" s="18"/>
      <c r="G2423" s="17"/>
      <c r="H2423" s="17"/>
      <c r="J2423" s="18"/>
    </row>
    <row r="2424" spans="1:10" s="10" customFormat="1" x14ac:dyDescent="0.25">
      <c r="A2424" s="18"/>
      <c r="C2424" s="17"/>
      <c r="D2424" s="19"/>
      <c r="E2424" s="17"/>
      <c r="F2424" s="18"/>
      <c r="G2424" s="17"/>
      <c r="H2424" s="17"/>
      <c r="J2424" s="18"/>
    </row>
    <row r="2425" spans="1:10" s="10" customFormat="1" x14ac:dyDescent="0.25">
      <c r="A2425" s="18"/>
      <c r="C2425" s="17"/>
      <c r="D2425" s="19"/>
      <c r="E2425" s="17"/>
      <c r="F2425" s="18"/>
      <c r="G2425" s="17"/>
      <c r="H2425" s="17"/>
      <c r="J2425" s="18"/>
    </row>
    <row r="2426" spans="1:10" s="10" customFormat="1" x14ac:dyDescent="0.25">
      <c r="A2426" s="18"/>
      <c r="C2426" s="17"/>
      <c r="D2426" s="19"/>
      <c r="E2426" s="17"/>
      <c r="F2426" s="18"/>
      <c r="G2426" s="17"/>
      <c r="H2426" s="17"/>
      <c r="J2426" s="18"/>
    </row>
    <row r="2427" spans="1:10" s="10" customFormat="1" x14ac:dyDescent="0.25">
      <c r="A2427" s="18"/>
      <c r="C2427" s="17"/>
      <c r="D2427" s="19"/>
      <c r="E2427" s="17"/>
      <c r="F2427" s="18"/>
      <c r="G2427" s="17"/>
      <c r="H2427" s="17"/>
      <c r="J2427" s="18"/>
    </row>
    <row r="2428" spans="1:10" s="10" customFormat="1" x14ac:dyDescent="0.25">
      <c r="A2428" s="18"/>
      <c r="C2428" s="17"/>
      <c r="D2428" s="19"/>
      <c r="E2428" s="17"/>
      <c r="F2428" s="18"/>
      <c r="G2428" s="17"/>
      <c r="H2428" s="17"/>
      <c r="J2428" s="18"/>
    </row>
    <row r="2429" spans="1:10" s="10" customFormat="1" x14ac:dyDescent="0.25">
      <c r="A2429" s="18"/>
      <c r="C2429" s="17"/>
      <c r="D2429" s="19"/>
      <c r="E2429" s="17"/>
      <c r="F2429" s="18"/>
      <c r="G2429" s="17"/>
      <c r="H2429" s="17"/>
      <c r="J2429" s="18"/>
    </row>
    <row r="2430" spans="1:10" s="10" customFormat="1" x14ac:dyDescent="0.25">
      <c r="A2430" s="18"/>
      <c r="C2430" s="17"/>
      <c r="D2430" s="19"/>
      <c r="E2430" s="17"/>
      <c r="F2430" s="18"/>
      <c r="G2430" s="17"/>
      <c r="H2430" s="17"/>
      <c r="J2430" s="18"/>
    </row>
    <row r="2431" spans="1:10" s="10" customFormat="1" x14ac:dyDescent="0.25">
      <c r="A2431" s="18"/>
      <c r="C2431" s="17"/>
      <c r="D2431" s="19"/>
      <c r="E2431" s="17"/>
      <c r="F2431" s="18"/>
      <c r="G2431" s="17"/>
      <c r="H2431" s="17"/>
      <c r="J2431" s="18"/>
    </row>
    <row r="2432" spans="1:10" s="10" customFormat="1" x14ac:dyDescent="0.25">
      <c r="A2432" s="18"/>
      <c r="C2432" s="17"/>
      <c r="D2432" s="19"/>
      <c r="E2432" s="17"/>
      <c r="F2432" s="18"/>
      <c r="G2432" s="17"/>
      <c r="H2432" s="17"/>
      <c r="J2432" s="18"/>
    </row>
    <row r="2433" spans="1:10" s="10" customFormat="1" x14ac:dyDescent="0.25">
      <c r="A2433" s="18"/>
      <c r="C2433" s="17"/>
      <c r="D2433" s="19"/>
      <c r="E2433" s="17"/>
      <c r="F2433" s="18"/>
      <c r="G2433" s="17"/>
      <c r="H2433" s="17"/>
      <c r="J2433" s="18"/>
    </row>
    <row r="2434" spans="1:10" s="10" customFormat="1" x14ac:dyDescent="0.25">
      <c r="A2434" s="18"/>
      <c r="C2434" s="17"/>
      <c r="D2434" s="19"/>
      <c r="E2434" s="17"/>
      <c r="F2434" s="18"/>
      <c r="G2434" s="17"/>
      <c r="H2434" s="17"/>
      <c r="J2434" s="18"/>
    </row>
    <row r="2435" spans="1:10" s="10" customFormat="1" x14ac:dyDescent="0.25">
      <c r="A2435" s="18"/>
      <c r="C2435" s="17"/>
      <c r="D2435" s="19"/>
      <c r="E2435" s="17"/>
      <c r="F2435" s="18"/>
      <c r="G2435" s="17"/>
      <c r="H2435" s="17"/>
      <c r="J2435" s="18"/>
    </row>
    <row r="2436" spans="1:10" s="10" customFormat="1" x14ac:dyDescent="0.25">
      <c r="A2436" s="18"/>
      <c r="C2436" s="17"/>
      <c r="D2436" s="19"/>
      <c r="E2436" s="17"/>
      <c r="F2436" s="18"/>
      <c r="G2436" s="17"/>
      <c r="H2436" s="17"/>
      <c r="J2436" s="18"/>
    </row>
    <row r="2437" spans="1:10" s="10" customFormat="1" x14ac:dyDescent="0.25">
      <c r="A2437" s="18"/>
      <c r="C2437" s="17"/>
      <c r="D2437" s="19"/>
      <c r="E2437" s="17"/>
      <c r="F2437" s="18"/>
      <c r="G2437" s="17"/>
      <c r="H2437" s="17"/>
      <c r="J2437" s="18"/>
    </row>
    <row r="2438" spans="1:10" s="10" customFormat="1" x14ac:dyDescent="0.25">
      <c r="A2438" s="18"/>
      <c r="C2438" s="17"/>
      <c r="D2438" s="19"/>
      <c r="E2438" s="17"/>
      <c r="F2438" s="18"/>
      <c r="G2438" s="17"/>
      <c r="H2438" s="17"/>
      <c r="J2438" s="18"/>
    </row>
    <row r="2439" spans="1:10" s="10" customFormat="1" x14ac:dyDescent="0.25">
      <c r="A2439" s="18"/>
      <c r="C2439" s="17"/>
      <c r="D2439" s="19"/>
      <c r="E2439" s="17"/>
      <c r="F2439" s="18"/>
      <c r="G2439" s="17"/>
      <c r="H2439" s="17"/>
      <c r="J2439" s="18"/>
    </row>
    <row r="2440" spans="1:10" s="10" customFormat="1" x14ac:dyDescent="0.25">
      <c r="A2440" s="18"/>
      <c r="C2440" s="17"/>
      <c r="D2440" s="19"/>
      <c r="E2440" s="17"/>
      <c r="F2440" s="18"/>
      <c r="G2440" s="17"/>
      <c r="H2440" s="17"/>
      <c r="J2440" s="18"/>
    </row>
    <row r="2441" spans="1:10" s="10" customFormat="1" x14ac:dyDescent="0.25">
      <c r="A2441" s="18"/>
      <c r="C2441" s="17"/>
      <c r="D2441" s="19"/>
      <c r="E2441" s="17"/>
      <c r="F2441" s="18"/>
      <c r="G2441" s="17"/>
      <c r="H2441" s="17"/>
      <c r="J2441" s="18"/>
    </row>
    <row r="2442" spans="1:10" s="10" customFormat="1" x14ac:dyDescent="0.25">
      <c r="A2442" s="18"/>
      <c r="C2442" s="17"/>
      <c r="D2442" s="19"/>
      <c r="E2442" s="17"/>
      <c r="F2442" s="18"/>
      <c r="G2442" s="17"/>
      <c r="H2442" s="17"/>
      <c r="J2442" s="18"/>
    </row>
    <row r="2443" spans="1:10" s="10" customFormat="1" x14ac:dyDescent="0.25">
      <c r="A2443" s="18"/>
      <c r="C2443" s="17"/>
      <c r="D2443" s="19"/>
      <c r="E2443" s="17"/>
      <c r="F2443" s="18"/>
      <c r="G2443" s="17"/>
      <c r="H2443" s="17"/>
      <c r="J2443" s="18"/>
    </row>
    <row r="2444" spans="1:10" s="10" customFormat="1" x14ac:dyDescent="0.25">
      <c r="A2444" s="18"/>
      <c r="C2444" s="17"/>
      <c r="D2444" s="19"/>
      <c r="E2444" s="17"/>
      <c r="F2444" s="18"/>
      <c r="G2444" s="17"/>
      <c r="H2444" s="17"/>
      <c r="J2444" s="18"/>
    </row>
    <row r="2445" spans="1:10" s="10" customFormat="1" x14ac:dyDescent="0.25">
      <c r="A2445" s="18"/>
      <c r="C2445" s="17"/>
      <c r="D2445" s="19"/>
      <c r="E2445" s="17"/>
      <c r="F2445" s="18"/>
      <c r="G2445" s="17"/>
      <c r="H2445" s="17"/>
      <c r="J2445" s="18"/>
    </row>
    <row r="2446" spans="1:10" s="10" customFormat="1" x14ac:dyDescent="0.25">
      <c r="A2446" s="18"/>
      <c r="C2446" s="17"/>
      <c r="D2446" s="19"/>
      <c r="E2446" s="17"/>
      <c r="F2446" s="18"/>
      <c r="G2446" s="17"/>
      <c r="H2446" s="17"/>
      <c r="J2446" s="18"/>
    </row>
    <row r="2447" spans="1:10" s="10" customFormat="1" x14ac:dyDescent="0.25">
      <c r="A2447" s="18"/>
      <c r="C2447" s="17"/>
      <c r="D2447" s="19"/>
      <c r="E2447" s="17"/>
      <c r="F2447" s="18"/>
      <c r="G2447" s="17"/>
      <c r="H2447" s="17"/>
      <c r="J2447" s="18"/>
    </row>
    <row r="2448" spans="1:10" s="10" customFormat="1" x14ac:dyDescent="0.25">
      <c r="A2448" s="18"/>
      <c r="C2448" s="17"/>
      <c r="D2448" s="19"/>
      <c r="E2448" s="17"/>
      <c r="F2448" s="18"/>
      <c r="G2448" s="17"/>
      <c r="H2448" s="17"/>
      <c r="J2448" s="18"/>
    </row>
    <row r="2449" spans="1:10" s="10" customFormat="1" x14ac:dyDescent="0.25">
      <c r="A2449" s="18"/>
      <c r="C2449" s="17"/>
      <c r="D2449" s="19"/>
      <c r="E2449" s="17"/>
      <c r="F2449" s="18"/>
      <c r="G2449" s="17"/>
      <c r="H2449" s="17"/>
      <c r="J2449" s="18"/>
    </row>
    <row r="2450" spans="1:10" s="10" customFormat="1" x14ac:dyDescent="0.25">
      <c r="A2450" s="18"/>
      <c r="C2450" s="17"/>
      <c r="D2450" s="19"/>
      <c r="E2450" s="17"/>
      <c r="F2450" s="18"/>
      <c r="G2450" s="17"/>
      <c r="H2450" s="17"/>
      <c r="J2450" s="18"/>
    </row>
    <row r="2451" spans="1:10" s="10" customFormat="1" x14ac:dyDescent="0.25">
      <c r="A2451" s="18"/>
      <c r="C2451" s="17"/>
      <c r="D2451" s="19"/>
      <c r="E2451" s="17"/>
      <c r="F2451" s="18"/>
      <c r="G2451" s="17"/>
      <c r="H2451" s="17"/>
      <c r="J2451" s="18"/>
    </row>
    <row r="2452" spans="1:10" s="10" customFormat="1" x14ac:dyDescent="0.25">
      <c r="A2452" s="18"/>
      <c r="C2452" s="17"/>
      <c r="D2452" s="19"/>
      <c r="E2452" s="17"/>
      <c r="F2452" s="18"/>
      <c r="G2452" s="17"/>
      <c r="H2452" s="17"/>
      <c r="J2452" s="18"/>
    </row>
    <row r="2453" spans="1:10" s="10" customFormat="1" x14ac:dyDescent="0.25">
      <c r="A2453" s="18"/>
      <c r="C2453" s="17"/>
      <c r="D2453" s="19"/>
      <c r="E2453" s="17"/>
      <c r="F2453" s="18"/>
      <c r="G2453" s="17"/>
      <c r="H2453" s="17"/>
      <c r="J2453" s="18"/>
    </row>
    <row r="2454" spans="1:10" s="10" customFormat="1" x14ac:dyDescent="0.25">
      <c r="A2454" s="18"/>
      <c r="C2454" s="17"/>
      <c r="D2454" s="19"/>
      <c r="E2454" s="17"/>
      <c r="F2454" s="18"/>
      <c r="G2454" s="17"/>
      <c r="H2454" s="17"/>
      <c r="J2454" s="18"/>
    </row>
    <row r="2455" spans="1:10" s="10" customFormat="1" x14ac:dyDescent="0.25">
      <c r="A2455" s="18"/>
      <c r="C2455" s="17"/>
      <c r="D2455" s="19"/>
      <c r="E2455" s="17"/>
      <c r="F2455" s="18"/>
      <c r="G2455" s="17"/>
      <c r="H2455" s="17"/>
      <c r="J2455" s="18"/>
    </row>
    <row r="2456" spans="1:10" s="10" customFormat="1" x14ac:dyDescent="0.25">
      <c r="A2456" s="18"/>
      <c r="C2456" s="17"/>
      <c r="D2456" s="19"/>
      <c r="E2456" s="17"/>
      <c r="F2456" s="18"/>
      <c r="G2456" s="17"/>
      <c r="H2456" s="17"/>
      <c r="J2456" s="18"/>
    </row>
    <row r="2457" spans="1:10" s="10" customFormat="1" x14ac:dyDescent="0.25">
      <c r="A2457" s="18"/>
      <c r="C2457" s="17"/>
      <c r="D2457" s="19"/>
      <c r="E2457" s="17"/>
      <c r="F2457" s="18"/>
      <c r="G2457" s="17"/>
      <c r="H2457" s="17"/>
      <c r="J2457" s="18"/>
    </row>
    <row r="2458" spans="1:10" s="10" customFormat="1" x14ac:dyDescent="0.25">
      <c r="A2458" s="18"/>
      <c r="C2458" s="17"/>
      <c r="D2458" s="19"/>
      <c r="E2458" s="17"/>
      <c r="F2458" s="18"/>
      <c r="G2458" s="17"/>
      <c r="H2458" s="17"/>
      <c r="J2458" s="18"/>
    </row>
    <row r="2459" spans="1:10" s="10" customFormat="1" x14ac:dyDescent="0.25">
      <c r="A2459" s="18"/>
      <c r="C2459" s="17"/>
      <c r="D2459" s="19"/>
      <c r="E2459" s="17"/>
      <c r="F2459" s="18"/>
      <c r="G2459" s="17"/>
      <c r="H2459" s="17"/>
      <c r="J2459" s="18"/>
    </row>
    <row r="2460" spans="1:10" s="10" customFormat="1" x14ac:dyDescent="0.25">
      <c r="A2460" s="18"/>
      <c r="C2460" s="17"/>
      <c r="D2460" s="19"/>
      <c r="E2460" s="17"/>
      <c r="F2460" s="18"/>
      <c r="G2460" s="17"/>
      <c r="H2460" s="17"/>
      <c r="J2460" s="18"/>
    </row>
    <row r="2461" spans="1:10" s="10" customFormat="1" x14ac:dyDescent="0.25">
      <c r="A2461" s="18"/>
      <c r="C2461" s="17"/>
      <c r="D2461" s="19"/>
      <c r="E2461" s="17"/>
      <c r="F2461" s="18"/>
      <c r="G2461" s="17"/>
      <c r="H2461" s="17"/>
      <c r="J2461" s="18"/>
    </row>
    <row r="2462" spans="1:10" s="10" customFormat="1" x14ac:dyDescent="0.25">
      <c r="A2462" s="18"/>
      <c r="C2462" s="17"/>
      <c r="D2462" s="19"/>
      <c r="E2462" s="17"/>
      <c r="F2462" s="18"/>
      <c r="G2462" s="17"/>
      <c r="H2462" s="17"/>
      <c r="J2462" s="18"/>
    </row>
    <row r="2463" spans="1:10" s="10" customFormat="1" x14ac:dyDescent="0.25">
      <c r="A2463" s="18"/>
      <c r="C2463" s="17"/>
      <c r="D2463" s="19"/>
      <c r="E2463" s="17"/>
      <c r="F2463" s="18"/>
      <c r="G2463" s="17"/>
      <c r="H2463" s="17"/>
      <c r="J2463" s="18"/>
    </row>
    <row r="2464" spans="1:10" s="10" customFormat="1" x14ac:dyDescent="0.25">
      <c r="A2464" s="18"/>
      <c r="C2464" s="17"/>
      <c r="D2464" s="19"/>
      <c r="E2464" s="17"/>
      <c r="F2464" s="18"/>
      <c r="G2464" s="17"/>
      <c r="H2464" s="17"/>
      <c r="J2464" s="18"/>
    </row>
    <row r="2465" spans="1:10" s="10" customFormat="1" x14ac:dyDescent="0.25">
      <c r="A2465" s="18"/>
      <c r="C2465" s="17"/>
      <c r="D2465" s="19"/>
      <c r="E2465" s="17"/>
      <c r="F2465" s="18"/>
      <c r="G2465" s="17"/>
      <c r="H2465" s="17"/>
      <c r="J2465" s="18"/>
    </row>
    <row r="2466" spans="1:10" s="10" customFormat="1" x14ac:dyDescent="0.25">
      <c r="A2466" s="18"/>
      <c r="C2466" s="17"/>
      <c r="D2466" s="19"/>
      <c r="E2466" s="17"/>
      <c r="F2466" s="18"/>
      <c r="G2466" s="17"/>
      <c r="H2466" s="17"/>
      <c r="J2466" s="18"/>
    </row>
    <row r="2467" spans="1:10" s="10" customFormat="1" x14ac:dyDescent="0.25">
      <c r="A2467" s="18"/>
      <c r="C2467" s="17"/>
      <c r="D2467" s="19"/>
      <c r="E2467" s="17"/>
      <c r="F2467" s="18"/>
      <c r="G2467" s="17"/>
      <c r="H2467" s="17"/>
      <c r="J2467" s="18"/>
    </row>
    <row r="2468" spans="1:10" s="10" customFormat="1" x14ac:dyDescent="0.25">
      <c r="A2468" s="18"/>
      <c r="C2468" s="17"/>
      <c r="D2468" s="19"/>
      <c r="E2468" s="17"/>
      <c r="F2468" s="18"/>
      <c r="G2468" s="17"/>
      <c r="H2468" s="17"/>
      <c r="J2468" s="18"/>
    </row>
    <row r="2469" spans="1:10" s="10" customFormat="1" x14ac:dyDescent="0.25">
      <c r="A2469" s="18"/>
      <c r="C2469" s="17"/>
      <c r="D2469" s="19"/>
      <c r="E2469" s="17"/>
      <c r="F2469" s="18"/>
      <c r="G2469" s="17"/>
      <c r="H2469" s="17"/>
      <c r="J2469" s="18"/>
    </row>
    <row r="2470" spans="1:10" s="10" customFormat="1" x14ac:dyDescent="0.25">
      <c r="A2470" s="18"/>
      <c r="C2470" s="17"/>
      <c r="D2470" s="19"/>
      <c r="E2470" s="17"/>
      <c r="F2470" s="18"/>
      <c r="G2470" s="17"/>
      <c r="H2470" s="17"/>
      <c r="J2470" s="18"/>
    </row>
    <row r="2471" spans="1:10" s="10" customFormat="1" x14ac:dyDescent="0.25">
      <c r="A2471" s="18"/>
      <c r="C2471" s="17"/>
      <c r="D2471" s="19"/>
      <c r="E2471" s="17"/>
      <c r="F2471" s="18"/>
      <c r="G2471" s="17"/>
      <c r="H2471" s="17"/>
      <c r="J2471" s="18"/>
    </row>
    <row r="2472" spans="1:10" s="10" customFormat="1" x14ac:dyDescent="0.25">
      <c r="A2472" s="18"/>
      <c r="C2472" s="17"/>
      <c r="D2472" s="19"/>
      <c r="E2472" s="17"/>
      <c r="F2472" s="18"/>
      <c r="G2472" s="17"/>
      <c r="H2472" s="17"/>
      <c r="J2472" s="18"/>
    </row>
    <row r="2473" spans="1:10" s="10" customFormat="1" x14ac:dyDescent="0.25">
      <c r="A2473" s="18"/>
      <c r="C2473" s="17"/>
      <c r="D2473" s="19"/>
      <c r="E2473" s="17"/>
      <c r="F2473" s="18"/>
      <c r="G2473" s="17"/>
      <c r="H2473" s="17"/>
      <c r="J2473" s="18"/>
    </row>
    <row r="2474" spans="1:10" s="10" customFormat="1" x14ac:dyDescent="0.25">
      <c r="A2474" s="18"/>
      <c r="C2474" s="17"/>
      <c r="D2474" s="19"/>
      <c r="E2474" s="17"/>
      <c r="F2474" s="18"/>
      <c r="G2474" s="17"/>
      <c r="H2474" s="17"/>
      <c r="J2474" s="18"/>
    </row>
    <row r="2475" spans="1:10" s="10" customFormat="1" x14ac:dyDescent="0.25">
      <c r="A2475" s="18"/>
      <c r="C2475" s="17"/>
      <c r="D2475" s="19"/>
      <c r="E2475" s="17"/>
      <c r="F2475" s="18"/>
      <c r="G2475" s="17"/>
      <c r="H2475" s="17"/>
      <c r="J2475" s="18"/>
    </row>
    <row r="2476" spans="1:10" s="10" customFormat="1" x14ac:dyDescent="0.25">
      <c r="A2476" s="18"/>
      <c r="C2476" s="17"/>
      <c r="D2476" s="19"/>
      <c r="E2476" s="17"/>
      <c r="F2476" s="18"/>
      <c r="G2476" s="17"/>
      <c r="H2476" s="17"/>
      <c r="J2476" s="18"/>
    </row>
    <row r="2477" spans="1:10" s="10" customFormat="1" x14ac:dyDescent="0.25">
      <c r="A2477" s="18"/>
      <c r="C2477" s="17"/>
      <c r="D2477" s="19"/>
      <c r="E2477" s="17"/>
      <c r="F2477" s="18"/>
      <c r="G2477" s="17"/>
      <c r="H2477" s="17"/>
      <c r="J2477" s="18"/>
    </row>
    <row r="2478" spans="1:10" s="10" customFormat="1" x14ac:dyDescent="0.25">
      <c r="A2478" s="18"/>
      <c r="C2478" s="17"/>
      <c r="D2478" s="19"/>
      <c r="E2478" s="17"/>
      <c r="F2478" s="18"/>
      <c r="G2478" s="17"/>
      <c r="H2478" s="17"/>
      <c r="J2478" s="18"/>
    </row>
    <row r="2479" spans="1:10" s="10" customFormat="1" x14ac:dyDescent="0.25">
      <c r="A2479" s="18"/>
      <c r="C2479" s="17"/>
      <c r="D2479" s="19"/>
      <c r="E2479" s="17"/>
      <c r="F2479" s="18"/>
      <c r="G2479" s="17"/>
      <c r="H2479" s="17"/>
      <c r="J2479" s="18"/>
    </row>
    <row r="2480" spans="1:10" s="10" customFormat="1" x14ac:dyDescent="0.25">
      <c r="A2480" s="18"/>
      <c r="C2480" s="17"/>
      <c r="D2480" s="19"/>
      <c r="E2480" s="17"/>
      <c r="F2480" s="18"/>
      <c r="G2480" s="17"/>
      <c r="H2480" s="17"/>
      <c r="J2480" s="18"/>
    </row>
    <row r="2481" spans="1:10" s="10" customFormat="1" x14ac:dyDescent="0.25">
      <c r="A2481" s="18"/>
      <c r="C2481" s="17"/>
      <c r="D2481" s="19"/>
      <c r="E2481" s="17"/>
      <c r="F2481" s="18"/>
      <c r="G2481" s="17"/>
      <c r="H2481" s="17"/>
      <c r="J2481" s="18"/>
    </row>
    <row r="2482" spans="1:10" s="10" customFormat="1" x14ac:dyDescent="0.25">
      <c r="A2482" s="18"/>
      <c r="C2482" s="17"/>
      <c r="D2482" s="19"/>
      <c r="E2482" s="17"/>
      <c r="F2482" s="18"/>
      <c r="G2482" s="17"/>
      <c r="H2482" s="17"/>
      <c r="J2482" s="18"/>
    </row>
    <row r="2483" spans="1:10" s="10" customFormat="1" x14ac:dyDescent="0.25">
      <c r="A2483" s="18"/>
      <c r="C2483" s="17"/>
      <c r="D2483" s="19"/>
      <c r="E2483" s="17"/>
      <c r="F2483" s="18"/>
      <c r="G2483" s="17"/>
      <c r="H2483" s="17"/>
      <c r="J2483" s="18"/>
    </row>
    <row r="2484" spans="1:10" s="10" customFormat="1" x14ac:dyDescent="0.25">
      <c r="A2484" s="18"/>
      <c r="C2484" s="17"/>
      <c r="D2484" s="19"/>
      <c r="E2484" s="17"/>
      <c r="F2484" s="18"/>
      <c r="G2484" s="17"/>
      <c r="H2484" s="17"/>
      <c r="J2484" s="18"/>
    </row>
    <row r="2485" spans="1:10" s="10" customFormat="1" x14ac:dyDescent="0.25">
      <c r="A2485" s="18"/>
      <c r="C2485" s="17"/>
      <c r="D2485" s="19"/>
      <c r="E2485" s="17"/>
      <c r="F2485" s="18"/>
      <c r="G2485" s="17"/>
      <c r="H2485" s="17"/>
      <c r="J2485" s="18"/>
    </row>
    <row r="2486" spans="1:10" s="10" customFormat="1" x14ac:dyDescent="0.25">
      <c r="A2486" s="18"/>
      <c r="C2486" s="17"/>
      <c r="D2486" s="19"/>
      <c r="E2486" s="17"/>
      <c r="F2486" s="18"/>
      <c r="G2486" s="17"/>
      <c r="H2486" s="17"/>
      <c r="J2486" s="18"/>
    </row>
    <row r="2487" spans="1:10" s="10" customFormat="1" x14ac:dyDescent="0.25">
      <c r="A2487" s="18"/>
      <c r="C2487" s="17"/>
      <c r="D2487" s="19"/>
      <c r="E2487" s="17"/>
      <c r="F2487" s="18"/>
      <c r="G2487" s="17"/>
      <c r="H2487" s="17"/>
      <c r="J2487" s="18"/>
    </row>
    <row r="2488" spans="1:10" s="10" customFormat="1" x14ac:dyDescent="0.25">
      <c r="A2488" s="18"/>
      <c r="C2488" s="17"/>
      <c r="D2488" s="19"/>
      <c r="E2488" s="17"/>
      <c r="F2488" s="18"/>
      <c r="G2488" s="17"/>
      <c r="H2488" s="17"/>
      <c r="J2488" s="18"/>
    </row>
    <row r="2489" spans="1:10" s="10" customFormat="1" x14ac:dyDescent="0.25">
      <c r="A2489" s="18"/>
      <c r="C2489" s="17"/>
      <c r="D2489" s="19"/>
      <c r="E2489" s="17"/>
      <c r="F2489" s="18"/>
      <c r="G2489" s="17"/>
      <c r="H2489" s="17"/>
      <c r="J2489" s="18"/>
    </row>
    <row r="2490" spans="1:10" s="10" customFormat="1" x14ac:dyDescent="0.25">
      <c r="A2490" s="18"/>
      <c r="C2490" s="17"/>
      <c r="D2490" s="19"/>
      <c r="E2490" s="17"/>
      <c r="F2490" s="18"/>
      <c r="G2490" s="17"/>
      <c r="H2490" s="17"/>
      <c r="J2490" s="18"/>
    </row>
    <row r="2491" spans="1:10" s="10" customFormat="1" x14ac:dyDescent="0.25">
      <c r="A2491" s="18"/>
      <c r="C2491" s="17"/>
      <c r="D2491" s="19"/>
      <c r="E2491" s="17"/>
      <c r="F2491" s="18"/>
      <c r="G2491" s="17"/>
      <c r="H2491" s="17"/>
      <c r="J2491" s="18"/>
    </row>
    <row r="2492" spans="1:10" s="10" customFormat="1" x14ac:dyDescent="0.25">
      <c r="A2492" s="18"/>
      <c r="C2492" s="17"/>
      <c r="D2492" s="19"/>
      <c r="E2492" s="17"/>
      <c r="F2492" s="18"/>
      <c r="G2492" s="17"/>
      <c r="H2492" s="17"/>
      <c r="J2492" s="18"/>
    </row>
    <row r="2493" spans="1:10" s="10" customFormat="1" x14ac:dyDescent="0.25">
      <c r="A2493" s="18"/>
      <c r="C2493" s="17"/>
      <c r="D2493" s="19"/>
      <c r="E2493" s="17"/>
      <c r="F2493" s="18"/>
      <c r="G2493" s="17"/>
      <c r="H2493" s="17"/>
      <c r="J2493" s="18"/>
    </row>
    <row r="2494" spans="1:10" s="10" customFormat="1" x14ac:dyDescent="0.25">
      <c r="A2494" s="18"/>
      <c r="C2494" s="17"/>
      <c r="D2494" s="19"/>
      <c r="E2494" s="17"/>
      <c r="F2494" s="18"/>
      <c r="G2494" s="17"/>
      <c r="H2494" s="17"/>
      <c r="J2494" s="18"/>
    </row>
    <row r="2495" spans="1:10" s="10" customFormat="1" x14ac:dyDescent="0.25">
      <c r="A2495" s="18"/>
      <c r="C2495" s="17"/>
      <c r="D2495" s="19"/>
      <c r="E2495" s="17"/>
      <c r="F2495" s="18"/>
      <c r="G2495" s="17"/>
      <c r="H2495" s="17"/>
      <c r="J2495" s="18"/>
    </row>
    <row r="2496" spans="1:10" s="10" customFormat="1" x14ac:dyDescent="0.25">
      <c r="A2496" s="18"/>
      <c r="C2496" s="17"/>
      <c r="D2496" s="19"/>
      <c r="E2496" s="17"/>
      <c r="F2496" s="18"/>
      <c r="G2496" s="17"/>
      <c r="H2496" s="17"/>
      <c r="J2496" s="18"/>
    </row>
    <row r="2497" spans="1:10" s="10" customFormat="1" x14ac:dyDescent="0.25">
      <c r="A2497" s="18"/>
      <c r="C2497" s="17"/>
      <c r="D2497" s="19"/>
      <c r="E2497" s="17"/>
      <c r="F2497" s="18"/>
      <c r="G2497" s="17"/>
      <c r="H2497" s="17"/>
      <c r="J2497" s="18"/>
    </row>
    <row r="2498" spans="1:10" s="10" customFormat="1" x14ac:dyDescent="0.25">
      <c r="A2498" s="18"/>
      <c r="C2498" s="17"/>
      <c r="D2498" s="19"/>
      <c r="E2498" s="17"/>
      <c r="F2498" s="18"/>
      <c r="G2498" s="17"/>
      <c r="H2498" s="17"/>
      <c r="J2498" s="18"/>
    </row>
    <row r="2499" spans="1:10" s="10" customFormat="1" x14ac:dyDescent="0.25">
      <c r="A2499" s="18"/>
      <c r="C2499" s="17"/>
      <c r="D2499" s="19"/>
      <c r="E2499" s="17"/>
      <c r="F2499" s="18"/>
      <c r="G2499" s="17"/>
      <c r="H2499" s="17"/>
      <c r="J2499" s="18"/>
    </row>
    <row r="2500" spans="1:10" s="10" customFormat="1" x14ac:dyDescent="0.25">
      <c r="A2500" s="18"/>
      <c r="C2500" s="17"/>
      <c r="D2500" s="19"/>
      <c r="E2500" s="17"/>
      <c r="F2500" s="18"/>
      <c r="G2500" s="17"/>
      <c r="H2500" s="17"/>
      <c r="J2500" s="18"/>
    </row>
    <row r="2501" spans="1:10" s="10" customFormat="1" x14ac:dyDescent="0.25">
      <c r="A2501" s="18"/>
      <c r="C2501" s="17"/>
      <c r="D2501" s="19"/>
      <c r="E2501" s="17"/>
      <c r="F2501" s="18"/>
      <c r="G2501" s="17"/>
      <c r="H2501" s="17"/>
      <c r="J2501" s="18"/>
    </row>
    <row r="2502" spans="1:10" s="10" customFormat="1" x14ac:dyDescent="0.25">
      <c r="A2502" s="18"/>
      <c r="C2502" s="17"/>
      <c r="D2502" s="19"/>
      <c r="E2502" s="17"/>
      <c r="F2502" s="18"/>
      <c r="G2502" s="17"/>
      <c r="H2502" s="17"/>
      <c r="J2502" s="18"/>
    </row>
    <row r="2503" spans="1:10" s="10" customFormat="1" x14ac:dyDescent="0.25">
      <c r="A2503" s="18"/>
      <c r="C2503" s="17"/>
      <c r="D2503" s="19"/>
      <c r="E2503" s="17"/>
      <c r="F2503" s="18"/>
      <c r="G2503" s="17"/>
      <c r="H2503" s="17"/>
      <c r="J2503" s="18"/>
    </row>
    <row r="2504" spans="1:10" s="10" customFormat="1" x14ac:dyDescent="0.25">
      <c r="A2504" s="18"/>
      <c r="C2504" s="17"/>
      <c r="D2504" s="19"/>
      <c r="E2504" s="17"/>
      <c r="F2504" s="18"/>
      <c r="G2504" s="17"/>
      <c r="H2504" s="17"/>
      <c r="J2504" s="18"/>
    </row>
    <row r="2505" spans="1:10" s="10" customFormat="1" x14ac:dyDescent="0.25">
      <c r="A2505" s="18"/>
      <c r="C2505" s="17"/>
      <c r="D2505" s="19"/>
      <c r="E2505" s="17"/>
      <c r="F2505" s="18"/>
      <c r="G2505" s="17"/>
      <c r="H2505" s="17"/>
      <c r="J2505" s="18"/>
    </row>
    <row r="2506" spans="1:10" s="10" customFormat="1" x14ac:dyDescent="0.25">
      <c r="A2506" s="18"/>
      <c r="C2506" s="17"/>
      <c r="D2506" s="19"/>
      <c r="E2506" s="17"/>
      <c r="F2506" s="18"/>
      <c r="G2506" s="17"/>
      <c r="H2506" s="17"/>
      <c r="J2506" s="18"/>
    </row>
    <row r="2507" spans="1:10" s="10" customFormat="1" x14ac:dyDescent="0.25">
      <c r="A2507" s="18"/>
      <c r="C2507" s="17"/>
      <c r="D2507" s="19"/>
      <c r="E2507" s="17"/>
      <c r="F2507" s="18"/>
      <c r="G2507" s="17"/>
      <c r="H2507" s="17"/>
      <c r="J2507" s="18"/>
    </row>
    <row r="2508" spans="1:10" s="10" customFormat="1" x14ac:dyDescent="0.25">
      <c r="A2508" s="18"/>
      <c r="C2508" s="17"/>
      <c r="D2508" s="19"/>
      <c r="E2508" s="17"/>
      <c r="F2508" s="18"/>
      <c r="G2508" s="17"/>
      <c r="H2508" s="17"/>
      <c r="J2508" s="18"/>
    </row>
    <row r="2509" spans="1:10" s="10" customFormat="1" x14ac:dyDescent="0.25">
      <c r="A2509" s="18"/>
      <c r="C2509" s="17"/>
      <c r="D2509" s="19"/>
      <c r="E2509" s="17"/>
      <c r="F2509" s="18"/>
      <c r="G2509" s="17"/>
      <c r="H2509" s="17"/>
      <c r="J2509" s="18"/>
    </row>
    <row r="2510" spans="1:10" s="10" customFormat="1" x14ac:dyDescent="0.25">
      <c r="A2510" s="18"/>
      <c r="C2510" s="17"/>
      <c r="D2510" s="19"/>
      <c r="E2510" s="17"/>
      <c r="F2510" s="18"/>
      <c r="G2510" s="17"/>
      <c r="H2510" s="17"/>
      <c r="J2510" s="18"/>
    </row>
    <row r="2511" spans="1:10" s="10" customFormat="1" x14ac:dyDescent="0.25">
      <c r="A2511" s="18"/>
      <c r="C2511" s="17"/>
      <c r="D2511" s="19"/>
      <c r="E2511" s="17"/>
      <c r="F2511" s="18"/>
      <c r="G2511" s="17"/>
      <c r="H2511" s="17"/>
      <c r="J2511" s="18"/>
    </row>
    <row r="2512" spans="1:10" s="10" customFormat="1" x14ac:dyDescent="0.25">
      <c r="A2512" s="18"/>
      <c r="C2512" s="17"/>
      <c r="D2512" s="19"/>
      <c r="E2512" s="17"/>
      <c r="F2512" s="18"/>
      <c r="G2512" s="17"/>
      <c r="H2512" s="17"/>
      <c r="J2512" s="18"/>
    </row>
    <row r="2513" spans="1:10" s="10" customFormat="1" x14ac:dyDescent="0.25">
      <c r="A2513" s="18"/>
      <c r="C2513" s="17"/>
      <c r="D2513" s="19"/>
      <c r="E2513" s="17"/>
      <c r="F2513" s="18"/>
      <c r="G2513" s="17"/>
      <c r="H2513" s="17"/>
      <c r="J2513" s="18"/>
    </row>
    <row r="2514" spans="1:10" s="10" customFormat="1" x14ac:dyDescent="0.25">
      <c r="A2514" s="18"/>
      <c r="C2514" s="17"/>
      <c r="D2514" s="19"/>
      <c r="E2514" s="17"/>
      <c r="F2514" s="18"/>
      <c r="G2514" s="17"/>
      <c r="H2514" s="17"/>
      <c r="J2514" s="18"/>
    </row>
    <row r="2515" spans="1:10" s="10" customFormat="1" x14ac:dyDescent="0.25">
      <c r="A2515" s="18"/>
      <c r="C2515" s="17"/>
      <c r="D2515" s="19"/>
      <c r="E2515" s="17"/>
      <c r="F2515" s="18"/>
      <c r="G2515" s="17"/>
      <c r="H2515" s="17"/>
      <c r="J2515" s="18"/>
    </row>
    <row r="2516" spans="1:10" s="10" customFormat="1" x14ac:dyDescent="0.25">
      <c r="A2516" s="18"/>
      <c r="C2516" s="17"/>
      <c r="D2516" s="19"/>
      <c r="E2516" s="17"/>
      <c r="F2516" s="18"/>
      <c r="G2516" s="17"/>
      <c r="H2516" s="17"/>
      <c r="J2516" s="18"/>
    </row>
    <row r="2517" spans="1:10" s="10" customFormat="1" x14ac:dyDescent="0.25">
      <c r="A2517" s="18"/>
      <c r="C2517" s="17"/>
      <c r="D2517" s="19"/>
      <c r="E2517" s="17"/>
      <c r="F2517" s="18"/>
      <c r="G2517" s="17"/>
      <c r="H2517" s="17"/>
      <c r="J2517" s="18"/>
    </row>
    <row r="2518" spans="1:10" s="10" customFormat="1" x14ac:dyDescent="0.25">
      <c r="A2518" s="18"/>
      <c r="C2518" s="17"/>
      <c r="D2518" s="19"/>
      <c r="E2518" s="17"/>
      <c r="F2518" s="18"/>
      <c r="G2518" s="17"/>
      <c r="H2518" s="17"/>
      <c r="J2518" s="18"/>
    </row>
    <row r="2519" spans="1:10" s="10" customFormat="1" x14ac:dyDescent="0.25">
      <c r="A2519" s="18"/>
      <c r="C2519" s="17"/>
      <c r="D2519" s="19"/>
      <c r="E2519" s="17"/>
      <c r="F2519" s="18"/>
      <c r="G2519" s="17"/>
      <c r="H2519" s="17"/>
      <c r="J2519" s="18"/>
    </row>
    <row r="2520" spans="1:10" s="10" customFormat="1" x14ac:dyDescent="0.25">
      <c r="A2520" s="18"/>
      <c r="C2520" s="17"/>
      <c r="D2520" s="19"/>
      <c r="E2520" s="17"/>
      <c r="F2520" s="18"/>
      <c r="G2520" s="17"/>
      <c r="H2520" s="17"/>
      <c r="J2520" s="18"/>
    </row>
    <row r="2521" spans="1:10" s="10" customFormat="1" x14ac:dyDescent="0.25">
      <c r="A2521" s="18"/>
      <c r="C2521" s="17"/>
      <c r="D2521" s="19"/>
      <c r="E2521" s="17"/>
      <c r="F2521" s="18"/>
      <c r="G2521" s="17"/>
      <c r="H2521" s="17"/>
      <c r="J2521" s="18"/>
    </row>
    <row r="2522" spans="1:10" s="10" customFormat="1" x14ac:dyDescent="0.25">
      <c r="A2522" s="18"/>
      <c r="C2522" s="17"/>
      <c r="D2522" s="19"/>
      <c r="E2522" s="17"/>
      <c r="F2522" s="18"/>
      <c r="G2522" s="17"/>
      <c r="H2522" s="17"/>
      <c r="J2522" s="18"/>
    </row>
    <row r="2523" spans="1:10" s="10" customFormat="1" x14ac:dyDescent="0.25">
      <c r="A2523" s="18"/>
      <c r="C2523" s="17"/>
      <c r="D2523" s="19"/>
      <c r="E2523" s="17"/>
      <c r="F2523" s="18"/>
      <c r="G2523" s="17"/>
      <c r="H2523" s="17"/>
      <c r="J2523" s="18"/>
    </row>
    <row r="2524" spans="1:10" s="10" customFormat="1" x14ac:dyDescent="0.25">
      <c r="A2524" s="18"/>
      <c r="C2524" s="17"/>
      <c r="D2524" s="19"/>
      <c r="E2524" s="17"/>
      <c r="F2524" s="18"/>
      <c r="G2524" s="17"/>
      <c r="H2524" s="17"/>
      <c r="J2524" s="18"/>
    </row>
    <row r="2525" spans="1:10" s="10" customFormat="1" x14ac:dyDescent="0.25">
      <c r="A2525" s="18"/>
      <c r="C2525" s="17"/>
      <c r="D2525" s="19"/>
      <c r="E2525" s="17"/>
      <c r="F2525" s="18"/>
      <c r="G2525" s="17"/>
      <c r="H2525" s="17"/>
      <c r="J2525" s="18"/>
    </row>
    <row r="2526" spans="1:10" s="10" customFormat="1" x14ac:dyDescent="0.25">
      <c r="A2526" s="18"/>
      <c r="C2526" s="17"/>
      <c r="D2526" s="19"/>
      <c r="E2526" s="17"/>
      <c r="F2526" s="18"/>
      <c r="G2526" s="17"/>
      <c r="H2526" s="17"/>
      <c r="J2526" s="18"/>
    </row>
    <row r="2527" spans="1:10" s="10" customFormat="1" x14ac:dyDescent="0.25">
      <c r="A2527" s="18"/>
      <c r="C2527" s="17"/>
      <c r="D2527" s="19"/>
      <c r="E2527" s="17"/>
      <c r="F2527" s="18"/>
      <c r="G2527" s="17"/>
      <c r="H2527" s="17"/>
      <c r="J2527" s="18"/>
    </row>
    <row r="2528" spans="1:10" s="10" customFormat="1" x14ac:dyDescent="0.25">
      <c r="A2528" s="18"/>
      <c r="C2528" s="17"/>
      <c r="D2528" s="19"/>
      <c r="E2528" s="17"/>
      <c r="F2528" s="18"/>
      <c r="G2528" s="17"/>
      <c r="H2528" s="17"/>
      <c r="J2528" s="18"/>
    </row>
    <row r="2529" spans="1:10" s="10" customFormat="1" x14ac:dyDescent="0.25">
      <c r="A2529" s="18"/>
      <c r="C2529" s="17"/>
      <c r="D2529" s="19"/>
      <c r="E2529" s="17"/>
      <c r="F2529" s="18"/>
      <c r="G2529" s="17"/>
      <c r="H2529" s="17"/>
      <c r="J2529" s="18"/>
    </row>
    <row r="2530" spans="1:10" s="10" customFormat="1" x14ac:dyDescent="0.25">
      <c r="A2530" s="18"/>
      <c r="C2530" s="17"/>
      <c r="D2530" s="19"/>
      <c r="E2530" s="17"/>
      <c r="F2530" s="18"/>
      <c r="G2530" s="17"/>
      <c r="H2530" s="17"/>
      <c r="J2530" s="18"/>
    </row>
    <row r="2531" spans="1:10" s="10" customFormat="1" x14ac:dyDescent="0.25">
      <c r="A2531" s="18"/>
      <c r="C2531" s="17"/>
      <c r="D2531" s="19"/>
      <c r="E2531" s="17"/>
      <c r="F2531" s="18"/>
      <c r="G2531" s="17"/>
      <c r="H2531" s="17"/>
      <c r="J2531" s="18"/>
    </row>
    <row r="2532" spans="1:10" s="10" customFormat="1" x14ac:dyDescent="0.25">
      <c r="A2532" s="18"/>
      <c r="C2532" s="17"/>
      <c r="D2532" s="19"/>
      <c r="E2532" s="17"/>
      <c r="F2532" s="18"/>
      <c r="G2532" s="17"/>
      <c r="H2532" s="17"/>
      <c r="J2532" s="18"/>
    </row>
    <row r="2533" spans="1:10" s="10" customFormat="1" x14ac:dyDescent="0.25">
      <c r="A2533" s="18"/>
      <c r="C2533" s="17"/>
      <c r="D2533" s="19"/>
      <c r="E2533" s="17"/>
      <c r="F2533" s="18"/>
      <c r="G2533" s="17"/>
      <c r="H2533" s="17"/>
      <c r="J2533" s="18"/>
    </row>
    <row r="2534" spans="1:10" s="10" customFormat="1" x14ac:dyDescent="0.25">
      <c r="A2534" s="18"/>
      <c r="C2534" s="17"/>
      <c r="D2534" s="19"/>
      <c r="E2534" s="17"/>
      <c r="F2534" s="18"/>
      <c r="G2534" s="17"/>
      <c r="H2534" s="17"/>
      <c r="J2534" s="18"/>
    </row>
    <row r="2535" spans="1:10" s="10" customFormat="1" x14ac:dyDescent="0.25">
      <c r="A2535" s="18"/>
      <c r="C2535" s="17"/>
      <c r="D2535" s="19"/>
      <c r="E2535" s="17"/>
      <c r="F2535" s="18"/>
      <c r="G2535" s="17"/>
      <c r="H2535" s="17"/>
      <c r="J2535" s="18"/>
    </row>
    <row r="2536" spans="1:10" s="10" customFormat="1" x14ac:dyDescent="0.25">
      <c r="A2536" s="18"/>
      <c r="C2536" s="17"/>
      <c r="D2536" s="19"/>
      <c r="E2536" s="17"/>
      <c r="F2536" s="18"/>
      <c r="G2536" s="17"/>
      <c r="H2536" s="17"/>
      <c r="J2536" s="18"/>
    </row>
    <row r="2537" spans="1:10" s="10" customFormat="1" x14ac:dyDescent="0.25">
      <c r="A2537" s="18"/>
      <c r="C2537" s="17"/>
      <c r="D2537" s="19"/>
      <c r="E2537" s="17"/>
      <c r="F2537" s="18"/>
      <c r="G2537" s="17"/>
      <c r="H2537" s="17"/>
      <c r="J2537" s="18"/>
    </row>
    <row r="2538" spans="1:10" s="10" customFormat="1" x14ac:dyDescent="0.25">
      <c r="A2538" s="18"/>
      <c r="C2538" s="17"/>
      <c r="D2538" s="19"/>
      <c r="E2538" s="17"/>
      <c r="F2538" s="18"/>
      <c r="G2538" s="17"/>
      <c r="H2538" s="17"/>
      <c r="J2538" s="18"/>
    </row>
    <row r="2539" spans="1:10" s="10" customFormat="1" x14ac:dyDescent="0.25">
      <c r="A2539" s="18"/>
      <c r="C2539" s="17"/>
      <c r="D2539" s="19"/>
      <c r="E2539" s="17"/>
      <c r="F2539" s="18"/>
      <c r="G2539" s="17"/>
      <c r="H2539" s="17"/>
      <c r="J2539" s="18"/>
    </row>
    <row r="2540" spans="1:10" s="10" customFormat="1" x14ac:dyDescent="0.25">
      <c r="A2540" s="18"/>
      <c r="C2540" s="17"/>
      <c r="D2540" s="19"/>
      <c r="E2540" s="17"/>
      <c r="F2540" s="18"/>
      <c r="G2540" s="17"/>
      <c r="H2540" s="17"/>
      <c r="J2540" s="18"/>
    </row>
    <row r="2541" spans="1:10" s="10" customFormat="1" x14ac:dyDescent="0.25">
      <c r="A2541" s="18"/>
      <c r="C2541" s="17"/>
      <c r="D2541" s="19"/>
      <c r="E2541" s="17"/>
      <c r="F2541" s="18"/>
      <c r="G2541" s="17"/>
      <c r="H2541" s="17"/>
      <c r="J2541" s="18"/>
    </row>
    <row r="2542" spans="1:10" s="10" customFormat="1" x14ac:dyDescent="0.25">
      <c r="A2542" s="18"/>
      <c r="C2542" s="17"/>
      <c r="D2542" s="19"/>
      <c r="E2542" s="17"/>
      <c r="F2542" s="18"/>
      <c r="G2542" s="17"/>
      <c r="H2542" s="17"/>
      <c r="J2542" s="18"/>
    </row>
    <row r="2543" spans="1:10" s="10" customFormat="1" x14ac:dyDescent="0.25">
      <c r="A2543" s="18"/>
      <c r="C2543" s="17"/>
      <c r="D2543" s="19"/>
      <c r="E2543" s="17"/>
      <c r="F2543" s="18"/>
      <c r="G2543" s="17"/>
      <c r="H2543" s="17"/>
      <c r="J2543" s="18"/>
    </row>
    <row r="2544" spans="1:10" s="10" customFormat="1" x14ac:dyDescent="0.25">
      <c r="A2544" s="18"/>
      <c r="C2544" s="17"/>
      <c r="D2544" s="19"/>
      <c r="E2544" s="17"/>
      <c r="F2544" s="18"/>
      <c r="G2544" s="17"/>
      <c r="H2544" s="17"/>
      <c r="J2544" s="18"/>
    </row>
    <row r="2545" spans="1:10" s="10" customFormat="1" x14ac:dyDescent="0.25">
      <c r="A2545" s="18"/>
      <c r="C2545" s="17"/>
      <c r="D2545" s="19"/>
      <c r="E2545" s="17"/>
      <c r="F2545" s="18"/>
      <c r="G2545" s="17"/>
      <c r="H2545" s="17"/>
      <c r="J2545" s="18"/>
    </row>
    <row r="2546" spans="1:10" s="10" customFormat="1" x14ac:dyDescent="0.25">
      <c r="A2546" s="18"/>
      <c r="C2546" s="17"/>
      <c r="D2546" s="19"/>
      <c r="E2546" s="17"/>
      <c r="F2546" s="18"/>
      <c r="G2546" s="17"/>
      <c r="H2546" s="17"/>
      <c r="J2546" s="18"/>
    </row>
    <row r="2547" spans="1:10" s="10" customFormat="1" x14ac:dyDescent="0.25">
      <c r="A2547" s="18"/>
      <c r="C2547" s="17"/>
      <c r="D2547" s="19"/>
      <c r="E2547" s="17"/>
      <c r="F2547" s="18"/>
      <c r="G2547" s="17"/>
      <c r="H2547" s="17"/>
      <c r="J2547" s="18"/>
    </row>
    <row r="2548" spans="1:10" s="10" customFormat="1" x14ac:dyDescent="0.25">
      <c r="A2548" s="18"/>
      <c r="C2548" s="17"/>
      <c r="D2548" s="19"/>
      <c r="E2548" s="17"/>
      <c r="F2548" s="18"/>
      <c r="G2548" s="17"/>
      <c r="H2548" s="17"/>
      <c r="J2548" s="18"/>
    </row>
    <row r="2549" spans="1:10" s="10" customFormat="1" x14ac:dyDescent="0.25">
      <c r="A2549" s="18"/>
      <c r="C2549" s="17"/>
      <c r="D2549" s="19"/>
      <c r="E2549" s="17"/>
      <c r="F2549" s="18"/>
      <c r="G2549" s="17"/>
      <c r="H2549" s="17"/>
      <c r="J2549" s="18"/>
    </row>
    <row r="2550" spans="1:10" s="10" customFormat="1" x14ac:dyDescent="0.25">
      <c r="A2550" s="18"/>
      <c r="C2550" s="17"/>
      <c r="D2550" s="19"/>
      <c r="E2550" s="17"/>
      <c r="F2550" s="18"/>
      <c r="G2550" s="17"/>
      <c r="H2550" s="17"/>
      <c r="J2550" s="18"/>
    </row>
    <row r="2551" spans="1:10" s="10" customFormat="1" x14ac:dyDescent="0.25">
      <c r="A2551" s="18"/>
      <c r="C2551" s="17"/>
      <c r="D2551" s="19"/>
      <c r="E2551" s="17"/>
      <c r="F2551" s="18"/>
      <c r="G2551" s="17"/>
      <c r="H2551" s="17"/>
      <c r="J2551" s="18"/>
    </row>
    <row r="2552" spans="1:10" s="10" customFormat="1" x14ac:dyDescent="0.25">
      <c r="A2552" s="18"/>
      <c r="C2552" s="17"/>
      <c r="D2552" s="19"/>
      <c r="E2552" s="17"/>
      <c r="F2552" s="18"/>
      <c r="G2552" s="17"/>
      <c r="H2552" s="17"/>
      <c r="J2552" s="18"/>
    </row>
    <row r="2553" spans="1:10" s="10" customFormat="1" x14ac:dyDescent="0.25">
      <c r="A2553" s="18"/>
      <c r="C2553" s="17"/>
      <c r="D2553" s="19"/>
      <c r="E2553" s="17"/>
      <c r="F2553" s="18"/>
      <c r="G2553" s="17"/>
      <c r="H2553" s="17"/>
      <c r="J2553" s="18"/>
    </row>
    <row r="2554" spans="1:10" s="10" customFormat="1" x14ac:dyDescent="0.25">
      <c r="A2554" s="18"/>
      <c r="C2554" s="17"/>
      <c r="D2554" s="19"/>
      <c r="E2554" s="17"/>
      <c r="F2554" s="18"/>
      <c r="G2554" s="17"/>
      <c r="H2554" s="17"/>
      <c r="J2554" s="18"/>
    </row>
    <row r="2555" spans="1:10" s="10" customFormat="1" x14ac:dyDescent="0.25">
      <c r="A2555" s="18"/>
      <c r="C2555" s="17"/>
      <c r="D2555" s="19"/>
      <c r="E2555" s="17"/>
      <c r="F2555" s="18"/>
      <c r="G2555" s="17"/>
      <c r="H2555" s="17"/>
      <c r="J2555" s="18"/>
    </row>
    <row r="2556" spans="1:10" s="10" customFormat="1" x14ac:dyDescent="0.25">
      <c r="A2556" s="18"/>
      <c r="C2556" s="17"/>
      <c r="D2556" s="19"/>
      <c r="E2556" s="17"/>
      <c r="F2556" s="18"/>
      <c r="G2556" s="17"/>
      <c r="H2556" s="17"/>
      <c r="J2556" s="18"/>
    </row>
    <row r="2557" spans="1:10" s="10" customFormat="1" x14ac:dyDescent="0.25">
      <c r="A2557" s="18"/>
      <c r="C2557" s="17"/>
      <c r="D2557" s="19"/>
      <c r="E2557" s="17"/>
      <c r="F2557" s="18"/>
      <c r="G2557" s="17"/>
      <c r="H2557" s="17"/>
      <c r="J2557" s="18"/>
    </row>
    <row r="2558" spans="1:10" s="10" customFormat="1" x14ac:dyDescent="0.25">
      <c r="A2558" s="18"/>
      <c r="C2558" s="17"/>
      <c r="D2558" s="19"/>
      <c r="E2558" s="17"/>
      <c r="F2558" s="18"/>
      <c r="G2558" s="17"/>
      <c r="H2558" s="17"/>
      <c r="J2558" s="18"/>
    </row>
    <row r="2559" spans="1:10" s="10" customFormat="1" x14ac:dyDescent="0.25">
      <c r="A2559" s="18"/>
      <c r="C2559" s="17"/>
      <c r="D2559" s="19"/>
      <c r="E2559" s="17"/>
      <c r="F2559" s="18"/>
      <c r="G2559" s="17"/>
      <c r="H2559" s="17"/>
      <c r="J2559" s="18"/>
    </row>
    <row r="2560" spans="1:10" s="10" customFormat="1" x14ac:dyDescent="0.25">
      <c r="A2560" s="18"/>
      <c r="C2560" s="17"/>
      <c r="D2560" s="19"/>
      <c r="E2560" s="17"/>
      <c r="F2560" s="18"/>
      <c r="G2560" s="17"/>
      <c r="H2560" s="17"/>
      <c r="J2560" s="18"/>
    </row>
    <row r="2561" spans="1:10" s="10" customFormat="1" x14ac:dyDescent="0.25">
      <c r="A2561" s="18"/>
      <c r="C2561" s="17"/>
      <c r="D2561" s="19"/>
      <c r="E2561" s="17"/>
      <c r="F2561" s="18"/>
      <c r="G2561" s="17"/>
      <c r="H2561" s="17"/>
      <c r="J2561" s="18"/>
    </row>
    <row r="2562" spans="1:10" s="10" customFormat="1" x14ac:dyDescent="0.25">
      <c r="A2562" s="18"/>
      <c r="C2562" s="17"/>
      <c r="D2562" s="19"/>
      <c r="E2562" s="17"/>
      <c r="F2562" s="18"/>
      <c r="G2562" s="17"/>
      <c r="H2562" s="17"/>
      <c r="J2562" s="18"/>
    </row>
    <row r="2563" spans="1:10" s="10" customFormat="1" x14ac:dyDescent="0.25">
      <c r="A2563" s="18"/>
      <c r="C2563" s="17"/>
      <c r="D2563" s="19"/>
      <c r="E2563" s="17"/>
      <c r="F2563" s="18"/>
      <c r="G2563" s="17"/>
      <c r="H2563" s="17"/>
      <c r="J2563" s="18"/>
    </row>
    <row r="2564" spans="1:10" s="10" customFormat="1" x14ac:dyDescent="0.25">
      <c r="A2564" s="18"/>
      <c r="C2564" s="17"/>
      <c r="D2564" s="19"/>
      <c r="E2564" s="17"/>
      <c r="F2564" s="18"/>
      <c r="G2564" s="17"/>
      <c r="H2564" s="17"/>
      <c r="J2564" s="18"/>
    </row>
    <row r="2565" spans="1:10" s="10" customFormat="1" x14ac:dyDescent="0.25">
      <c r="A2565" s="18"/>
      <c r="C2565" s="17"/>
      <c r="D2565" s="19"/>
      <c r="E2565" s="17"/>
      <c r="F2565" s="18"/>
      <c r="G2565" s="17"/>
      <c r="H2565" s="17"/>
      <c r="J2565" s="18"/>
    </row>
    <row r="2566" spans="1:10" s="10" customFormat="1" x14ac:dyDescent="0.25">
      <c r="A2566" s="18"/>
      <c r="C2566" s="17"/>
      <c r="D2566" s="19"/>
      <c r="E2566" s="17"/>
      <c r="F2566" s="18"/>
      <c r="G2566" s="17"/>
      <c r="H2566" s="17"/>
      <c r="J2566" s="18"/>
    </row>
    <row r="2567" spans="1:10" s="10" customFormat="1" x14ac:dyDescent="0.25">
      <c r="A2567" s="18"/>
      <c r="C2567" s="17"/>
      <c r="D2567" s="19"/>
      <c r="E2567" s="17"/>
      <c r="F2567" s="18"/>
      <c r="G2567" s="17"/>
      <c r="H2567" s="17"/>
      <c r="J2567" s="18"/>
    </row>
    <row r="2568" spans="1:10" s="10" customFormat="1" x14ac:dyDescent="0.25">
      <c r="A2568" s="18"/>
      <c r="C2568" s="17"/>
      <c r="D2568" s="19"/>
      <c r="E2568" s="17"/>
      <c r="F2568" s="18"/>
      <c r="G2568" s="17"/>
      <c r="H2568" s="17"/>
      <c r="J2568" s="18"/>
    </row>
    <row r="2569" spans="1:10" s="10" customFormat="1" x14ac:dyDescent="0.25">
      <c r="A2569" s="18"/>
      <c r="C2569" s="17"/>
      <c r="D2569" s="19"/>
      <c r="E2569" s="17"/>
      <c r="F2569" s="18"/>
      <c r="G2569" s="17"/>
      <c r="H2569" s="17"/>
      <c r="J2569" s="18"/>
    </row>
    <row r="2570" spans="1:10" s="10" customFormat="1" x14ac:dyDescent="0.25">
      <c r="A2570" s="18"/>
      <c r="C2570" s="17"/>
      <c r="D2570" s="19"/>
      <c r="E2570" s="17"/>
      <c r="F2570" s="18"/>
      <c r="G2570" s="17"/>
      <c r="H2570" s="17"/>
      <c r="J2570" s="18"/>
    </row>
    <row r="2571" spans="1:10" s="10" customFormat="1" x14ac:dyDescent="0.25">
      <c r="A2571" s="18"/>
      <c r="C2571" s="17"/>
      <c r="D2571" s="19"/>
      <c r="E2571" s="17"/>
      <c r="F2571" s="18"/>
      <c r="G2571" s="17"/>
      <c r="H2571" s="17"/>
      <c r="J2571" s="18"/>
    </row>
    <row r="2572" spans="1:10" s="10" customFormat="1" x14ac:dyDescent="0.25">
      <c r="A2572" s="18"/>
      <c r="C2572" s="17"/>
      <c r="D2572" s="19"/>
      <c r="E2572" s="17"/>
      <c r="F2572" s="18"/>
      <c r="G2572" s="17"/>
      <c r="H2572" s="17"/>
      <c r="J2572" s="18"/>
    </row>
    <row r="2573" spans="1:10" s="10" customFormat="1" x14ac:dyDescent="0.25">
      <c r="A2573" s="18"/>
      <c r="C2573" s="17"/>
      <c r="D2573" s="19"/>
      <c r="E2573" s="17"/>
      <c r="F2573" s="18"/>
      <c r="G2573" s="17"/>
      <c r="H2573" s="17"/>
      <c r="J2573" s="18"/>
    </row>
    <row r="2574" spans="1:10" s="10" customFormat="1" x14ac:dyDescent="0.25">
      <c r="A2574" s="18"/>
      <c r="C2574" s="17"/>
      <c r="D2574" s="19"/>
      <c r="E2574" s="17"/>
      <c r="F2574" s="18"/>
      <c r="G2574" s="17"/>
      <c r="H2574" s="17"/>
      <c r="J2574" s="18"/>
    </row>
    <row r="2575" spans="1:10" s="10" customFormat="1" x14ac:dyDescent="0.25">
      <c r="A2575" s="18"/>
      <c r="C2575" s="17"/>
      <c r="D2575" s="19"/>
      <c r="E2575" s="17"/>
      <c r="F2575" s="18"/>
      <c r="G2575" s="17"/>
      <c r="H2575" s="17"/>
      <c r="J2575" s="18"/>
    </row>
    <row r="2576" spans="1:10" s="10" customFormat="1" x14ac:dyDescent="0.25">
      <c r="A2576" s="18"/>
      <c r="C2576" s="17"/>
      <c r="D2576" s="19"/>
      <c r="E2576" s="17"/>
      <c r="F2576" s="18"/>
      <c r="G2576" s="17"/>
      <c r="H2576" s="17"/>
      <c r="J2576" s="18"/>
    </row>
    <row r="2577" spans="1:10" s="10" customFormat="1" x14ac:dyDescent="0.25">
      <c r="A2577" s="18"/>
      <c r="C2577" s="17"/>
      <c r="D2577" s="19"/>
      <c r="E2577" s="17"/>
      <c r="F2577" s="18"/>
      <c r="G2577" s="17"/>
      <c r="H2577" s="17"/>
      <c r="J2577" s="18"/>
    </row>
    <row r="2578" spans="1:10" s="10" customFormat="1" x14ac:dyDescent="0.25">
      <c r="A2578" s="18"/>
      <c r="C2578" s="17"/>
      <c r="D2578" s="19"/>
      <c r="E2578" s="17"/>
      <c r="F2578" s="18"/>
      <c r="G2578" s="17"/>
      <c r="H2578" s="17"/>
      <c r="J2578" s="18"/>
    </row>
    <row r="2579" spans="1:10" s="10" customFormat="1" x14ac:dyDescent="0.25">
      <c r="A2579" s="18"/>
      <c r="C2579" s="17"/>
      <c r="D2579" s="19"/>
      <c r="E2579" s="17"/>
      <c r="F2579" s="18"/>
      <c r="G2579" s="17"/>
      <c r="H2579" s="17"/>
      <c r="J2579" s="18"/>
    </row>
    <row r="2580" spans="1:10" s="10" customFormat="1" x14ac:dyDescent="0.25">
      <c r="A2580" s="18"/>
      <c r="C2580" s="17"/>
      <c r="D2580" s="19"/>
      <c r="E2580" s="17"/>
      <c r="F2580" s="18"/>
      <c r="G2580" s="17"/>
      <c r="H2580" s="17"/>
      <c r="J2580" s="18"/>
    </row>
    <row r="2581" spans="1:10" s="10" customFormat="1" x14ac:dyDescent="0.25">
      <c r="A2581" s="18"/>
      <c r="C2581" s="17"/>
      <c r="D2581" s="19"/>
      <c r="E2581" s="17"/>
      <c r="F2581" s="18"/>
      <c r="G2581" s="17"/>
      <c r="H2581" s="17"/>
      <c r="J2581" s="18"/>
    </row>
    <row r="2582" spans="1:10" s="10" customFormat="1" x14ac:dyDescent="0.25">
      <c r="A2582" s="18"/>
      <c r="C2582" s="17"/>
      <c r="D2582" s="19"/>
      <c r="E2582" s="17"/>
      <c r="F2582" s="18"/>
      <c r="G2582" s="17"/>
      <c r="H2582" s="17"/>
      <c r="J2582" s="18"/>
    </row>
    <row r="2583" spans="1:10" s="10" customFormat="1" x14ac:dyDescent="0.25">
      <c r="A2583" s="18"/>
      <c r="C2583" s="17"/>
      <c r="D2583" s="19"/>
      <c r="E2583" s="17"/>
      <c r="F2583" s="18"/>
      <c r="G2583" s="17"/>
      <c r="H2583" s="17"/>
      <c r="J2583" s="18"/>
    </row>
    <row r="2584" spans="1:10" s="10" customFormat="1" x14ac:dyDescent="0.25">
      <c r="A2584" s="18"/>
      <c r="C2584" s="17"/>
      <c r="D2584" s="19"/>
      <c r="E2584" s="17"/>
      <c r="F2584" s="18"/>
      <c r="G2584" s="17"/>
      <c r="H2584" s="17"/>
      <c r="J2584" s="18"/>
    </row>
    <row r="2585" spans="1:10" s="10" customFormat="1" x14ac:dyDescent="0.25">
      <c r="A2585" s="18"/>
      <c r="C2585" s="17"/>
      <c r="D2585" s="19"/>
      <c r="E2585" s="17"/>
      <c r="F2585" s="18"/>
      <c r="G2585" s="17"/>
      <c r="H2585" s="17"/>
      <c r="J2585" s="18"/>
    </row>
    <row r="2586" spans="1:10" s="10" customFormat="1" x14ac:dyDescent="0.25">
      <c r="A2586" s="18"/>
      <c r="C2586" s="17"/>
      <c r="D2586" s="19"/>
      <c r="E2586" s="17"/>
      <c r="F2586" s="18"/>
      <c r="G2586" s="17"/>
      <c r="H2586" s="17"/>
      <c r="J2586" s="18"/>
    </row>
    <row r="2587" spans="1:10" s="10" customFormat="1" x14ac:dyDescent="0.25">
      <c r="A2587" s="18"/>
      <c r="C2587" s="17"/>
      <c r="D2587" s="19"/>
      <c r="E2587" s="17"/>
      <c r="F2587" s="18"/>
      <c r="G2587" s="17"/>
      <c r="H2587" s="17"/>
      <c r="J2587" s="18"/>
    </row>
    <row r="2588" spans="1:10" s="10" customFormat="1" x14ac:dyDescent="0.25">
      <c r="A2588" s="18"/>
      <c r="C2588" s="17"/>
      <c r="D2588" s="19"/>
      <c r="E2588" s="17"/>
      <c r="F2588" s="18"/>
      <c r="G2588" s="17"/>
      <c r="H2588" s="17"/>
      <c r="J2588" s="18"/>
    </row>
    <row r="2589" spans="1:10" s="10" customFormat="1" x14ac:dyDescent="0.25">
      <c r="A2589" s="18"/>
      <c r="C2589" s="17"/>
      <c r="D2589" s="19"/>
      <c r="E2589" s="17"/>
      <c r="F2589" s="18"/>
      <c r="G2589" s="17"/>
      <c r="H2589" s="17"/>
      <c r="J2589" s="18"/>
    </row>
    <row r="2590" spans="1:10" s="10" customFormat="1" x14ac:dyDescent="0.25">
      <c r="A2590" s="18"/>
      <c r="C2590" s="17"/>
      <c r="D2590" s="19"/>
      <c r="E2590" s="17"/>
      <c r="F2590" s="18"/>
      <c r="G2590" s="17"/>
      <c r="H2590" s="17"/>
      <c r="J2590" s="18"/>
    </row>
    <row r="2591" spans="1:10" s="10" customFormat="1" x14ac:dyDescent="0.25">
      <c r="A2591" s="18"/>
      <c r="C2591" s="17"/>
      <c r="D2591" s="19"/>
      <c r="E2591" s="17"/>
      <c r="F2591" s="18"/>
      <c r="G2591" s="17"/>
      <c r="H2591" s="17"/>
      <c r="J2591" s="18"/>
    </row>
    <row r="2592" spans="1:10" s="10" customFormat="1" x14ac:dyDescent="0.25">
      <c r="A2592" s="18"/>
      <c r="C2592" s="17"/>
      <c r="D2592" s="19"/>
      <c r="E2592" s="17"/>
      <c r="F2592" s="18"/>
      <c r="G2592" s="17"/>
      <c r="H2592" s="17"/>
      <c r="J2592" s="18"/>
    </row>
    <row r="2593" spans="1:10" s="10" customFormat="1" x14ac:dyDescent="0.25">
      <c r="A2593" s="18"/>
      <c r="C2593" s="17"/>
      <c r="D2593" s="19"/>
      <c r="E2593" s="17"/>
      <c r="F2593" s="18"/>
      <c r="G2593" s="17"/>
      <c r="H2593" s="17"/>
      <c r="J2593" s="18"/>
    </row>
    <row r="2594" spans="1:10" s="10" customFormat="1" x14ac:dyDescent="0.25">
      <c r="A2594" s="18"/>
      <c r="C2594" s="17"/>
      <c r="D2594" s="19"/>
      <c r="E2594" s="17"/>
      <c r="F2594" s="18"/>
      <c r="G2594" s="17"/>
      <c r="H2594" s="17"/>
      <c r="J2594" s="18"/>
    </row>
    <row r="2595" spans="1:10" s="10" customFormat="1" x14ac:dyDescent="0.25">
      <c r="A2595" s="18"/>
      <c r="C2595" s="17"/>
      <c r="D2595" s="19"/>
      <c r="E2595" s="17"/>
      <c r="F2595" s="18"/>
      <c r="G2595" s="17"/>
      <c r="H2595" s="17"/>
      <c r="J2595" s="18"/>
    </row>
    <row r="2596" spans="1:10" s="10" customFormat="1" x14ac:dyDescent="0.25">
      <c r="A2596" s="18"/>
      <c r="C2596" s="17"/>
      <c r="D2596" s="19"/>
      <c r="E2596" s="17"/>
      <c r="F2596" s="18"/>
      <c r="G2596" s="17"/>
      <c r="H2596" s="17"/>
      <c r="J2596" s="18"/>
    </row>
    <row r="2597" spans="1:10" s="10" customFormat="1" x14ac:dyDescent="0.25">
      <c r="A2597" s="18"/>
      <c r="C2597" s="17"/>
      <c r="D2597" s="19"/>
      <c r="E2597" s="17"/>
      <c r="F2597" s="18"/>
      <c r="G2597" s="17"/>
      <c r="H2597" s="17"/>
      <c r="J2597" s="18"/>
    </row>
    <row r="2598" spans="1:10" s="10" customFormat="1" x14ac:dyDescent="0.25">
      <c r="A2598" s="18"/>
      <c r="C2598" s="17"/>
      <c r="D2598" s="19"/>
      <c r="E2598" s="17"/>
      <c r="F2598" s="18"/>
      <c r="G2598" s="17"/>
      <c r="H2598" s="17"/>
      <c r="J2598" s="18"/>
    </row>
    <row r="2599" spans="1:10" s="10" customFormat="1" x14ac:dyDescent="0.25">
      <c r="A2599" s="18"/>
      <c r="C2599" s="17"/>
      <c r="D2599" s="19"/>
      <c r="E2599" s="17"/>
      <c r="F2599" s="18"/>
      <c r="G2599" s="17"/>
      <c r="H2599" s="17"/>
      <c r="J2599" s="18"/>
    </row>
    <row r="2600" spans="1:10" s="10" customFormat="1" x14ac:dyDescent="0.25">
      <c r="A2600" s="18"/>
      <c r="C2600" s="17"/>
      <c r="D2600" s="19"/>
      <c r="E2600" s="17"/>
      <c r="F2600" s="18"/>
      <c r="G2600" s="17"/>
      <c r="H2600" s="17"/>
      <c r="J2600" s="18"/>
    </row>
    <row r="2601" spans="1:10" s="10" customFormat="1" x14ac:dyDescent="0.25">
      <c r="A2601" s="18"/>
      <c r="C2601" s="17"/>
      <c r="D2601" s="19"/>
      <c r="E2601" s="17"/>
      <c r="F2601" s="18"/>
      <c r="G2601" s="17"/>
      <c r="H2601" s="17"/>
      <c r="J2601" s="18"/>
    </row>
    <row r="2602" spans="1:10" s="10" customFormat="1" x14ac:dyDescent="0.25">
      <c r="A2602" s="18"/>
      <c r="C2602" s="17"/>
      <c r="D2602" s="19"/>
      <c r="E2602" s="17"/>
      <c r="F2602" s="18"/>
      <c r="G2602" s="17"/>
      <c r="H2602" s="17"/>
      <c r="J2602" s="18"/>
    </row>
    <row r="2603" spans="1:10" s="10" customFormat="1" x14ac:dyDescent="0.25">
      <c r="A2603" s="18"/>
      <c r="C2603" s="17"/>
      <c r="D2603" s="19"/>
      <c r="E2603" s="17"/>
      <c r="F2603" s="18"/>
      <c r="G2603" s="17"/>
      <c r="H2603" s="17"/>
      <c r="J2603" s="18"/>
    </row>
    <row r="2604" spans="1:10" s="10" customFormat="1" x14ac:dyDescent="0.25">
      <c r="A2604" s="18"/>
      <c r="C2604" s="17"/>
      <c r="D2604" s="19"/>
      <c r="E2604" s="17"/>
      <c r="F2604" s="18"/>
      <c r="G2604" s="17"/>
      <c r="H2604" s="17"/>
      <c r="J2604" s="18"/>
    </row>
    <row r="2605" spans="1:10" s="10" customFormat="1" x14ac:dyDescent="0.25">
      <c r="A2605" s="18"/>
      <c r="C2605" s="17"/>
      <c r="D2605" s="19"/>
      <c r="E2605" s="17"/>
      <c r="F2605" s="18"/>
      <c r="G2605" s="17"/>
      <c r="H2605" s="17"/>
      <c r="J2605" s="18"/>
    </row>
    <row r="2606" spans="1:10" s="10" customFormat="1" x14ac:dyDescent="0.25">
      <c r="A2606" s="18"/>
      <c r="C2606" s="17"/>
      <c r="D2606" s="19"/>
      <c r="E2606" s="17"/>
      <c r="F2606" s="18"/>
      <c r="G2606" s="17"/>
      <c r="H2606" s="17"/>
      <c r="J2606" s="18"/>
    </row>
    <row r="2607" spans="1:10" s="10" customFormat="1" x14ac:dyDescent="0.25">
      <c r="A2607" s="18"/>
      <c r="C2607" s="17"/>
      <c r="D2607" s="19"/>
      <c r="E2607" s="17"/>
      <c r="F2607" s="18"/>
      <c r="G2607" s="17"/>
      <c r="H2607" s="17"/>
      <c r="J2607" s="18"/>
    </row>
    <row r="2608" spans="1:10" s="10" customFormat="1" x14ac:dyDescent="0.25">
      <c r="A2608" s="18"/>
      <c r="C2608" s="17"/>
      <c r="D2608" s="19"/>
      <c r="E2608" s="17"/>
      <c r="F2608" s="18"/>
      <c r="G2608" s="17"/>
      <c r="H2608" s="17"/>
      <c r="J2608" s="18"/>
    </row>
    <row r="2609" spans="1:10" s="10" customFormat="1" x14ac:dyDescent="0.25">
      <c r="A2609" s="18"/>
      <c r="C2609" s="17"/>
      <c r="D2609" s="19"/>
      <c r="E2609" s="17"/>
      <c r="F2609" s="18"/>
      <c r="G2609" s="17"/>
      <c r="H2609" s="17"/>
      <c r="J2609" s="18"/>
    </row>
    <row r="2610" spans="1:10" s="10" customFormat="1" x14ac:dyDescent="0.25">
      <c r="A2610" s="18"/>
      <c r="C2610" s="17"/>
      <c r="D2610" s="19"/>
      <c r="E2610" s="17"/>
      <c r="F2610" s="18"/>
      <c r="G2610" s="17"/>
      <c r="H2610" s="17"/>
      <c r="J2610" s="18"/>
    </row>
    <row r="2611" spans="1:10" s="10" customFormat="1" x14ac:dyDescent="0.25">
      <c r="A2611" s="18"/>
      <c r="C2611" s="17"/>
      <c r="D2611" s="19"/>
      <c r="E2611" s="17"/>
      <c r="F2611" s="18"/>
      <c r="G2611" s="17"/>
      <c r="H2611" s="17"/>
      <c r="J2611" s="18"/>
    </row>
    <row r="2612" spans="1:10" s="10" customFormat="1" x14ac:dyDescent="0.25">
      <c r="A2612" s="18"/>
      <c r="C2612" s="17"/>
      <c r="D2612" s="19"/>
      <c r="E2612" s="17"/>
      <c r="F2612" s="18"/>
      <c r="G2612" s="17"/>
      <c r="H2612" s="17"/>
      <c r="J2612" s="18"/>
    </row>
    <row r="2613" spans="1:10" s="10" customFormat="1" x14ac:dyDescent="0.25">
      <c r="A2613" s="18"/>
      <c r="C2613" s="17"/>
      <c r="D2613" s="19"/>
      <c r="E2613" s="17"/>
      <c r="F2613" s="18"/>
      <c r="G2613" s="17"/>
      <c r="H2613" s="17"/>
      <c r="J2613" s="18"/>
    </row>
    <row r="2614" spans="1:10" s="10" customFormat="1" x14ac:dyDescent="0.25">
      <c r="A2614" s="18"/>
      <c r="C2614" s="17"/>
      <c r="D2614" s="19"/>
      <c r="E2614" s="17"/>
      <c r="F2614" s="18"/>
      <c r="G2614" s="17"/>
      <c r="H2614" s="17"/>
      <c r="J2614" s="18"/>
    </row>
    <row r="2615" spans="1:10" s="10" customFormat="1" x14ac:dyDescent="0.25">
      <c r="A2615" s="18"/>
      <c r="C2615" s="17"/>
      <c r="D2615" s="19"/>
      <c r="E2615" s="17"/>
      <c r="F2615" s="18"/>
      <c r="G2615" s="17"/>
      <c r="H2615" s="17"/>
      <c r="J2615" s="18"/>
    </row>
    <row r="2616" spans="1:10" s="10" customFormat="1" x14ac:dyDescent="0.25">
      <c r="A2616" s="18"/>
      <c r="C2616" s="17"/>
      <c r="D2616" s="19"/>
      <c r="E2616" s="17"/>
      <c r="F2616" s="18"/>
      <c r="G2616" s="17"/>
      <c r="H2616" s="17"/>
      <c r="J2616" s="18"/>
    </row>
    <row r="2617" spans="1:10" s="10" customFormat="1" x14ac:dyDescent="0.25">
      <c r="A2617" s="18"/>
      <c r="C2617" s="17"/>
      <c r="D2617" s="19"/>
      <c r="E2617" s="17"/>
      <c r="F2617" s="18"/>
      <c r="G2617" s="17"/>
      <c r="H2617" s="17"/>
      <c r="J2617" s="18"/>
    </row>
    <row r="2618" spans="1:10" s="10" customFormat="1" x14ac:dyDescent="0.25">
      <c r="A2618" s="18"/>
      <c r="C2618" s="17"/>
      <c r="D2618" s="19"/>
      <c r="E2618" s="17"/>
      <c r="F2618" s="18"/>
      <c r="G2618" s="17"/>
      <c r="H2618" s="17"/>
      <c r="J2618" s="18"/>
    </row>
    <row r="2619" spans="1:10" s="10" customFormat="1" x14ac:dyDescent="0.25">
      <c r="A2619" s="18"/>
      <c r="C2619" s="17"/>
      <c r="D2619" s="19"/>
      <c r="E2619" s="17"/>
      <c r="F2619" s="18"/>
      <c r="G2619" s="17"/>
      <c r="H2619" s="17"/>
      <c r="J2619" s="18"/>
    </row>
    <row r="2620" spans="1:10" s="10" customFormat="1" x14ac:dyDescent="0.25">
      <c r="A2620" s="18"/>
      <c r="C2620" s="17"/>
      <c r="D2620" s="19"/>
      <c r="E2620" s="17"/>
      <c r="F2620" s="18"/>
      <c r="G2620" s="17"/>
      <c r="H2620" s="17"/>
      <c r="J2620" s="18"/>
    </row>
    <row r="2621" spans="1:10" s="10" customFormat="1" x14ac:dyDescent="0.25">
      <c r="A2621" s="18"/>
      <c r="C2621" s="17"/>
      <c r="D2621" s="19"/>
      <c r="E2621" s="17"/>
      <c r="F2621" s="18"/>
      <c r="G2621" s="17"/>
      <c r="H2621" s="17"/>
      <c r="J2621" s="18"/>
    </row>
    <row r="2622" spans="1:10" s="10" customFormat="1" x14ac:dyDescent="0.25">
      <c r="A2622" s="18"/>
      <c r="C2622" s="17"/>
      <c r="D2622" s="19"/>
      <c r="E2622" s="17"/>
      <c r="F2622" s="18"/>
      <c r="G2622" s="17"/>
      <c r="H2622" s="17"/>
      <c r="J2622" s="18"/>
    </row>
    <row r="2623" spans="1:10" s="10" customFormat="1" x14ac:dyDescent="0.25">
      <c r="A2623" s="18"/>
      <c r="C2623" s="17"/>
      <c r="D2623" s="19"/>
      <c r="E2623" s="17"/>
      <c r="F2623" s="18"/>
      <c r="G2623" s="17"/>
      <c r="H2623" s="17"/>
      <c r="J2623" s="18"/>
    </row>
    <row r="2624" spans="1:10" s="10" customFormat="1" x14ac:dyDescent="0.25">
      <c r="A2624" s="18"/>
      <c r="C2624" s="17"/>
      <c r="D2624" s="19"/>
      <c r="E2624" s="17"/>
      <c r="F2624" s="18"/>
      <c r="G2624" s="17"/>
      <c r="H2624" s="17"/>
      <c r="J2624" s="18"/>
    </row>
    <row r="2625" spans="1:10" s="10" customFormat="1" x14ac:dyDescent="0.25">
      <c r="A2625" s="18"/>
      <c r="C2625" s="17"/>
      <c r="D2625" s="19"/>
      <c r="E2625" s="17"/>
      <c r="F2625" s="18"/>
      <c r="G2625" s="17"/>
      <c r="H2625" s="17"/>
      <c r="J2625" s="18"/>
    </row>
    <row r="2626" spans="1:10" s="10" customFormat="1" x14ac:dyDescent="0.25">
      <c r="A2626" s="18"/>
      <c r="C2626" s="17"/>
      <c r="D2626" s="19"/>
      <c r="E2626" s="17"/>
      <c r="F2626" s="18"/>
      <c r="G2626" s="17"/>
      <c r="H2626" s="17"/>
      <c r="J2626" s="18"/>
    </row>
    <row r="2627" spans="1:10" s="10" customFormat="1" x14ac:dyDescent="0.25">
      <c r="A2627" s="18"/>
      <c r="C2627" s="17"/>
      <c r="D2627" s="19"/>
      <c r="E2627" s="17"/>
      <c r="F2627" s="18"/>
      <c r="G2627" s="17"/>
      <c r="H2627" s="17"/>
      <c r="J2627" s="18"/>
    </row>
    <row r="2628" spans="1:10" s="10" customFormat="1" x14ac:dyDescent="0.25">
      <c r="A2628" s="18"/>
      <c r="C2628" s="17"/>
      <c r="D2628" s="19"/>
      <c r="E2628" s="17"/>
      <c r="F2628" s="18"/>
      <c r="G2628" s="17"/>
      <c r="H2628" s="17"/>
      <c r="J2628" s="18"/>
    </row>
    <row r="2629" spans="1:10" s="10" customFormat="1" x14ac:dyDescent="0.25">
      <c r="A2629" s="18"/>
      <c r="C2629" s="17"/>
      <c r="D2629" s="19"/>
      <c r="E2629" s="17"/>
      <c r="F2629" s="18"/>
      <c r="G2629" s="17"/>
      <c r="H2629" s="17"/>
      <c r="J2629" s="18"/>
    </row>
    <row r="2630" spans="1:10" s="10" customFormat="1" x14ac:dyDescent="0.25">
      <c r="A2630" s="18"/>
      <c r="C2630" s="17"/>
      <c r="D2630" s="19"/>
      <c r="E2630" s="17"/>
      <c r="F2630" s="18"/>
      <c r="G2630" s="17"/>
      <c r="H2630" s="17"/>
      <c r="J2630" s="18"/>
    </row>
    <row r="2631" spans="1:10" s="10" customFormat="1" x14ac:dyDescent="0.25">
      <c r="A2631" s="18"/>
      <c r="C2631" s="17"/>
      <c r="D2631" s="19"/>
      <c r="E2631" s="17"/>
      <c r="F2631" s="18"/>
      <c r="G2631" s="17"/>
      <c r="H2631" s="17"/>
      <c r="J2631" s="18"/>
    </row>
    <row r="2632" spans="1:10" s="10" customFormat="1" x14ac:dyDescent="0.25">
      <c r="A2632" s="18"/>
      <c r="C2632" s="17"/>
      <c r="D2632" s="19"/>
      <c r="E2632" s="17"/>
      <c r="F2632" s="18"/>
      <c r="G2632" s="17"/>
      <c r="H2632" s="17"/>
      <c r="J2632" s="18"/>
    </row>
    <row r="2633" spans="1:10" s="10" customFormat="1" x14ac:dyDescent="0.25">
      <c r="A2633" s="18"/>
      <c r="C2633" s="17"/>
      <c r="D2633" s="19"/>
      <c r="E2633" s="17"/>
      <c r="F2633" s="18"/>
      <c r="G2633" s="17"/>
      <c r="H2633" s="17"/>
      <c r="J2633" s="18"/>
    </row>
    <row r="2634" spans="1:10" s="10" customFormat="1" x14ac:dyDescent="0.25">
      <c r="A2634" s="18"/>
      <c r="C2634" s="17"/>
      <c r="D2634" s="19"/>
      <c r="E2634" s="17"/>
      <c r="F2634" s="18"/>
      <c r="G2634" s="17"/>
      <c r="H2634" s="17"/>
      <c r="J2634" s="18"/>
    </row>
    <row r="2635" spans="1:10" s="10" customFormat="1" x14ac:dyDescent="0.25">
      <c r="A2635" s="18"/>
      <c r="C2635" s="17"/>
      <c r="D2635" s="19"/>
      <c r="E2635" s="17"/>
      <c r="F2635" s="18"/>
      <c r="G2635" s="17"/>
      <c r="H2635" s="17"/>
      <c r="J2635" s="18"/>
    </row>
    <row r="2636" spans="1:10" s="10" customFormat="1" x14ac:dyDescent="0.25">
      <c r="A2636" s="18"/>
      <c r="C2636" s="17"/>
      <c r="D2636" s="19"/>
      <c r="E2636" s="17"/>
      <c r="F2636" s="18"/>
      <c r="G2636" s="17"/>
      <c r="H2636" s="17"/>
      <c r="J2636" s="18"/>
    </row>
    <row r="2637" spans="1:10" s="10" customFormat="1" x14ac:dyDescent="0.25">
      <c r="A2637" s="18"/>
      <c r="C2637" s="17"/>
      <c r="D2637" s="19"/>
      <c r="E2637" s="17"/>
      <c r="F2637" s="18"/>
      <c r="G2637" s="17"/>
      <c r="H2637" s="17"/>
      <c r="J2637" s="18"/>
    </row>
    <row r="2638" spans="1:10" s="10" customFormat="1" x14ac:dyDescent="0.25">
      <c r="A2638" s="18"/>
      <c r="C2638" s="17"/>
      <c r="D2638" s="19"/>
      <c r="E2638" s="17"/>
      <c r="F2638" s="18"/>
      <c r="G2638" s="17"/>
      <c r="H2638" s="17"/>
      <c r="J2638" s="18"/>
    </row>
    <row r="2639" spans="1:10" s="10" customFormat="1" x14ac:dyDescent="0.25">
      <c r="A2639" s="18"/>
      <c r="C2639" s="17"/>
      <c r="D2639" s="19"/>
      <c r="E2639" s="17"/>
      <c r="F2639" s="18"/>
      <c r="G2639" s="17"/>
      <c r="H2639" s="17"/>
      <c r="J2639" s="18"/>
    </row>
    <row r="2640" spans="1:10" s="10" customFormat="1" x14ac:dyDescent="0.25">
      <c r="A2640" s="18"/>
      <c r="C2640" s="17"/>
      <c r="D2640" s="19"/>
      <c r="E2640" s="17"/>
      <c r="F2640" s="18"/>
      <c r="G2640" s="17"/>
      <c r="H2640" s="17"/>
      <c r="J2640" s="18"/>
    </row>
    <row r="2641" spans="1:10" s="10" customFormat="1" x14ac:dyDescent="0.25">
      <c r="A2641" s="18"/>
      <c r="C2641" s="17"/>
      <c r="D2641" s="19"/>
      <c r="E2641" s="17"/>
      <c r="F2641" s="18"/>
      <c r="G2641" s="17"/>
      <c r="H2641" s="17"/>
      <c r="J2641" s="18"/>
    </row>
    <row r="2642" spans="1:10" s="10" customFormat="1" x14ac:dyDescent="0.25">
      <c r="A2642" s="18"/>
      <c r="C2642" s="17"/>
      <c r="D2642" s="19"/>
      <c r="E2642" s="17"/>
      <c r="F2642" s="18"/>
      <c r="G2642" s="17"/>
      <c r="H2642" s="17"/>
      <c r="J2642" s="18"/>
    </row>
    <row r="2643" spans="1:10" s="10" customFormat="1" x14ac:dyDescent="0.25">
      <c r="A2643" s="18"/>
      <c r="C2643" s="17"/>
      <c r="D2643" s="19"/>
      <c r="E2643" s="17"/>
      <c r="F2643" s="18"/>
      <c r="G2643" s="17"/>
      <c r="H2643" s="17"/>
      <c r="J2643" s="18"/>
    </row>
    <row r="2644" spans="1:10" s="10" customFormat="1" x14ac:dyDescent="0.25">
      <c r="A2644" s="18"/>
      <c r="C2644" s="17"/>
      <c r="D2644" s="19"/>
      <c r="E2644" s="17"/>
      <c r="F2644" s="18"/>
      <c r="G2644" s="17"/>
      <c r="H2644" s="17"/>
      <c r="J2644" s="18"/>
    </row>
    <row r="2645" spans="1:10" s="10" customFormat="1" x14ac:dyDescent="0.25">
      <c r="A2645" s="18"/>
      <c r="C2645" s="17"/>
      <c r="D2645" s="19"/>
      <c r="E2645" s="17"/>
      <c r="F2645" s="18"/>
      <c r="G2645" s="17"/>
      <c r="H2645" s="17"/>
      <c r="J2645" s="18"/>
    </row>
    <row r="2646" spans="1:10" s="10" customFormat="1" x14ac:dyDescent="0.25">
      <c r="A2646" s="18"/>
      <c r="C2646" s="17"/>
      <c r="D2646" s="19"/>
      <c r="E2646" s="17"/>
      <c r="F2646" s="18"/>
      <c r="G2646" s="17"/>
      <c r="H2646" s="17"/>
      <c r="J2646" s="18"/>
    </row>
    <row r="2647" spans="1:10" s="10" customFormat="1" x14ac:dyDescent="0.25">
      <c r="A2647" s="18"/>
      <c r="C2647" s="17"/>
      <c r="D2647" s="19"/>
      <c r="E2647" s="17"/>
      <c r="F2647" s="18"/>
      <c r="G2647" s="17"/>
      <c r="H2647" s="17"/>
      <c r="J2647" s="18"/>
    </row>
    <row r="2648" spans="1:10" s="10" customFormat="1" x14ac:dyDescent="0.25">
      <c r="A2648" s="18"/>
      <c r="C2648" s="17"/>
      <c r="D2648" s="19"/>
      <c r="E2648" s="17"/>
      <c r="F2648" s="18"/>
      <c r="G2648" s="17"/>
      <c r="H2648" s="17"/>
      <c r="J2648" s="18"/>
    </row>
    <row r="2649" spans="1:10" s="10" customFormat="1" x14ac:dyDescent="0.25">
      <c r="A2649" s="18"/>
      <c r="C2649" s="17"/>
      <c r="D2649" s="19"/>
      <c r="E2649" s="17"/>
      <c r="F2649" s="18"/>
      <c r="G2649" s="17"/>
      <c r="H2649" s="17"/>
      <c r="J2649" s="18"/>
    </row>
    <row r="2650" spans="1:10" s="10" customFormat="1" x14ac:dyDescent="0.25">
      <c r="A2650" s="18"/>
      <c r="C2650" s="17"/>
      <c r="D2650" s="19"/>
      <c r="E2650" s="17"/>
      <c r="F2650" s="18"/>
      <c r="G2650" s="17"/>
      <c r="H2650" s="17"/>
      <c r="J2650" s="18"/>
    </row>
    <row r="2651" spans="1:10" s="10" customFormat="1" x14ac:dyDescent="0.25">
      <c r="A2651" s="18"/>
      <c r="C2651" s="17"/>
      <c r="D2651" s="19"/>
      <c r="E2651" s="17"/>
      <c r="F2651" s="18"/>
      <c r="G2651" s="17"/>
      <c r="H2651" s="17"/>
      <c r="J2651" s="18"/>
    </row>
    <row r="2652" spans="1:10" s="10" customFormat="1" x14ac:dyDescent="0.25">
      <c r="A2652" s="18"/>
      <c r="C2652" s="17"/>
      <c r="D2652" s="19"/>
      <c r="E2652" s="17"/>
      <c r="F2652" s="18"/>
      <c r="G2652" s="17"/>
      <c r="H2652" s="17"/>
      <c r="J2652" s="18"/>
    </row>
    <row r="2653" spans="1:10" s="10" customFormat="1" x14ac:dyDescent="0.25">
      <c r="A2653" s="18"/>
      <c r="C2653" s="17"/>
      <c r="D2653" s="19"/>
      <c r="E2653" s="17"/>
      <c r="F2653" s="18"/>
      <c r="G2653" s="17"/>
      <c r="H2653" s="17"/>
      <c r="J2653" s="18"/>
    </row>
    <row r="2654" spans="1:10" s="10" customFormat="1" x14ac:dyDescent="0.25">
      <c r="A2654" s="18"/>
      <c r="C2654" s="17"/>
      <c r="D2654" s="19"/>
      <c r="E2654" s="17"/>
      <c r="F2654" s="18"/>
      <c r="G2654" s="17"/>
      <c r="H2654" s="17"/>
      <c r="J2654" s="18"/>
    </row>
    <row r="2655" spans="1:10" s="10" customFormat="1" x14ac:dyDescent="0.25">
      <c r="A2655" s="18"/>
      <c r="C2655" s="17"/>
      <c r="D2655" s="19"/>
      <c r="E2655" s="17"/>
      <c r="F2655" s="18"/>
      <c r="G2655" s="17"/>
      <c r="H2655" s="17"/>
      <c r="J2655" s="18"/>
    </row>
    <row r="2656" spans="1:10" s="10" customFormat="1" x14ac:dyDescent="0.25">
      <c r="A2656" s="18"/>
      <c r="C2656" s="17"/>
      <c r="D2656" s="19"/>
      <c r="E2656" s="17"/>
      <c r="F2656" s="18"/>
      <c r="G2656" s="17"/>
      <c r="H2656" s="17"/>
      <c r="J2656" s="18"/>
    </row>
    <row r="2657" spans="1:10" s="10" customFormat="1" x14ac:dyDescent="0.25">
      <c r="A2657" s="18"/>
      <c r="C2657" s="17"/>
      <c r="D2657" s="19"/>
      <c r="E2657" s="17"/>
      <c r="F2657" s="18"/>
      <c r="G2657" s="17"/>
      <c r="H2657" s="17"/>
      <c r="J2657" s="18"/>
    </row>
    <row r="2658" spans="1:10" s="10" customFormat="1" x14ac:dyDescent="0.25">
      <c r="A2658" s="18"/>
      <c r="C2658" s="17"/>
      <c r="D2658" s="19"/>
      <c r="E2658" s="17"/>
      <c r="F2658" s="18"/>
      <c r="G2658" s="17"/>
      <c r="H2658" s="17"/>
      <c r="J2658" s="18"/>
    </row>
    <row r="2659" spans="1:10" s="10" customFormat="1" x14ac:dyDescent="0.25">
      <c r="A2659" s="18"/>
      <c r="C2659" s="17"/>
      <c r="D2659" s="19"/>
      <c r="E2659" s="17"/>
      <c r="F2659" s="18"/>
      <c r="G2659" s="17"/>
      <c r="H2659" s="17"/>
      <c r="J2659" s="18"/>
    </row>
    <row r="2660" spans="1:10" s="10" customFormat="1" x14ac:dyDescent="0.25">
      <c r="A2660" s="18"/>
      <c r="C2660" s="17"/>
      <c r="D2660" s="19"/>
      <c r="E2660" s="17"/>
      <c r="F2660" s="18"/>
      <c r="G2660" s="17"/>
      <c r="H2660" s="17"/>
      <c r="J2660" s="18"/>
    </row>
    <row r="2661" spans="1:10" s="10" customFormat="1" x14ac:dyDescent="0.25">
      <c r="A2661" s="18"/>
      <c r="C2661" s="17"/>
      <c r="D2661" s="19"/>
      <c r="E2661" s="17"/>
      <c r="F2661" s="18"/>
      <c r="G2661" s="17"/>
      <c r="H2661" s="17"/>
      <c r="J2661" s="18"/>
    </row>
    <row r="2662" spans="1:10" s="10" customFormat="1" x14ac:dyDescent="0.25">
      <c r="A2662" s="18"/>
      <c r="C2662" s="17"/>
      <c r="D2662" s="19"/>
      <c r="E2662" s="17"/>
      <c r="F2662" s="18"/>
      <c r="G2662" s="17"/>
      <c r="H2662" s="17"/>
      <c r="J2662" s="18"/>
    </row>
    <row r="2663" spans="1:10" s="10" customFormat="1" x14ac:dyDescent="0.25">
      <c r="A2663" s="18"/>
      <c r="C2663" s="17"/>
      <c r="D2663" s="19"/>
      <c r="E2663" s="17"/>
      <c r="F2663" s="18"/>
      <c r="G2663" s="17"/>
      <c r="H2663" s="17"/>
      <c r="J2663" s="18"/>
    </row>
    <row r="2664" spans="1:10" s="10" customFormat="1" x14ac:dyDescent="0.25">
      <c r="A2664" s="18"/>
      <c r="C2664" s="17"/>
      <c r="D2664" s="19"/>
      <c r="E2664" s="17"/>
      <c r="F2664" s="18"/>
      <c r="G2664" s="17"/>
      <c r="H2664" s="17"/>
      <c r="J2664" s="18"/>
    </row>
    <row r="2665" spans="1:10" s="10" customFormat="1" x14ac:dyDescent="0.25">
      <c r="A2665" s="18"/>
      <c r="C2665" s="17"/>
      <c r="D2665" s="19"/>
      <c r="E2665" s="17"/>
      <c r="F2665" s="18"/>
      <c r="G2665" s="17"/>
      <c r="H2665" s="17"/>
      <c r="J2665" s="18"/>
    </row>
    <row r="2666" spans="1:10" s="10" customFormat="1" x14ac:dyDescent="0.25">
      <c r="A2666" s="18"/>
      <c r="C2666" s="17"/>
      <c r="D2666" s="19"/>
      <c r="E2666" s="17"/>
      <c r="F2666" s="18"/>
      <c r="G2666" s="17"/>
      <c r="H2666" s="17"/>
      <c r="J2666" s="18"/>
    </row>
    <row r="2667" spans="1:10" s="10" customFormat="1" x14ac:dyDescent="0.25">
      <c r="A2667" s="18"/>
      <c r="C2667" s="17"/>
      <c r="D2667" s="19"/>
      <c r="E2667" s="17"/>
      <c r="F2667" s="18"/>
      <c r="G2667" s="17"/>
      <c r="H2667" s="17"/>
      <c r="J2667" s="18"/>
    </row>
    <row r="2668" spans="1:10" s="10" customFormat="1" x14ac:dyDescent="0.25">
      <c r="A2668" s="18"/>
      <c r="C2668" s="17"/>
      <c r="D2668" s="19"/>
      <c r="E2668" s="17"/>
      <c r="F2668" s="18"/>
      <c r="G2668" s="17"/>
      <c r="H2668" s="17"/>
      <c r="J2668" s="18"/>
    </row>
    <row r="2669" spans="1:10" s="10" customFormat="1" x14ac:dyDescent="0.25">
      <c r="A2669" s="18"/>
      <c r="C2669" s="17"/>
      <c r="D2669" s="19"/>
      <c r="E2669" s="17"/>
      <c r="F2669" s="18"/>
      <c r="G2669" s="17"/>
      <c r="H2669" s="17"/>
      <c r="J2669" s="18"/>
    </row>
    <row r="2670" spans="1:10" s="10" customFormat="1" x14ac:dyDescent="0.25">
      <c r="A2670" s="18"/>
      <c r="C2670" s="17"/>
      <c r="D2670" s="19"/>
      <c r="E2670" s="17"/>
      <c r="F2670" s="18"/>
      <c r="G2670" s="17"/>
      <c r="H2670" s="17"/>
      <c r="J2670" s="18"/>
    </row>
    <row r="2671" spans="1:10" s="10" customFormat="1" x14ac:dyDescent="0.25">
      <c r="A2671" s="18"/>
      <c r="C2671" s="17"/>
      <c r="D2671" s="19"/>
      <c r="E2671" s="17"/>
      <c r="F2671" s="18"/>
      <c r="G2671" s="17"/>
      <c r="H2671" s="17"/>
      <c r="J2671" s="18"/>
    </row>
    <row r="2672" spans="1:10" s="10" customFormat="1" x14ac:dyDescent="0.25">
      <c r="A2672" s="18"/>
      <c r="C2672" s="17"/>
      <c r="D2672" s="19"/>
      <c r="E2672" s="17"/>
      <c r="F2672" s="18"/>
      <c r="G2672" s="17"/>
      <c r="H2672" s="17"/>
      <c r="J2672" s="18"/>
    </row>
    <row r="2673" spans="1:10" s="10" customFormat="1" x14ac:dyDescent="0.25">
      <c r="A2673" s="18"/>
      <c r="C2673" s="17"/>
      <c r="D2673" s="19"/>
      <c r="E2673" s="17"/>
      <c r="F2673" s="18"/>
      <c r="G2673" s="17"/>
      <c r="H2673" s="17"/>
      <c r="J2673" s="18"/>
    </row>
    <row r="2674" spans="1:10" s="10" customFormat="1" x14ac:dyDescent="0.25">
      <c r="A2674" s="18"/>
      <c r="C2674" s="17"/>
      <c r="D2674" s="19"/>
      <c r="E2674" s="17"/>
      <c r="F2674" s="18"/>
      <c r="G2674" s="17"/>
      <c r="H2674" s="17"/>
      <c r="J2674" s="18"/>
    </row>
    <row r="2675" spans="1:10" s="10" customFormat="1" x14ac:dyDescent="0.25">
      <c r="A2675" s="18"/>
      <c r="C2675" s="17"/>
      <c r="D2675" s="19"/>
      <c r="E2675" s="17"/>
      <c r="F2675" s="18"/>
      <c r="G2675" s="17"/>
      <c r="H2675" s="17"/>
      <c r="J2675" s="18"/>
    </row>
    <row r="2676" spans="1:10" s="10" customFormat="1" x14ac:dyDescent="0.25">
      <c r="A2676" s="18"/>
      <c r="C2676" s="17"/>
      <c r="D2676" s="19"/>
      <c r="E2676" s="17"/>
      <c r="F2676" s="18"/>
      <c r="G2676" s="17"/>
      <c r="H2676" s="17"/>
      <c r="J2676" s="18"/>
    </row>
    <row r="2677" spans="1:10" s="10" customFormat="1" x14ac:dyDescent="0.25">
      <c r="A2677" s="18"/>
      <c r="C2677" s="17"/>
      <c r="D2677" s="19"/>
      <c r="E2677" s="17"/>
      <c r="F2677" s="18"/>
      <c r="G2677" s="17"/>
      <c r="H2677" s="17"/>
      <c r="J2677" s="18"/>
    </row>
    <row r="2678" spans="1:10" s="10" customFormat="1" x14ac:dyDescent="0.25">
      <c r="A2678" s="18"/>
      <c r="C2678" s="17"/>
      <c r="D2678" s="19"/>
      <c r="E2678" s="17"/>
      <c r="F2678" s="18"/>
      <c r="G2678" s="17"/>
      <c r="H2678" s="17"/>
      <c r="J2678" s="18"/>
    </row>
    <row r="2679" spans="1:10" s="10" customFormat="1" x14ac:dyDescent="0.25">
      <c r="A2679" s="18"/>
      <c r="C2679" s="17"/>
      <c r="D2679" s="19"/>
      <c r="E2679" s="17"/>
      <c r="F2679" s="18"/>
      <c r="G2679" s="17"/>
      <c r="H2679" s="17"/>
      <c r="J2679" s="18"/>
    </row>
    <row r="2680" spans="1:10" s="10" customFormat="1" x14ac:dyDescent="0.25">
      <c r="A2680" s="18"/>
      <c r="C2680" s="17"/>
      <c r="D2680" s="19"/>
      <c r="E2680" s="17"/>
      <c r="F2680" s="18"/>
      <c r="G2680" s="17"/>
      <c r="H2680" s="17"/>
      <c r="J2680" s="18"/>
    </row>
    <row r="2681" spans="1:10" s="10" customFormat="1" x14ac:dyDescent="0.25">
      <c r="A2681" s="18"/>
      <c r="C2681" s="17"/>
      <c r="D2681" s="19"/>
      <c r="E2681" s="17"/>
      <c r="F2681" s="18"/>
      <c r="G2681" s="17"/>
      <c r="H2681" s="17"/>
      <c r="J2681" s="18"/>
    </row>
    <row r="2682" spans="1:10" s="10" customFormat="1" x14ac:dyDescent="0.25">
      <c r="A2682" s="18"/>
      <c r="C2682" s="17"/>
      <c r="D2682" s="19"/>
      <c r="E2682" s="17"/>
      <c r="F2682" s="18"/>
      <c r="G2682" s="17"/>
      <c r="H2682" s="17"/>
      <c r="J2682" s="18"/>
    </row>
    <row r="2683" spans="1:10" s="10" customFormat="1" x14ac:dyDescent="0.25">
      <c r="A2683" s="18"/>
      <c r="C2683" s="17"/>
      <c r="D2683" s="19"/>
      <c r="E2683" s="17"/>
      <c r="F2683" s="18"/>
      <c r="G2683" s="17"/>
      <c r="H2683" s="17"/>
      <c r="J2683" s="18"/>
    </row>
    <row r="2684" spans="1:10" s="10" customFormat="1" x14ac:dyDescent="0.25">
      <c r="A2684" s="18"/>
      <c r="C2684" s="17"/>
      <c r="D2684" s="19"/>
      <c r="E2684" s="17"/>
      <c r="F2684" s="18"/>
      <c r="G2684" s="17"/>
      <c r="H2684" s="17"/>
      <c r="J2684" s="18"/>
    </row>
    <row r="2685" spans="1:10" s="10" customFormat="1" x14ac:dyDescent="0.25">
      <c r="A2685" s="18"/>
      <c r="C2685" s="17"/>
      <c r="D2685" s="19"/>
      <c r="E2685" s="17"/>
      <c r="F2685" s="18"/>
      <c r="G2685" s="17"/>
      <c r="H2685" s="17"/>
      <c r="J2685" s="18"/>
    </row>
    <row r="2686" spans="1:10" s="10" customFormat="1" x14ac:dyDescent="0.25">
      <c r="A2686" s="18"/>
      <c r="C2686" s="17"/>
      <c r="D2686" s="19"/>
      <c r="E2686" s="17"/>
      <c r="F2686" s="18"/>
      <c r="G2686" s="17"/>
      <c r="H2686" s="17"/>
      <c r="J2686" s="18"/>
    </row>
    <row r="2687" spans="1:10" s="10" customFormat="1" x14ac:dyDescent="0.25">
      <c r="A2687" s="18"/>
      <c r="C2687" s="17"/>
      <c r="D2687" s="19"/>
      <c r="E2687" s="17"/>
      <c r="F2687" s="18"/>
      <c r="G2687" s="17"/>
      <c r="H2687" s="17"/>
      <c r="J2687" s="18"/>
    </row>
    <row r="2688" spans="1:10" s="10" customFormat="1" x14ac:dyDescent="0.25">
      <c r="A2688" s="18"/>
      <c r="C2688" s="17"/>
      <c r="D2688" s="19"/>
      <c r="E2688" s="17"/>
      <c r="F2688" s="18"/>
      <c r="G2688" s="17"/>
      <c r="H2688" s="17"/>
      <c r="J2688" s="18"/>
    </row>
    <row r="2689" spans="1:10" s="10" customFormat="1" x14ac:dyDescent="0.25">
      <c r="A2689" s="18"/>
      <c r="C2689" s="17"/>
      <c r="D2689" s="19"/>
      <c r="E2689" s="17"/>
      <c r="F2689" s="18"/>
      <c r="G2689" s="17"/>
      <c r="H2689" s="17"/>
      <c r="J2689" s="18"/>
    </row>
    <row r="2690" spans="1:10" s="10" customFormat="1" x14ac:dyDescent="0.25">
      <c r="A2690" s="18"/>
      <c r="C2690" s="17"/>
      <c r="D2690" s="19"/>
      <c r="E2690" s="17"/>
      <c r="F2690" s="18"/>
      <c r="G2690" s="17"/>
      <c r="H2690" s="17"/>
      <c r="J2690" s="18"/>
    </row>
    <row r="2691" spans="1:10" s="10" customFormat="1" x14ac:dyDescent="0.25">
      <c r="A2691" s="18"/>
      <c r="C2691" s="17"/>
      <c r="D2691" s="19"/>
      <c r="E2691" s="17"/>
      <c r="F2691" s="18"/>
      <c r="G2691" s="17"/>
      <c r="H2691" s="17"/>
      <c r="J2691" s="18"/>
    </row>
    <row r="2692" spans="1:10" s="10" customFormat="1" x14ac:dyDescent="0.25">
      <c r="A2692" s="18"/>
      <c r="C2692" s="17"/>
      <c r="D2692" s="19"/>
      <c r="E2692" s="17"/>
      <c r="F2692" s="18"/>
      <c r="G2692" s="17"/>
      <c r="H2692" s="17"/>
      <c r="J2692" s="18"/>
    </row>
    <row r="2693" spans="1:10" s="10" customFormat="1" x14ac:dyDescent="0.25">
      <c r="A2693" s="18"/>
      <c r="C2693" s="17"/>
      <c r="D2693" s="19"/>
      <c r="E2693" s="17"/>
      <c r="F2693" s="18"/>
      <c r="G2693" s="17"/>
      <c r="H2693" s="17"/>
      <c r="J2693" s="18"/>
    </row>
    <row r="2694" spans="1:10" s="10" customFormat="1" x14ac:dyDescent="0.25">
      <c r="A2694" s="18"/>
      <c r="C2694" s="17"/>
      <c r="D2694" s="19"/>
      <c r="E2694" s="17"/>
      <c r="F2694" s="18"/>
      <c r="G2694" s="17"/>
      <c r="H2694" s="17"/>
      <c r="J2694" s="18"/>
    </row>
    <row r="2695" spans="1:10" s="10" customFormat="1" x14ac:dyDescent="0.25">
      <c r="A2695" s="18"/>
      <c r="C2695" s="17"/>
      <c r="D2695" s="19"/>
      <c r="E2695" s="17"/>
      <c r="F2695" s="18"/>
      <c r="G2695" s="17"/>
      <c r="H2695" s="17"/>
      <c r="J2695" s="18"/>
    </row>
    <row r="2696" spans="1:10" s="10" customFormat="1" x14ac:dyDescent="0.25">
      <c r="A2696" s="18"/>
      <c r="C2696" s="17"/>
      <c r="D2696" s="19"/>
      <c r="E2696" s="17"/>
      <c r="F2696" s="18"/>
      <c r="G2696" s="17"/>
      <c r="H2696" s="17"/>
      <c r="J2696" s="18"/>
    </row>
    <row r="2697" spans="1:10" s="10" customFormat="1" x14ac:dyDescent="0.25">
      <c r="A2697" s="18"/>
      <c r="C2697" s="17"/>
      <c r="D2697" s="19"/>
      <c r="E2697" s="17"/>
      <c r="F2697" s="18"/>
      <c r="G2697" s="17"/>
      <c r="H2697" s="17"/>
      <c r="J2697" s="18"/>
    </row>
    <row r="2698" spans="1:10" s="10" customFormat="1" x14ac:dyDescent="0.25">
      <c r="A2698" s="18"/>
      <c r="C2698" s="17"/>
      <c r="D2698" s="19"/>
      <c r="E2698" s="17"/>
      <c r="F2698" s="18"/>
      <c r="G2698" s="17"/>
      <c r="H2698" s="17"/>
      <c r="J2698" s="18"/>
    </row>
    <row r="2699" spans="1:10" s="10" customFormat="1" x14ac:dyDescent="0.25">
      <c r="A2699" s="18"/>
      <c r="C2699" s="17"/>
      <c r="D2699" s="19"/>
      <c r="E2699" s="17"/>
      <c r="F2699" s="18"/>
      <c r="G2699" s="17"/>
      <c r="H2699" s="17"/>
      <c r="J2699" s="18"/>
    </row>
    <row r="2700" spans="1:10" s="10" customFormat="1" x14ac:dyDescent="0.25">
      <c r="A2700" s="18"/>
      <c r="C2700" s="17"/>
      <c r="D2700" s="19"/>
      <c r="E2700" s="17"/>
      <c r="F2700" s="18"/>
      <c r="G2700" s="17"/>
      <c r="H2700" s="17"/>
      <c r="J2700" s="18"/>
    </row>
    <row r="2701" spans="1:10" s="10" customFormat="1" x14ac:dyDescent="0.25">
      <c r="A2701" s="18"/>
      <c r="C2701" s="17"/>
      <c r="D2701" s="19"/>
      <c r="E2701" s="17"/>
      <c r="F2701" s="18"/>
      <c r="G2701" s="17"/>
      <c r="H2701" s="17"/>
      <c r="J2701" s="18"/>
    </row>
    <row r="2702" spans="1:10" s="10" customFormat="1" x14ac:dyDescent="0.25">
      <c r="A2702" s="18"/>
      <c r="C2702" s="17"/>
      <c r="D2702" s="19"/>
      <c r="E2702" s="17"/>
      <c r="F2702" s="18"/>
      <c r="G2702" s="17"/>
      <c r="H2702" s="17"/>
      <c r="J2702" s="18"/>
    </row>
    <row r="2703" spans="1:10" s="10" customFormat="1" x14ac:dyDescent="0.25">
      <c r="A2703" s="18"/>
      <c r="C2703" s="17"/>
      <c r="D2703" s="19"/>
      <c r="E2703" s="17"/>
      <c r="F2703" s="18"/>
      <c r="G2703" s="17"/>
      <c r="H2703" s="17"/>
      <c r="J2703" s="18"/>
    </row>
    <row r="2704" spans="1:10" s="10" customFormat="1" x14ac:dyDescent="0.25">
      <c r="A2704" s="18"/>
      <c r="C2704" s="17"/>
      <c r="D2704" s="19"/>
      <c r="E2704" s="17"/>
      <c r="F2704" s="18"/>
      <c r="G2704" s="17"/>
      <c r="H2704" s="17"/>
      <c r="J2704" s="18"/>
    </row>
    <row r="2705" spans="1:10" s="10" customFormat="1" x14ac:dyDescent="0.25">
      <c r="A2705" s="18"/>
      <c r="C2705" s="17"/>
      <c r="D2705" s="19"/>
      <c r="E2705" s="17"/>
      <c r="F2705" s="18"/>
      <c r="G2705" s="17"/>
      <c r="H2705" s="17"/>
      <c r="J2705" s="18"/>
    </row>
    <row r="2706" spans="1:10" s="10" customFormat="1" x14ac:dyDescent="0.25">
      <c r="A2706" s="18"/>
      <c r="C2706" s="17"/>
      <c r="D2706" s="19"/>
      <c r="E2706" s="17"/>
      <c r="F2706" s="18"/>
      <c r="G2706" s="17"/>
      <c r="H2706" s="17"/>
      <c r="J2706" s="18"/>
    </row>
    <row r="2707" spans="1:10" s="10" customFormat="1" x14ac:dyDescent="0.25">
      <c r="A2707" s="18"/>
      <c r="C2707" s="17"/>
      <c r="D2707" s="19"/>
      <c r="E2707" s="17"/>
      <c r="F2707" s="18"/>
      <c r="G2707" s="17"/>
      <c r="H2707" s="17"/>
      <c r="J2707" s="18"/>
    </row>
    <row r="2708" spans="1:10" s="10" customFormat="1" x14ac:dyDescent="0.25">
      <c r="A2708" s="18"/>
      <c r="C2708" s="17"/>
      <c r="D2708" s="19"/>
      <c r="E2708" s="17"/>
      <c r="F2708" s="18"/>
      <c r="G2708" s="17"/>
      <c r="H2708" s="17"/>
      <c r="J2708" s="18"/>
    </row>
    <row r="2709" spans="1:10" s="10" customFormat="1" x14ac:dyDescent="0.25">
      <c r="A2709" s="18"/>
      <c r="C2709" s="17"/>
      <c r="D2709" s="19"/>
      <c r="E2709" s="17"/>
      <c r="F2709" s="18"/>
      <c r="G2709" s="17"/>
      <c r="H2709" s="17"/>
      <c r="J2709" s="18"/>
    </row>
    <row r="2710" spans="1:10" s="10" customFormat="1" x14ac:dyDescent="0.25">
      <c r="A2710" s="18"/>
      <c r="C2710" s="17"/>
      <c r="D2710" s="19"/>
      <c r="E2710" s="17"/>
      <c r="F2710" s="18"/>
      <c r="G2710" s="17"/>
      <c r="H2710" s="17"/>
      <c r="J2710" s="18"/>
    </row>
    <row r="2711" spans="1:10" s="10" customFormat="1" x14ac:dyDescent="0.25">
      <c r="A2711" s="18"/>
      <c r="C2711" s="17"/>
      <c r="D2711" s="19"/>
      <c r="E2711" s="17"/>
      <c r="F2711" s="18"/>
      <c r="G2711" s="17"/>
      <c r="H2711" s="17"/>
      <c r="J2711" s="18"/>
    </row>
    <row r="2712" spans="1:10" s="10" customFormat="1" x14ac:dyDescent="0.25">
      <c r="A2712" s="18"/>
      <c r="C2712" s="17"/>
      <c r="D2712" s="19"/>
      <c r="E2712" s="17"/>
      <c r="F2712" s="18"/>
      <c r="G2712" s="17"/>
      <c r="H2712" s="17"/>
      <c r="J2712" s="18"/>
    </row>
    <row r="2713" spans="1:10" s="10" customFormat="1" x14ac:dyDescent="0.25">
      <c r="A2713" s="18"/>
      <c r="C2713" s="17"/>
      <c r="D2713" s="19"/>
      <c r="E2713" s="17"/>
      <c r="F2713" s="18"/>
      <c r="G2713" s="17"/>
      <c r="H2713" s="17"/>
      <c r="J2713" s="18"/>
    </row>
    <row r="2714" spans="1:10" s="10" customFormat="1" x14ac:dyDescent="0.25">
      <c r="A2714" s="18"/>
      <c r="C2714" s="17"/>
      <c r="D2714" s="19"/>
      <c r="E2714" s="17"/>
      <c r="F2714" s="18"/>
      <c r="G2714" s="17"/>
      <c r="H2714" s="17"/>
      <c r="J2714" s="18"/>
    </row>
    <row r="2715" spans="1:10" s="10" customFormat="1" x14ac:dyDescent="0.25">
      <c r="A2715" s="18"/>
      <c r="C2715" s="17"/>
      <c r="D2715" s="19"/>
      <c r="E2715" s="17"/>
      <c r="F2715" s="18"/>
      <c r="G2715" s="17"/>
      <c r="H2715" s="17"/>
      <c r="J2715" s="18"/>
    </row>
    <row r="2716" spans="1:10" s="10" customFormat="1" x14ac:dyDescent="0.25">
      <c r="A2716" s="18"/>
      <c r="C2716" s="17"/>
      <c r="D2716" s="19"/>
      <c r="E2716" s="17"/>
      <c r="F2716" s="18"/>
      <c r="G2716" s="17"/>
      <c r="H2716" s="17"/>
      <c r="J2716" s="18"/>
    </row>
    <row r="2717" spans="1:10" s="10" customFormat="1" x14ac:dyDescent="0.25">
      <c r="A2717" s="18"/>
      <c r="C2717" s="17"/>
      <c r="D2717" s="19"/>
      <c r="E2717" s="17"/>
      <c r="F2717" s="18"/>
      <c r="G2717" s="17"/>
      <c r="H2717" s="17"/>
      <c r="J2717" s="18"/>
    </row>
    <row r="2718" spans="1:10" s="10" customFormat="1" x14ac:dyDescent="0.25">
      <c r="A2718" s="18"/>
      <c r="C2718" s="17"/>
      <c r="D2718" s="19"/>
      <c r="E2718" s="17"/>
      <c r="F2718" s="18"/>
      <c r="G2718" s="17"/>
      <c r="H2718" s="17"/>
      <c r="J2718" s="18"/>
    </row>
    <row r="2719" spans="1:10" s="10" customFormat="1" x14ac:dyDescent="0.25">
      <c r="A2719" s="18"/>
      <c r="C2719" s="17"/>
      <c r="D2719" s="19"/>
      <c r="E2719" s="17"/>
      <c r="F2719" s="18"/>
      <c r="G2719" s="17"/>
      <c r="H2719" s="17"/>
      <c r="J2719" s="18"/>
    </row>
    <row r="2720" spans="1:10" s="10" customFormat="1" x14ac:dyDescent="0.25">
      <c r="A2720" s="18"/>
      <c r="C2720" s="17"/>
      <c r="D2720" s="19"/>
      <c r="E2720" s="17"/>
      <c r="F2720" s="18"/>
      <c r="G2720" s="17"/>
      <c r="H2720" s="17"/>
      <c r="J2720" s="18"/>
    </row>
    <row r="2721" spans="1:10" s="10" customFormat="1" x14ac:dyDescent="0.25">
      <c r="A2721" s="18"/>
      <c r="C2721" s="17"/>
      <c r="D2721" s="19"/>
      <c r="E2721" s="17"/>
      <c r="F2721" s="18"/>
      <c r="G2721" s="17"/>
      <c r="H2721" s="17"/>
      <c r="J2721" s="18"/>
    </row>
    <row r="2722" spans="1:10" s="10" customFormat="1" x14ac:dyDescent="0.25">
      <c r="A2722" s="18"/>
      <c r="C2722" s="17"/>
      <c r="D2722" s="19"/>
      <c r="E2722" s="17"/>
      <c r="F2722" s="18"/>
      <c r="G2722" s="17"/>
      <c r="H2722" s="17"/>
      <c r="J2722" s="18"/>
    </row>
    <row r="2723" spans="1:10" s="10" customFormat="1" x14ac:dyDescent="0.25">
      <c r="A2723" s="18"/>
      <c r="C2723" s="17"/>
      <c r="D2723" s="19"/>
      <c r="E2723" s="17"/>
      <c r="F2723" s="18"/>
      <c r="G2723" s="17"/>
      <c r="H2723" s="17"/>
      <c r="J2723" s="18"/>
    </row>
    <row r="2724" spans="1:10" s="10" customFormat="1" x14ac:dyDescent="0.25">
      <c r="A2724" s="18"/>
      <c r="C2724" s="17"/>
      <c r="D2724" s="19"/>
      <c r="E2724" s="17"/>
      <c r="F2724" s="18"/>
      <c r="G2724" s="17"/>
      <c r="H2724" s="17"/>
      <c r="J2724" s="18"/>
    </row>
    <row r="2725" spans="1:10" s="10" customFormat="1" x14ac:dyDescent="0.25">
      <c r="A2725" s="18"/>
      <c r="C2725" s="17"/>
      <c r="D2725" s="19"/>
      <c r="E2725" s="17"/>
      <c r="F2725" s="18"/>
      <c r="G2725" s="17"/>
      <c r="H2725" s="17"/>
      <c r="J2725" s="18"/>
    </row>
    <row r="2726" spans="1:10" s="10" customFormat="1" x14ac:dyDescent="0.25">
      <c r="A2726" s="18"/>
      <c r="C2726" s="17"/>
      <c r="D2726" s="19"/>
      <c r="E2726" s="17"/>
      <c r="F2726" s="18"/>
      <c r="G2726" s="17"/>
      <c r="H2726" s="17"/>
      <c r="J2726" s="18"/>
    </row>
    <row r="2727" spans="1:10" s="10" customFormat="1" x14ac:dyDescent="0.25">
      <c r="A2727" s="18"/>
      <c r="C2727" s="17"/>
      <c r="D2727" s="19"/>
      <c r="E2727" s="17"/>
      <c r="F2727" s="18"/>
      <c r="G2727" s="17"/>
      <c r="H2727" s="17"/>
      <c r="J2727" s="18"/>
    </row>
    <row r="2728" spans="1:10" s="10" customFormat="1" x14ac:dyDescent="0.25">
      <c r="A2728" s="18"/>
      <c r="C2728" s="17"/>
      <c r="D2728" s="19"/>
      <c r="E2728" s="17"/>
      <c r="F2728" s="18"/>
      <c r="G2728" s="17"/>
      <c r="H2728" s="17"/>
      <c r="J2728" s="18"/>
    </row>
    <row r="2729" spans="1:10" s="10" customFormat="1" x14ac:dyDescent="0.25">
      <c r="A2729" s="18"/>
      <c r="C2729" s="17"/>
      <c r="D2729" s="19"/>
      <c r="E2729" s="17"/>
      <c r="F2729" s="18"/>
      <c r="G2729" s="17"/>
      <c r="H2729" s="17"/>
      <c r="J2729" s="18"/>
    </row>
    <row r="2730" spans="1:10" s="10" customFormat="1" x14ac:dyDescent="0.25">
      <c r="A2730" s="18"/>
      <c r="C2730" s="17"/>
      <c r="D2730" s="19"/>
      <c r="E2730" s="17"/>
      <c r="F2730" s="18"/>
      <c r="G2730" s="17"/>
      <c r="H2730" s="17"/>
      <c r="J2730" s="18"/>
    </row>
    <row r="2731" spans="1:10" s="10" customFormat="1" x14ac:dyDescent="0.25">
      <c r="A2731" s="18"/>
      <c r="C2731" s="17"/>
      <c r="D2731" s="19"/>
      <c r="E2731" s="17"/>
      <c r="F2731" s="18"/>
      <c r="G2731" s="17"/>
      <c r="H2731" s="17"/>
      <c r="J2731" s="18"/>
    </row>
    <row r="2732" spans="1:10" s="10" customFormat="1" x14ac:dyDescent="0.25">
      <c r="A2732" s="18"/>
      <c r="C2732" s="17"/>
      <c r="D2732" s="19"/>
      <c r="E2732" s="17"/>
      <c r="F2732" s="18"/>
      <c r="G2732" s="17"/>
      <c r="H2732" s="17"/>
      <c r="J2732" s="18"/>
    </row>
    <row r="2733" spans="1:10" s="10" customFormat="1" x14ac:dyDescent="0.25">
      <c r="A2733" s="18"/>
      <c r="C2733" s="17"/>
      <c r="D2733" s="19"/>
      <c r="E2733" s="17"/>
      <c r="F2733" s="18"/>
      <c r="G2733" s="17"/>
      <c r="H2733" s="17"/>
      <c r="J2733" s="18"/>
    </row>
    <row r="2734" spans="1:10" s="10" customFormat="1" x14ac:dyDescent="0.25">
      <c r="A2734" s="18"/>
      <c r="C2734" s="17"/>
      <c r="D2734" s="19"/>
      <c r="E2734" s="17"/>
      <c r="F2734" s="18"/>
      <c r="G2734" s="17"/>
      <c r="H2734" s="17"/>
      <c r="J2734" s="18"/>
    </row>
    <row r="2735" spans="1:10" s="10" customFormat="1" x14ac:dyDescent="0.25">
      <c r="A2735" s="18"/>
      <c r="C2735" s="17"/>
      <c r="D2735" s="19"/>
      <c r="E2735" s="17"/>
      <c r="F2735" s="18"/>
      <c r="G2735" s="17"/>
      <c r="H2735" s="17"/>
      <c r="J2735" s="18"/>
    </row>
    <row r="2736" spans="1:10" s="10" customFormat="1" x14ac:dyDescent="0.25">
      <c r="A2736" s="18"/>
      <c r="C2736" s="17"/>
      <c r="D2736" s="19"/>
      <c r="E2736" s="17"/>
      <c r="F2736" s="18"/>
      <c r="G2736" s="17"/>
      <c r="H2736" s="17"/>
      <c r="J2736" s="18"/>
    </row>
    <row r="2737" spans="1:10" s="10" customFormat="1" x14ac:dyDescent="0.25">
      <c r="A2737" s="18"/>
      <c r="C2737" s="17"/>
      <c r="D2737" s="19"/>
      <c r="E2737" s="17"/>
      <c r="F2737" s="18"/>
      <c r="G2737" s="17"/>
      <c r="H2737" s="17"/>
      <c r="J2737" s="18"/>
    </row>
    <row r="2738" spans="1:10" s="10" customFormat="1" x14ac:dyDescent="0.25">
      <c r="A2738" s="18"/>
      <c r="C2738" s="17"/>
      <c r="D2738" s="19"/>
      <c r="E2738" s="17"/>
      <c r="F2738" s="18"/>
      <c r="G2738" s="17"/>
      <c r="H2738" s="17"/>
      <c r="J2738" s="18"/>
    </row>
    <row r="2739" spans="1:10" s="10" customFormat="1" x14ac:dyDescent="0.25">
      <c r="A2739" s="18"/>
      <c r="C2739" s="17"/>
      <c r="D2739" s="19"/>
      <c r="E2739" s="17"/>
      <c r="F2739" s="18"/>
      <c r="G2739" s="17"/>
      <c r="H2739" s="17"/>
      <c r="J2739" s="18"/>
    </row>
    <row r="2740" spans="1:10" s="10" customFormat="1" x14ac:dyDescent="0.25">
      <c r="A2740" s="18"/>
      <c r="C2740" s="17"/>
      <c r="D2740" s="19"/>
      <c r="E2740" s="17"/>
      <c r="F2740" s="18"/>
      <c r="G2740" s="17"/>
      <c r="H2740" s="17"/>
      <c r="J2740" s="18"/>
    </row>
    <row r="2741" spans="1:10" s="10" customFormat="1" x14ac:dyDescent="0.25">
      <c r="A2741" s="18"/>
      <c r="C2741" s="17"/>
      <c r="D2741" s="19"/>
      <c r="E2741" s="17"/>
      <c r="F2741" s="18"/>
      <c r="G2741" s="17"/>
      <c r="H2741" s="17"/>
      <c r="J2741" s="18"/>
    </row>
    <row r="2742" spans="1:10" s="10" customFormat="1" x14ac:dyDescent="0.25">
      <c r="A2742" s="18"/>
      <c r="C2742" s="17"/>
      <c r="D2742" s="19"/>
      <c r="E2742" s="17"/>
      <c r="F2742" s="18"/>
      <c r="G2742" s="17"/>
      <c r="H2742" s="17"/>
      <c r="J2742" s="18"/>
    </row>
    <row r="2743" spans="1:10" s="10" customFormat="1" x14ac:dyDescent="0.25">
      <c r="A2743" s="18"/>
      <c r="C2743" s="17"/>
      <c r="D2743" s="19"/>
      <c r="E2743" s="17"/>
      <c r="F2743" s="18"/>
      <c r="G2743" s="17"/>
      <c r="H2743" s="17"/>
      <c r="J2743" s="18"/>
    </row>
    <row r="2744" spans="1:10" s="10" customFormat="1" x14ac:dyDescent="0.25">
      <c r="A2744" s="18"/>
      <c r="C2744" s="17"/>
      <c r="D2744" s="19"/>
      <c r="E2744" s="17"/>
      <c r="F2744" s="18"/>
      <c r="G2744" s="17"/>
      <c r="H2744" s="17"/>
      <c r="J2744" s="18"/>
    </row>
    <row r="2745" spans="1:10" s="10" customFormat="1" x14ac:dyDescent="0.25">
      <c r="A2745" s="18"/>
      <c r="C2745" s="17"/>
      <c r="D2745" s="19"/>
      <c r="E2745" s="17"/>
      <c r="F2745" s="18"/>
      <c r="G2745" s="17"/>
      <c r="H2745" s="17"/>
      <c r="J2745" s="18"/>
    </row>
    <row r="2746" spans="1:10" s="10" customFormat="1" x14ac:dyDescent="0.25">
      <c r="A2746" s="18"/>
      <c r="C2746" s="17"/>
      <c r="D2746" s="19"/>
      <c r="E2746" s="17"/>
      <c r="F2746" s="18"/>
      <c r="G2746" s="17"/>
      <c r="H2746" s="17"/>
      <c r="J2746" s="18"/>
    </row>
    <row r="2747" spans="1:10" s="10" customFormat="1" x14ac:dyDescent="0.25">
      <c r="A2747" s="18"/>
      <c r="C2747" s="17"/>
      <c r="D2747" s="19"/>
      <c r="E2747" s="17"/>
      <c r="F2747" s="18"/>
      <c r="G2747" s="17"/>
      <c r="H2747" s="17"/>
      <c r="J2747" s="18"/>
    </row>
    <row r="2748" spans="1:10" s="10" customFormat="1" x14ac:dyDescent="0.25">
      <c r="A2748" s="18"/>
      <c r="C2748" s="17"/>
      <c r="D2748" s="19"/>
      <c r="E2748" s="17"/>
      <c r="F2748" s="18"/>
      <c r="G2748" s="17"/>
      <c r="H2748" s="17"/>
      <c r="J2748" s="18"/>
    </row>
    <row r="2749" spans="1:10" s="10" customFormat="1" x14ac:dyDescent="0.25">
      <c r="A2749" s="18"/>
      <c r="C2749" s="17"/>
      <c r="D2749" s="19"/>
      <c r="E2749" s="17"/>
      <c r="F2749" s="18"/>
      <c r="G2749" s="17"/>
      <c r="H2749" s="17"/>
      <c r="J2749" s="18"/>
    </row>
    <row r="2750" spans="1:10" s="10" customFormat="1" x14ac:dyDescent="0.25">
      <c r="A2750" s="18"/>
      <c r="C2750" s="17"/>
      <c r="D2750" s="19"/>
      <c r="E2750" s="17"/>
      <c r="F2750" s="18"/>
      <c r="G2750" s="17"/>
      <c r="H2750" s="17"/>
      <c r="J2750" s="18"/>
    </row>
    <row r="2751" spans="1:10" s="10" customFormat="1" x14ac:dyDescent="0.25">
      <c r="A2751" s="18"/>
      <c r="C2751" s="17"/>
      <c r="D2751" s="19"/>
      <c r="E2751" s="17"/>
      <c r="F2751" s="18"/>
      <c r="G2751" s="17"/>
      <c r="H2751" s="17"/>
      <c r="J2751" s="18"/>
    </row>
    <row r="2752" spans="1:10" s="10" customFormat="1" x14ac:dyDescent="0.25">
      <c r="A2752" s="18"/>
      <c r="C2752" s="17"/>
      <c r="D2752" s="19"/>
      <c r="E2752" s="17"/>
      <c r="F2752" s="18"/>
      <c r="G2752" s="17"/>
      <c r="H2752" s="17"/>
      <c r="J2752" s="18"/>
    </row>
    <row r="2753" spans="1:10" s="10" customFormat="1" x14ac:dyDescent="0.25">
      <c r="A2753" s="18"/>
      <c r="C2753" s="17"/>
      <c r="D2753" s="19"/>
      <c r="E2753" s="17"/>
      <c r="F2753" s="18"/>
      <c r="G2753" s="17"/>
      <c r="H2753" s="17"/>
      <c r="J2753" s="18"/>
    </row>
    <row r="2754" spans="1:10" s="10" customFormat="1" x14ac:dyDescent="0.25">
      <c r="A2754" s="18"/>
      <c r="C2754" s="17"/>
      <c r="D2754" s="19"/>
      <c r="E2754" s="17"/>
      <c r="F2754" s="18"/>
      <c r="G2754" s="17"/>
      <c r="H2754" s="17"/>
      <c r="J2754" s="18"/>
    </row>
    <row r="2755" spans="1:10" s="10" customFormat="1" x14ac:dyDescent="0.25">
      <c r="A2755" s="18"/>
      <c r="C2755" s="17"/>
      <c r="D2755" s="19"/>
      <c r="E2755" s="17"/>
      <c r="F2755" s="18"/>
      <c r="G2755" s="17"/>
      <c r="H2755" s="17"/>
      <c r="J2755" s="18"/>
    </row>
    <row r="2756" spans="1:10" s="10" customFormat="1" x14ac:dyDescent="0.25">
      <c r="A2756" s="18"/>
      <c r="C2756" s="17"/>
      <c r="D2756" s="19"/>
      <c r="E2756" s="17"/>
      <c r="F2756" s="18"/>
      <c r="G2756" s="17"/>
      <c r="H2756" s="17"/>
      <c r="J2756" s="18"/>
    </row>
    <row r="2757" spans="1:10" s="10" customFormat="1" x14ac:dyDescent="0.25">
      <c r="A2757" s="18"/>
      <c r="C2757" s="17"/>
      <c r="D2757" s="19"/>
      <c r="E2757" s="17"/>
      <c r="F2757" s="18"/>
      <c r="G2757" s="17"/>
      <c r="H2757" s="17"/>
      <c r="J2757" s="18"/>
    </row>
    <row r="2758" spans="1:10" s="10" customFormat="1" x14ac:dyDescent="0.25">
      <c r="A2758" s="18"/>
      <c r="C2758" s="17"/>
      <c r="D2758" s="19"/>
      <c r="E2758" s="17"/>
      <c r="F2758" s="18"/>
      <c r="G2758" s="17"/>
      <c r="H2758" s="17"/>
      <c r="J2758" s="18"/>
    </row>
    <row r="2759" spans="1:10" s="10" customFormat="1" x14ac:dyDescent="0.25">
      <c r="A2759" s="18"/>
      <c r="C2759" s="17"/>
      <c r="D2759" s="19"/>
      <c r="E2759" s="17"/>
      <c r="F2759" s="18"/>
      <c r="G2759" s="17"/>
      <c r="H2759" s="17"/>
      <c r="J2759" s="18"/>
    </row>
    <row r="2760" spans="1:10" s="10" customFormat="1" x14ac:dyDescent="0.25">
      <c r="A2760" s="18"/>
      <c r="C2760" s="17"/>
      <c r="D2760" s="19"/>
      <c r="E2760" s="17"/>
      <c r="F2760" s="18"/>
      <c r="G2760" s="17"/>
      <c r="H2760" s="17"/>
      <c r="J2760" s="18"/>
    </row>
    <row r="2761" spans="1:10" s="10" customFormat="1" x14ac:dyDescent="0.25">
      <c r="A2761" s="18"/>
      <c r="C2761" s="17"/>
      <c r="D2761" s="19"/>
      <c r="E2761" s="17"/>
      <c r="F2761" s="18"/>
      <c r="G2761" s="17"/>
      <c r="H2761" s="17"/>
      <c r="J2761" s="18"/>
    </row>
    <row r="2762" spans="1:10" s="10" customFormat="1" x14ac:dyDescent="0.25">
      <c r="A2762" s="18"/>
      <c r="D2762" s="19"/>
      <c r="E2762" s="17"/>
      <c r="F2762" s="18"/>
      <c r="G2762" s="17"/>
      <c r="H2762" s="17"/>
      <c r="J2762" s="18"/>
    </row>
    <row r="2763" spans="1:10" s="10" customFormat="1" x14ac:dyDescent="0.25">
      <c r="A2763" s="18"/>
      <c r="D2763" s="19"/>
      <c r="E2763" s="17"/>
      <c r="F2763" s="18"/>
      <c r="G2763" s="17"/>
      <c r="H2763" s="17"/>
      <c r="J2763" s="18"/>
    </row>
    <row r="2764" spans="1:10" s="10" customFormat="1" x14ac:dyDescent="0.25">
      <c r="A2764" s="18"/>
      <c r="D2764" s="19"/>
      <c r="E2764" s="17"/>
      <c r="F2764" s="18"/>
      <c r="G2764" s="17"/>
      <c r="H2764" s="17"/>
      <c r="J2764" s="18"/>
    </row>
    <row r="2765" spans="1:10" s="10" customFormat="1" x14ac:dyDescent="0.25">
      <c r="A2765" s="18"/>
      <c r="D2765" s="19"/>
      <c r="E2765" s="17"/>
      <c r="F2765" s="18"/>
      <c r="G2765" s="17"/>
      <c r="H2765" s="17"/>
      <c r="J2765" s="18"/>
    </row>
    <row r="2766" spans="1:10" s="10" customFormat="1" x14ac:dyDescent="0.25">
      <c r="A2766" s="18"/>
      <c r="D2766" s="19"/>
      <c r="E2766" s="17"/>
      <c r="F2766" s="18"/>
      <c r="G2766" s="17"/>
      <c r="H2766" s="17"/>
      <c r="J2766" s="18"/>
    </row>
    <row r="2767" spans="1:10" s="10" customFormat="1" x14ac:dyDescent="0.25">
      <c r="A2767" s="18"/>
      <c r="D2767" s="19"/>
      <c r="E2767" s="17"/>
      <c r="F2767" s="18"/>
      <c r="G2767" s="17"/>
      <c r="H2767" s="17"/>
      <c r="J2767" s="18"/>
    </row>
    <row r="2768" spans="1:10" s="10" customFormat="1" x14ac:dyDescent="0.25">
      <c r="A2768" s="18"/>
      <c r="D2768" s="19"/>
      <c r="E2768" s="17"/>
      <c r="F2768" s="18"/>
      <c r="G2768" s="17"/>
      <c r="H2768" s="17"/>
      <c r="J2768" s="18"/>
    </row>
    <row r="2769" spans="1:10" s="10" customFormat="1" x14ac:dyDescent="0.25">
      <c r="A2769" s="18"/>
      <c r="D2769" s="19"/>
      <c r="E2769" s="17"/>
      <c r="F2769" s="18"/>
      <c r="G2769" s="17"/>
      <c r="H2769" s="17"/>
      <c r="J2769" s="18"/>
    </row>
    <row r="2770" spans="1:10" s="10" customFormat="1" x14ac:dyDescent="0.25">
      <c r="A2770" s="18"/>
      <c r="D2770" s="19"/>
      <c r="E2770" s="17"/>
      <c r="F2770" s="18"/>
      <c r="G2770" s="17"/>
      <c r="H2770" s="17"/>
      <c r="J2770" s="18"/>
    </row>
    <row r="2771" spans="1:10" s="10" customFormat="1" x14ac:dyDescent="0.25">
      <c r="A2771" s="18"/>
      <c r="D2771" s="19"/>
      <c r="E2771" s="17"/>
      <c r="F2771" s="18"/>
      <c r="G2771" s="17"/>
      <c r="H2771" s="17"/>
      <c r="J2771" s="18"/>
    </row>
    <row r="2772" spans="1:10" s="10" customFormat="1" x14ac:dyDescent="0.25">
      <c r="A2772" s="18"/>
      <c r="D2772" s="19"/>
      <c r="E2772" s="17"/>
      <c r="F2772" s="18"/>
      <c r="G2772" s="17"/>
      <c r="H2772" s="17"/>
      <c r="J2772" s="18"/>
    </row>
    <row r="2773" spans="1:10" s="10" customFormat="1" x14ac:dyDescent="0.25">
      <c r="A2773" s="18"/>
      <c r="D2773" s="19"/>
      <c r="E2773" s="17"/>
      <c r="F2773" s="18"/>
      <c r="G2773" s="17"/>
      <c r="H2773" s="17"/>
      <c r="J2773" s="18"/>
    </row>
    <row r="2774" spans="1:10" s="10" customFormat="1" x14ac:dyDescent="0.25">
      <c r="A2774" s="18"/>
      <c r="D2774" s="19"/>
      <c r="E2774" s="17"/>
      <c r="F2774" s="18"/>
      <c r="G2774" s="17"/>
      <c r="H2774" s="17"/>
      <c r="J2774" s="18"/>
    </row>
    <row r="2775" spans="1:10" s="10" customFormat="1" x14ac:dyDescent="0.25">
      <c r="A2775" s="18"/>
      <c r="D2775" s="19"/>
      <c r="E2775" s="17"/>
      <c r="F2775" s="18"/>
      <c r="G2775" s="17"/>
      <c r="H2775" s="17"/>
      <c r="J2775" s="18"/>
    </row>
    <row r="2776" spans="1:10" s="10" customFormat="1" x14ac:dyDescent="0.25">
      <c r="A2776" s="18"/>
      <c r="D2776" s="19"/>
      <c r="E2776" s="17"/>
      <c r="F2776" s="18"/>
      <c r="G2776" s="17"/>
      <c r="H2776" s="17"/>
      <c r="J2776" s="18"/>
    </row>
    <row r="2777" spans="1:10" s="10" customFormat="1" x14ac:dyDescent="0.25">
      <c r="A2777" s="18"/>
      <c r="D2777" s="19"/>
      <c r="E2777" s="17"/>
      <c r="F2777" s="18"/>
      <c r="G2777" s="17"/>
      <c r="H2777" s="17"/>
      <c r="J2777" s="18"/>
    </row>
    <row r="2778" spans="1:10" s="10" customFormat="1" x14ac:dyDescent="0.25">
      <c r="A2778" s="18"/>
      <c r="D2778" s="19"/>
      <c r="E2778" s="17"/>
      <c r="F2778" s="18"/>
      <c r="G2778" s="17"/>
      <c r="H2778" s="17"/>
      <c r="J2778" s="18"/>
    </row>
    <row r="2779" spans="1:10" s="10" customFormat="1" x14ac:dyDescent="0.25">
      <c r="A2779" s="18"/>
      <c r="D2779" s="19"/>
      <c r="E2779" s="17"/>
      <c r="F2779" s="18"/>
      <c r="G2779" s="17"/>
      <c r="H2779" s="17"/>
      <c r="J2779" s="18"/>
    </row>
    <row r="2780" spans="1:10" s="10" customFormat="1" x14ac:dyDescent="0.25">
      <c r="A2780" s="18"/>
      <c r="D2780" s="19"/>
      <c r="E2780" s="17"/>
      <c r="F2780" s="18"/>
      <c r="G2780" s="17"/>
      <c r="H2780" s="17"/>
      <c r="J2780" s="18"/>
    </row>
    <row r="2781" spans="1:10" s="10" customFormat="1" x14ac:dyDescent="0.25">
      <c r="A2781" s="18"/>
      <c r="D2781" s="19"/>
      <c r="E2781" s="17"/>
      <c r="F2781" s="18"/>
      <c r="G2781" s="17"/>
      <c r="H2781" s="17"/>
      <c r="J2781" s="18"/>
    </row>
    <row r="2782" spans="1:10" s="10" customFormat="1" x14ac:dyDescent="0.25">
      <c r="A2782" s="18"/>
      <c r="D2782" s="19"/>
      <c r="E2782" s="17"/>
      <c r="F2782" s="18"/>
      <c r="G2782" s="17"/>
      <c r="H2782" s="17"/>
      <c r="J2782" s="18"/>
    </row>
    <row r="2783" spans="1:10" s="10" customFormat="1" x14ac:dyDescent="0.25">
      <c r="A2783" s="18"/>
      <c r="D2783" s="19"/>
      <c r="E2783" s="17"/>
      <c r="F2783" s="18"/>
      <c r="G2783" s="17"/>
      <c r="H2783" s="17"/>
      <c r="J2783" s="18"/>
    </row>
    <row r="2784" spans="1:10" s="10" customFormat="1" x14ac:dyDescent="0.25">
      <c r="A2784" s="18"/>
      <c r="D2784" s="19"/>
      <c r="E2784" s="17"/>
      <c r="F2784" s="18"/>
      <c r="G2784" s="17"/>
      <c r="H2784" s="17"/>
      <c r="J2784" s="18"/>
    </row>
    <row r="2785" spans="1:10" s="10" customFormat="1" x14ac:dyDescent="0.25">
      <c r="A2785" s="18"/>
      <c r="D2785" s="19"/>
      <c r="E2785" s="17"/>
      <c r="F2785" s="18"/>
      <c r="G2785" s="17"/>
      <c r="H2785" s="17"/>
      <c r="J2785" s="18"/>
    </row>
    <row r="2786" spans="1:10" s="10" customFormat="1" x14ac:dyDescent="0.25">
      <c r="A2786" s="18"/>
      <c r="D2786" s="19"/>
      <c r="E2786" s="17"/>
      <c r="F2786" s="18"/>
      <c r="G2786" s="17"/>
      <c r="H2786" s="17"/>
      <c r="J2786" s="18"/>
    </row>
    <row r="2787" spans="1:10" s="10" customFormat="1" x14ac:dyDescent="0.25">
      <c r="A2787" s="18"/>
      <c r="D2787" s="19"/>
      <c r="E2787" s="17"/>
      <c r="F2787" s="18"/>
      <c r="G2787" s="17"/>
      <c r="H2787" s="17"/>
      <c r="J2787" s="18"/>
    </row>
    <row r="2788" spans="1:10" s="10" customFormat="1" x14ac:dyDescent="0.25">
      <c r="A2788" s="18"/>
      <c r="D2788" s="19"/>
      <c r="E2788" s="17"/>
      <c r="F2788" s="18"/>
      <c r="G2788" s="17"/>
      <c r="H2788" s="17"/>
      <c r="J2788" s="18"/>
    </row>
    <row r="2789" spans="1:10" s="10" customFormat="1" x14ac:dyDescent="0.25">
      <c r="A2789" s="18"/>
      <c r="D2789" s="19"/>
      <c r="E2789" s="17"/>
      <c r="F2789" s="18"/>
      <c r="G2789" s="17"/>
      <c r="H2789" s="17"/>
      <c r="J2789" s="18"/>
    </row>
    <row r="2790" spans="1:10" s="10" customFormat="1" x14ac:dyDescent="0.25">
      <c r="A2790" s="18"/>
      <c r="D2790" s="19"/>
      <c r="E2790" s="17"/>
      <c r="F2790" s="18"/>
      <c r="G2790" s="17"/>
      <c r="H2790" s="17"/>
      <c r="J2790" s="18"/>
    </row>
    <row r="2791" spans="1:10" s="10" customFormat="1" x14ac:dyDescent="0.25">
      <c r="A2791" s="18"/>
      <c r="D2791" s="19"/>
      <c r="E2791" s="17"/>
      <c r="F2791" s="18"/>
      <c r="G2791" s="17"/>
      <c r="H2791" s="17"/>
      <c r="J2791" s="18"/>
    </row>
    <row r="2792" spans="1:10" s="10" customFormat="1" x14ac:dyDescent="0.25">
      <c r="A2792" s="18"/>
      <c r="D2792" s="19"/>
      <c r="E2792" s="17"/>
      <c r="F2792" s="18"/>
      <c r="G2792" s="17"/>
      <c r="H2792" s="17"/>
      <c r="J2792" s="18"/>
    </row>
    <row r="2793" spans="1:10" s="10" customFormat="1" x14ac:dyDescent="0.25">
      <c r="A2793" s="18"/>
      <c r="D2793" s="19"/>
      <c r="E2793" s="17"/>
      <c r="F2793" s="18"/>
      <c r="G2793" s="17"/>
      <c r="H2793" s="17"/>
      <c r="J2793" s="18"/>
    </row>
    <row r="2794" spans="1:10" s="10" customFormat="1" x14ac:dyDescent="0.25">
      <c r="A2794" s="18"/>
      <c r="D2794" s="19"/>
      <c r="E2794" s="17"/>
      <c r="F2794" s="18"/>
      <c r="G2794" s="17"/>
      <c r="H2794" s="17"/>
      <c r="J2794" s="18"/>
    </row>
    <row r="2795" spans="1:10" s="10" customFormat="1" x14ac:dyDescent="0.25">
      <c r="A2795" s="18"/>
      <c r="D2795" s="19"/>
      <c r="E2795" s="17"/>
      <c r="F2795" s="18"/>
      <c r="G2795" s="17"/>
      <c r="H2795" s="17"/>
      <c r="J2795" s="18"/>
    </row>
    <row r="2796" spans="1:10" s="10" customFormat="1" x14ac:dyDescent="0.25">
      <c r="A2796" s="18"/>
      <c r="D2796" s="19"/>
      <c r="E2796" s="17"/>
      <c r="F2796" s="18"/>
      <c r="G2796" s="17"/>
      <c r="H2796" s="17"/>
      <c r="J2796" s="18"/>
    </row>
    <row r="2797" spans="1:10" s="10" customFormat="1" x14ac:dyDescent="0.25">
      <c r="A2797" s="18"/>
      <c r="D2797" s="19"/>
      <c r="E2797" s="17"/>
      <c r="F2797" s="18"/>
      <c r="G2797" s="17"/>
      <c r="H2797" s="17"/>
      <c r="J2797" s="18"/>
    </row>
    <row r="2798" spans="1:10" s="10" customFormat="1" x14ac:dyDescent="0.25">
      <c r="A2798" s="18"/>
      <c r="D2798" s="19"/>
      <c r="E2798" s="17"/>
      <c r="F2798" s="18"/>
      <c r="G2798" s="17"/>
      <c r="H2798" s="17"/>
      <c r="J2798" s="18"/>
    </row>
    <row r="2799" spans="1:10" s="10" customFormat="1" x14ac:dyDescent="0.25">
      <c r="A2799" s="18"/>
      <c r="D2799" s="19"/>
      <c r="E2799" s="17"/>
      <c r="F2799" s="18"/>
      <c r="G2799" s="17"/>
      <c r="H2799" s="17"/>
      <c r="J2799" s="18"/>
    </row>
    <row r="2800" spans="1:10" s="10" customFormat="1" x14ac:dyDescent="0.25">
      <c r="A2800" s="18"/>
      <c r="D2800" s="19"/>
      <c r="E2800" s="17"/>
      <c r="F2800" s="18"/>
      <c r="G2800" s="17"/>
      <c r="H2800" s="17"/>
      <c r="J2800" s="18"/>
    </row>
    <row r="2801" spans="1:10" s="10" customFormat="1" x14ac:dyDescent="0.25">
      <c r="A2801" s="18"/>
      <c r="D2801" s="19"/>
      <c r="E2801" s="17"/>
      <c r="F2801" s="18"/>
      <c r="G2801" s="17"/>
      <c r="H2801" s="17"/>
      <c r="J2801" s="18"/>
    </row>
    <row r="2802" spans="1:10" s="10" customFormat="1" x14ac:dyDescent="0.25">
      <c r="A2802" s="18"/>
      <c r="D2802" s="19"/>
      <c r="E2802" s="17"/>
      <c r="F2802" s="18"/>
      <c r="G2802" s="17"/>
      <c r="H2802" s="17"/>
      <c r="J2802" s="18"/>
    </row>
    <row r="2803" spans="1:10" s="10" customFormat="1" x14ac:dyDescent="0.25">
      <c r="A2803" s="18"/>
      <c r="D2803" s="19"/>
      <c r="E2803" s="17"/>
      <c r="F2803" s="18"/>
      <c r="G2803" s="17"/>
      <c r="H2803" s="17"/>
      <c r="J2803" s="18"/>
    </row>
    <row r="2804" spans="1:10" s="10" customFormat="1" x14ac:dyDescent="0.25">
      <c r="A2804" s="18"/>
      <c r="D2804" s="19"/>
      <c r="E2804" s="17"/>
      <c r="F2804" s="18"/>
      <c r="G2804" s="17"/>
      <c r="H2804" s="17"/>
      <c r="J2804" s="18"/>
    </row>
    <row r="2805" spans="1:10" s="10" customFormat="1" x14ac:dyDescent="0.25">
      <c r="A2805" s="18"/>
      <c r="D2805" s="19"/>
      <c r="E2805" s="17"/>
      <c r="F2805" s="18"/>
      <c r="G2805" s="17"/>
      <c r="H2805" s="17"/>
      <c r="J2805" s="18"/>
    </row>
    <row r="2806" spans="1:10" s="10" customFormat="1" x14ac:dyDescent="0.25">
      <c r="A2806" s="18"/>
      <c r="D2806" s="19"/>
      <c r="E2806" s="17"/>
      <c r="F2806" s="18"/>
      <c r="G2806" s="17"/>
      <c r="H2806" s="17"/>
      <c r="J2806" s="18"/>
    </row>
    <row r="2807" spans="1:10" s="10" customFormat="1" x14ac:dyDescent="0.25">
      <c r="A2807" s="18"/>
      <c r="D2807" s="19"/>
      <c r="E2807" s="17"/>
      <c r="F2807" s="18"/>
      <c r="G2807" s="17"/>
      <c r="H2807" s="17"/>
      <c r="J2807" s="18"/>
    </row>
    <row r="2808" spans="1:10" s="10" customFormat="1" x14ac:dyDescent="0.25">
      <c r="A2808" s="18"/>
      <c r="D2808" s="19"/>
      <c r="E2808" s="17"/>
      <c r="F2808" s="18"/>
      <c r="G2808" s="17"/>
      <c r="H2808" s="17"/>
      <c r="J2808" s="18"/>
    </row>
    <row r="2809" spans="1:10" s="10" customFormat="1" x14ac:dyDescent="0.25">
      <c r="A2809" s="18"/>
      <c r="D2809" s="19"/>
      <c r="E2809" s="17"/>
      <c r="F2809" s="18"/>
      <c r="G2809" s="17"/>
      <c r="H2809" s="17"/>
      <c r="J2809" s="18"/>
    </row>
    <row r="2810" spans="1:10" s="10" customFormat="1" x14ac:dyDescent="0.25">
      <c r="A2810" s="18"/>
      <c r="D2810" s="19"/>
      <c r="E2810" s="17"/>
      <c r="F2810" s="18"/>
      <c r="G2810" s="17"/>
      <c r="H2810" s="17"/>
      <c r="J2810" s="18"/>
    </row>
    <row r="2811" spans="1:10" s="10" customFormat="1" x14ac:dyDescent="0.25">
      <c r="A2811" s="18"/>
      <c r="D2811" s="19"/>
      <c r="E2811" s="17"/>
      <c r="F2811" s="18"/>
      <c r="G2811" s="17"/>
      <c r="H2811" s="17"/>
      <c r="J2811" s="18"/>
    </row>
    <row r="2812" spans="1:10" s="10" customFormat="1" x14ac:dyDescent="0.25">
      <c r="A2812" s="18"/>
      <c r="D2812" s="19"/>
      <c r="E2812" s="17"/>
      <c r="F2812" s="18"/>
      <c r="G2812" s="17"/>
      <c r="H2812" s="17"/>
      <c r="J2812" s="18"/>
    </row>
    <row r="2813" spans="1:10" s="10" customFormat="1" x14ac:dyDescent="0.25">
      <c r="A2813" s="18"/>
      <c r="D2813" s="19"/>
      <c r="E2813" s="17"/>
      <c r="F2813" s="18"/>
      <c r="G2813" s="17"/>
      <c r="H2813" s="17"/>
      <c r="J2813" s="18"/>
    </row>
    <row r="2814" spans="1:10" s="10" customFormat="1" x14ac:dyDescent="0.25">
      <c r="A2814" s="18"/>
      <c r="D2814" s="19"/>
      <c r="E2814" s="17"/>
      <c r="F2814" s="18"/>
      <c r="G2814" s="17"/>
      <c r="H2814" s="17"/>
      <c r="J2814" s="18"/>
    </row>
    <row r="2815" spans="1:10" s="10" customFormat="1" x14ac:dyDescent="0.25">
      <c r="A2815" s="18"/>
      <c r="D2815" s="19"/>
      <c r="E2815" s="17"/>
      <c r="F2815" s="18"/>
      <c r="G2815" s="17"/>
      <c r="H2815" s="17"/>
      <c r="J2815" s="18"/>
    </row>
    <row r="2816" spans="1:10" s="10" customFormat="1" x14ac:dyDescent="0.25">
      <c r="A2816" s="18"/>
      <c r="D2816" s="19"/>
      <c r="E2816" s="17"/>
      <c r="F2816" s="18"/>
      <c r="G2816" s="17"/>
      <c r="H2816" s="17"/>
      <c r="J2816" s="18"/>
    </row>
    <row r="2817" spans="1:10" s="10" customFormat="1" x14ac:dyDescent="0.25">
      <c r="A2817" s="18"/>
      <c r="D2817" s="19"/>
      <c r="E2817" s="17"/>
      <c r="F2817" s="18"/>
      <c r="G2817" s="17"/>
      <c r="H2817" s="17"/>
      <c r="J2817" s="18"/>
    </row>
    <row r="2818" spans="1:10" s="10" customFormat="1" x14ac:dyDescent="0.25">
      <c r="A2818" s="18"/>
      <c r="D2818" s="19"/>
      <c r="E2818" s="17"/>
      <c r="F2818" s="18"/>
      <c r="G2818" s="17"/>
      <c r="H2818" s="17"/>
      <c r="J2818" s="18"/>
    </row>
    <row r="2819" spans="1:10" s="10" customFormat="1" x14ac:dyDescent="0.25">
      <c r="A2819" s="18"/>
      <c r="D2819" s="19"/>
      <c r="E2819" s="17"/>
      <c r="F2819" s="18"/>
      <c r="G2819" s="17"/>
      <c r="H2819" s="17"/>
      <c r="J2819" s="18"/>
    </row>
    <row r="2820" spans="1:10" s="10" customFormat="1" x14ac:dyDescent="0.25">
      <c r="A2820" s="18"/>
      <c r="D2820" s="19"/>
      <c r="E2820" s="17"/>
      <c r="F2820" s="18"/>
      <c r="G2820" s="17"/>
      <c r="H2820" s="17"/>
      <c r="J2820" s="18"/>
    </row>
    <row r="2821" spans="1:10" s="10" customFormat="1" x14ac:dyDescent="0.25">
      <c r="A2821" s="18"/>
      <c r="D2821" s="19"/>
      <c r="E2821" s="17"/>
      <c r="F2821" s="18"/>
      <c r="G2821" s="17"/>
      <c r="H2821" s="17"/>
      <c r="J2821" s="18"/>
    </row>
    <row r="2822" spans="1:10" s="10" customFormat="1" x14ac:dyDescent="0.25">
      <c r="A2822" s="18"/>
      <c r="D2822" s="19"/>
      <c r="E2822" s="17"/>
      <c r="F2822" s="18"/>
      <c r="G2822" s="17"/>
      <c r="H2822" s="17"/>
      <c r="J2822" s="18"/>
    </row>
    <row r="2823" spans="1:10" s="10" customFormat="1" x14ac:dyDescent="0.25">
      <c r="A2823" s="18"/>
      <c r="D2823" s="19"/>
      <c r="E2823" s="17"/>
      <c r="F2823" s="18"/>
      <c r="G2823" s="17"/>
      <c r="H2823" s="17"/>
      <c r="J2823" s="18"/>
    </row>
    <row r="2824" spans="1:10" s="10" customFormat="1" x14ac:dyDescent="0.25">
      <c r="A2824" s="18"/>
      <c r="D2824" s="19"/>
      <c r="E2824" s="17"/>
      <c r="F2824" s="18"/>
      <c r="G2824" s="17"/>
      <c r="H2824" s="17"/>
      <c r="J2824" s="18"/>
    </row>
  </sheetData>
  <sheetProtection sheet="1" objects="1" scenarios="1"/>
  <mergeCells count="1">
    <mergeCell ref="K906:K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6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8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7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8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9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8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9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8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9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8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9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8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9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8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9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8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9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8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9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8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9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8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9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8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9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2022-05-13T13:08:25Z</cp:lastPrinted>
  <dcterms:created xsi:type="dcterms:W3CDTF">2015-11-18T15:54:23Z</dcterms:created>
  <dcterms:modified xsi:type="dcterms:W3CDTF">2022-05-13T13:18:09Z</dcterms:modified>
</cp:coreProperties>
</file>