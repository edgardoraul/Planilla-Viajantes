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bookViews>
    <workbookView xWindow="0" yWindow="0" windowWidth="24000" windowHeight="9630" tabRatio="703" activeTab="1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8" l="1"/>
  <c r="Z1" i="9" l="1"/>
  <c r="Z1" i="7"/>
  <c r="C21" i="7" l="1"/>
  <c r="D7" i="7"/>
  <c r="AA33" i="9"/>
  <c r="Q22" i="9"/>
  <c r="B21" i="9"/>
  <c r="X9" i="9" s="1"/>
  <c r="G20" i="9"/>
  <c r="X8" i="9" s="1"/>
  <c r="B20" i="9"/>
  <c r="E18" i="9"/>
  <c r="Q16" i="9"/>
  <c r="B16" i="9"/>
  <c r="D7" i="9"/>
  <c r="L6" i="9"/>
  <c r="B6" i="9"/>
  <c r="L5" i="9"/>
  <c r="B5" i="9"/>
  <c r="G4" i="9"/>
  <c r="B4" i="9"/>
  <c r="M3" i="9"/>
  <c r="G3" i="9"/>
  <c r="B3" i="9"/>
  <c r="B2" i="9"/>
  <c r="E19" i="7"/>
  <c r="B16" i="8"/>
  <c r="Q22" i="8"/>
  <c r="Q16" i="8"/>
  <c r="D7" i="8"/>
  <c r="AA33" i="8"/>
  <c r="L6" i="8"/>
  <c r="B6" i="8"/>
  <c r="L5" i="8"/>
  <c r="B5" i="8"/>
  <c r="G4" i="8"/>
  <c r="B4" i="8"/>
  <c r="M3" i="8"/>
  <c r="G3" i="8"/>
  <c r="B3" i="8"/>
  <c r="B2" i="8"/>
  <c r="P13" i="7"/>
  <c r="G19" i="7"/>
  <c r="P21" i="7"/>
  <c r="C16" i="7"/>
  <c r="C14" i="7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31" i="9" l="1"/>
  <c r="X27" i="9"/>
  <c r="X23" i="9"/>
  <c r="X19" i="9"/>
  <c r="X16" i="9"/>
  <c r="X14" i="9"/>
  <c r="X29" i="8"/>
  <c r="X25" i="8"/>
  <c r="X21" i="8"/>
  <c r="X17" i="8"/>
  <c r="X13" i="8"/>
  <c r="X19" i="7"/>
  <c r="X23" i="7"/>
  <c r="X27" i="7"/>
  <c r="X31" i="7"/>
  <c r="X13" i="7"/>
  <c r="X16" i="7"/>
  <c r="X20" i="7"/>
  <c r="X28" i="7"/>
  <c r="X27" i="8"/>
  <c r="X15" i="8"/>
  <c r="X21" i="7"/>
  <c r="X25" i="7"/>
  <c r="X30" i="9"/>
  <c r="X26" i="9"/>
  <c r="X22" i="9"/>
  <c r="X20" i="9"/>
  <c r="X18" i="9"/>
  <c r="X13" i="9"/>
  <c r="X32" i="8"/>
  <c r="X28" i="8"/>
  <c r="X24" i="8"/>
  <c r="X20" i="8"/>
  <c r="X16" i="8"/>
  <c r="X12" i="8"/>
  <c r="X24" i="7"/>
  <c r="X15" i="7"/>
  <c r="X23" i="8"/>
  <c r="X19" i="8"/>
  <c r="X14" i="7"/>
  <c r="X29" i="9"/>
  <c r="X25" i="9"/>
  <c r="X12" i="9"/>
  <c r="X32" i="9"/>
  <c r="X28" i="9"/>
  <c r="X24" i="9"/>
  <c r="X21" i="9"/>
  <c r="X17" i="9"/>
  <c r="X15" i="9"/>
  <c r="X30" i="8"/>
  <c r="X26" i="8"/>
  <c r="X22" i="8"/>
  <c r="X18" i="8"/>
  <c r="X14" i="8"/>
  <c r="X18" i="7"/>
  <c r="X22" i="7"/>
  <c r="X26" i="7"/>
  <c r="X30" i="7"/>
  <c r="X12" i="7"/>
  <c r="X32" i="7"/>
  <c r="X31" i="8"/>
  <c r="X17" i="7"/>
  <c r="X29" i="7"/>
  <c r="G20" i="8"/>
  <c r="B20" i="8" l="1"/>
  <c r="B21" i="8"/>
  <c r="E18" i="8"/>
</calcChain>
</file>

<file path=xl/sharedStrings.xml><?xml version="1.0" encoding="utf-8"?>
<sst xmlns="http://schemas.openxmlformats.org/spreadsheetml/2006/main" count="30937" uniqueCount="14626">
  <si>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</si>
  <si>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</si>
  <si>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</si>
  <si>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</si>
  <si>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</si>
  <si>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</si>
  <si>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</si>
  <si>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</si>
  <si>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</si>
  <si>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</si>
  <si>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</si>
  <si>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</si>
  <si>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</si>
  <si>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</si>
  <si>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</si>
  <si>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</si>
  <si>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</si>
  <si>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</si>
  <si>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</si>
  <si>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</si>
  <si>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</si>
  <si>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</si>
  <si>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</si>
  <si>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</si>
  <si>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</si>
  <si>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</si>
  <si>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</si>
  <si>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</si>
  <si>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STORNI ALFONSINA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</si>
  <si>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</si>
  <si>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</si>
  <si>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</si>
  <si>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</si>
  <si>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</si>
  <si>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</si>
  <si>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</si>
  <si>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</si>
  <si>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</si>
  <si>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RAMSEYER CRISTIAN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</si>
  <si>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</si>
  <si>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</si>
  <si>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</si>
  <si>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</si>
  <si>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</si>
  <si>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</si>
  <si>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</si>
  <si>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</si>
  <si>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</si>
  <si>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</si>
  <si>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</si>
  <si>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</si>
  <si>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</si>
  <si>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</si>
  <si>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</si>
  <si>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</si>
  <si>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BUNGE EMILIO VICENTE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</si>
  <si>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</si>
  <si>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</si>
  <si>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</si>
  <si>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</si>
  <si>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</si>
  <si>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</si>
  <si>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</si>
  <si>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</si>
  <si>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</si>
  <si>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</si>
  <si>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CURUTCHET DOCTOR VALENTIN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</si>
  <si>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</si>
  <si>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</si>
  <si>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</si>
  <si>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</si>
  <si>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</si>
  <si>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</si>
  <si>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</si>
  <si>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</si>
  <si>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</si>
  <si>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</si>
  <si>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</si>
  <si>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DEL LIBERTADOR GRAL SAN MARTIN</t>
  </si>
  <si>
    <t>B1748ZAA</t>
  </si>
  <si>
    <t>GENERAL RODRIGUEZ</t>
  </si>
  <si>
    <t>B0345</t>
  </si>
  <si>
    <t>GRAL. VILLEGAS</t>
  </si>
  <si>
    <t>CAÑADA SECA</t>
  </si>
  <si>
    <t>ALBERDI JUAN BAUTISTA</t>
  </si>
  <si>
    <t>B6105ZAA</t>
  </si>
  <si>
    <t>B0322</t>
  </si>
  <si>
    <t>CARLOS CASARES</t>
  </si>
  <si>
    <t>MAYA ANTONIO</t>
  </si>
  <si>
    <t>B6530ZAA</t>
  </si>
  <si>
    <t>B0324</t>
  </si>
  <si>
    <t>CARLOS TEJEDOR</t>
  </si>
  <si>
    <t>GARRE ESTEBAN Y SANTIAGO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</si>
  <si>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</si>
  <si>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</si>
  <si>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</si>
  <si>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</si>
  <si>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</si>
  <si>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</si>
  <si>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</si>
  <si>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</si>
  <si>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</si>
  <si>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</si>
  <si>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</si>
  <si>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ANZOATEGUI CORONEL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</si>
  <si>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</si>
  <si>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</si>
  <si>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</si>
  <si>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</si>
  <si>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</si>
  <si>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</si>
  <si>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</si>
  <si>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</si>
  <si>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</si>
  <si>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</si>
  <si>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CORONEL MON</t>
  </si>
  <si>
    <t>B0333</t>
  </si>
  <si>
    <t>DEL VALLE</t>
  </si>
  <si>
    <t>AZCUENAGA GENERAL MIGUEL DE</t>
  </si>
  <si>
    <t>B6509ZAA</t>
  </si>
  <si>
    <t>B0334</t>
  </si>
  <si>
    <t>DUDIGNAC</t>
  </si>
  <si>
    <t>SAMPIETRO DOCTOR ALBERTO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</si>
  <si>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</si>
  <si>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</si>
  <si>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</si>
  <si>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</si>
  <si>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</si>
  <si>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</si>
  <si>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</si>
  <si>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</si>
  <si>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</si>
  <si>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</si>
  <si>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</si>
  <si>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MORENO PERITO FRANCISCO P</t>
  </si>
  <si>
    <t>M5501ZAA</t>
  </si>
  <si>
    <t>M0032</t>
  </si>
  <si>
    <t>ING. GIAGNONI</t>
  </si>
  <si>
    <t>MILORDO JOSE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</si>
  <si>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</si>
  <si>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</si>
  <si>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</si>
  <si>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</si>
  <si>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</si>
  <si>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</si>
  <si>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</si>
  <si>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</si>
  <si>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</si>
  <si>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</si>
  <si>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</si>
  <si>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</si>
  <si>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</si>
  <si>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</si>
  <si>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</si>
  <si>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</si>
  <si>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</si>
  <si>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</si>
  <si>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</si>
  <si>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CEBALLOS GOBERNADOR JOSE ANTONIO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</si>
  <si>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</si>
  <si>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</si>
  <si>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</si>
  <si>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</si>
  <si>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</si>
  <si>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</si>
  <si>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</si>
  <si>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</si>
  <si>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CEVALLOS VIRREY PEDRO ANTONIO DE</t>
  </si>
  <si>
    <t>L6369ZAA</t>
  </si>
  <si>
    <t>L0068</t>
  </si>
  <si>
    <t>URIBURU</t>
  </si>
  <si>
    <t>FOLLZ DOCTOR</t>
  </si>
  <si>
    <t>L6354ZAA</t>
  </si>
  <si>
    <t>L0070</t>
  </si>
  <si>
    <t>VEINTICINCO DE MAYO</t>
  </si>
  <si>
    <t>FIGUEROA ALCORTA PRESIDENTE JOSE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</si>
  <si>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</si>
  <si>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</si>
  <si>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</si>
  <si>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</si>
  <si>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</si>
  <si>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</si>
  <si>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</si>
  <si>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</si>
  <si>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</si>
  <si>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SUCURSAL 1 MENDOZA</t>
  </si>
  <si>
    <t>PAZ GENERAL GREGORIO</t>
  </si>
  <si>
    <t>M5500ZAC</t>
  </si>
  <si>
    <t>M0002</t>
  </si>
  <si>
    <t>AGENCIA 2 MENDOZA</t>
  </si>
  <si>
    <t>DORREGO CORONEL MANUEL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</si>
  <si>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</si>
  <si>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</si>
  <si>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</si>
  <si>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</si>
  <si>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</si>
  <si>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</si>
  <si>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</si>
  <si>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</si>
  <si>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</si>
  <si>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</si>
  <si>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</si>
  <si>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</si>
  <si>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</si>
  <si>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</si>
  <si>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GOULU CORONEL</t>
  </si>
  <si>
    <t>M5565ZAA</t>
  </si>
  <si>
    <t>CAMPO DE LOS ANDES</t>
  </si>
  <si>
    <t>M0010</t>
  </si>
  <si>
    <t>CARMENSA</t>
  </si>
  <si>
    <t>CHRISTOPHERSEN PEDRO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</si>
  <si>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</si>
  <si>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</si>
  <si>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</si>
  <si>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</si>
  <si>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</si>
  <si>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</si>
  <si>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</si>
  <si>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</si>
  <si>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</si>
  <si>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</si>
  <si>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</si>
  <si>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</si>
  <si>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QUIROGA BERNARDO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</si>
  <si>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</si>
  <si>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</si>
  <si>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</si>
  <si>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</si>
  <si>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</si>
  <si>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</si>
  <si>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</si>
  <si>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</si>
  <si>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</si>
  <si>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</si>
  <si>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</si>
  <si>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</si>
  <si>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</si>
  <si>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</si>
  <si>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</si>
  <si>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AMEGHINO FLORENTINO</t>
  </si>
  <si>
    <t>A4403ZAA</t>
  </si>
  <si>
    <t>A0014</t>
  </si>
  <si>
    <t>CHICOANA</t>
  </si>
  <si>
    <t>MORILLO DOCTOR ADOLFO</t>
  </si>
  <si>
    <t>A4423ZAA</t>
  </si>
  <si>
    <t>A0015</t>
  </si>
  <si>
    <t>COLONIA SANTA ROSA</t>
  </si>
  <si>
    <t>SAN MARTIN</t>
  </si>
  <si>
    <t>A4531ZAA</t>
  </si>
  <si>
    <t>A0016</t>
  </si>
  <si>
    <t>EL CARRIL</t>
  </si>
  <si>
    <t>D ANDREA LUCIO</t>
  </si>
  <si>
    <t>A4421ZAA</t>
  </si>
  <si>
    <t>A0017</t>
  </si>
  <si>
    <t>EL GALPON</t>
  </si>
  <si>
    <t>SAN MARTIN GENERAL JOSE DE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</si>
  <si>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</si>
  <si>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</si>
  <si>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</si>
  <si>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</si>
  <si>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</si>
  <si>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</si>
  <si>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</si>
  <si>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20 DE FEBRERO</t>
  </si>
  <si>
    <t>A4562ZAA</t>
  </si>
  <si>
    <t>EL DORADO</t>
  </si>
  <si>
    <t>N3380ZAA</t>
  </si>
  <si>
    <t>ELDORADO</t>
  </si>
  <si>
    <t>N0038</t>
  </si>
  <si>
    <t>EL SOBERBIO</t>
  </si>
  <si>
    <t>RIVADAVIA PRESIDENTE BERNARDINO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</si>
  <si>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</si>
  <si>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</si>
  <si>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</si>
  <si>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</si>
  <si>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</si>
  <si>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</si>
  <si>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</si>
  <si>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</si>
  <si>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</si>
  <si>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</si>
  <si>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</si>
  <si>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</si>
  <si>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</si>
  <si>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</si>
  <si>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</si>
  <si>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</si>
  <si>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</si>
  <si>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</si>
  <si>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</si>
  <si>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</si>
  <si>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</si>
  <si>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</si>
  <si>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</si>
  <si>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</si>
  <si>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</si>
  <si>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</si>
  <si>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</si>
  <si>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</si>
  <si>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</si>
  <si>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</si>
  <si>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EL PLATA</t>
  </si>
  <si>
    <t>B1623ZAA</t>
  </si>
  <si>
    <t>INGENIERO MASCHWITZ</t>
  </si>
  <si>
    <t>B0436</t>
  </si>
  <si>
    <t>LA EMILIA</t>
  </si>
  <si>
    <t>CORDOBA JOSE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</si>
  <si>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</si>
  <si>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</si>
  <si>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</si>
  <si>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</si>
  <si>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</si>
  <si>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</si>
  <si>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</si>
  <si>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</si>
  <si>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</si>
  <si>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</si>
  <si>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</si>
  <si>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</si>
  <si>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</si>
  <si>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</si>
  <si>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MANFREDI DOCTOR</t>
  </si>
  <si>
    <t>B2933ZAA</t>
  </si>
  <si>
    <t>B0446</t>
  </si>
  <si>
    <t>PILAR</t>
  </si>
  <si>
    <t>LAGRAVE PEDRO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</si>
  <si>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</si>
  <si>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</si>
  <si>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</si>
  <si>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</si>
  <si>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</si>
  <si>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</si>
  <si>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</si>
  <si>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</si>
  <si>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</si>
  <si>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</si>
  <si>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</si>
  <si>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</si>
  <si>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</si>
  <si>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</si>
  <si>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</si>
  <si>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</si>
  <si>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</si>
  <si>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</si>
  <si>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</si>
  <si>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Nº 1 SAN NICOLAS</t>
  </si>
  <si>
    <t>LA PAZ</t>
  </si>
  <si>
    <t>B2900ZAB</t>
  </si>
  <si>
    <t>B0460</t>
  </si>
  <si>
    <t>SAN PEDRO</t>
  </si>
  <si>
    <t>OBLIGADO RAFAEL</t>
  </si>
  <si>
    <t>B2930ZAA</t>
  </si>
  <si>
    <t>B0462</t>
  </si>
  <si>
    <t>SANTA LUCIA</t>
  </si>
  <si>
    <t>O FARRELL JUAN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</si>
  <si>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</si>
  <si>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</si>
  <si>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</si>
  <si>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</si>
  <si>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</si>
  <si>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</si>
  <si>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</si>
  <si>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PAGOLA FELIX</t>
  </si>
  <si>
    <t>B2800ZAA</t>
  </si>
  <si>
    <t>B0500</t>
  </si>
  <si>
    <t>FERNANDEZ CANCIO JOSE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</si>
  <si>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</si>
  <si>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</si>
  <si>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</si>
  <si>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</si>
  <si>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</si>
  <si>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</si>
  <si>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</si>
  <si>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</si>
  <si>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</si>
  <si>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</si>
  <si>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</si>
  <si>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</si>
  <si>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</si>
  <si>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</si>
  <si>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</si>
  <si>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ALVEAR JOSEFINA DE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</si>
  <si>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</si>
  <si>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</si>
  <si>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</si>
  <si>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</si>
  <si>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</si>
  <si>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</si>
  <si>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</si>
  <si>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</si>
  <si>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</si>
  <si>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</si>
  <si>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</si>
  <si>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</si>
  <si>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</si>
  <si>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</si>
  <si>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</si>
  <si>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</si>
  <si>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</si>
  <si>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</si>
  <si>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</si>
  <si>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</si>
  <si>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</si>
  <si>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</si>
  <si>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</si>
  <si>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</si>
  <si>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</si>
  <si>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</si>
  <si>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</si>
  <si>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</si>
  <si>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</si>
  <si>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</si>
  <si>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</si>
  <si>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</si>
  <si>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</si>
  <si>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PAZ GENERAL JOSE MARIA</t>
  </si>
  <si>
    <t>B8160ZAA</t>
  </si>
  <si>
    <t>B0529</t>
  </si>
  <si>
    <t>TRES ARROYOS</t>
  </si>
  <si>
    <t>B7500ZAA</t>
  </si>
  <si>
    <t>B0531</t>
  </si>
  <si>
    <t>VILLA IRIS</t>
  </si>
  <si>
    <t>AVELLANEDA DOCTOR NICOLAS</t>
  </si>
  <si>
    <t>B8126ZAA</t>
  </si>
  <si>
    <t>B0533</t>
  </si>
  <si>
    <t>VILLALONGA</t>
  </si>
  <si>
    <t>URQUIJO DE SEXE FRANCISCA</t>
  </si>
  <si>
    <t>B8512ZAA</t>
  </si>
  <si>
    <t>B0535</t>
  </si>
  <si>
    <t>ADOLFO GONZALES CHAVES</t>
  </si>
  <si>
    <t>PAZ GENERAL</t>
  </si>
  <si>
    <t>B7513ZAA</t>
  </si>
  <si>
    <t>B0536</t>
  </si>
  <si>
    <t>JUAN COUSTE</t>
  </si>
  <si>
    <t>CLEMENTE PENE DOMINGO JUAN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</si>
  <si>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</si>
  <si>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</si>
  <si>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</si>
  <si>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</si>
  <si>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</si>
  <si>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</si>
  <si>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</si>
  <si>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</si>
  <si>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</si>
  <si>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</si>
  <si>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</si>
  <si>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</si>
  <si>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</si>
  <si>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</si>
  <si>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FARO RECALADA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</si>
  <si>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</si>
  <si>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</si>
  <si>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</si>
  <si>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</si>
  <si>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</si>
  <si>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</si>
  <si>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</si>
  <si>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</si>
  <si>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</si>
  <si>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</si>
  <si>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ESPAÑA 550</t>
  </si>
  <si>
    <t>B6439ZAA</t>
  </si>
  <si>
    <t>B0547</t>
  </si>
  <si>
    <t>BORDENAVE</t>
  </si>
  <si>
    <t>PINCEN CACIQUE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</si>
  <si>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</si>
  <si>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</si>
  <si>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</si>
  <si>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</si>
  <si>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</si>
  <si>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</si>
  <si>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</si>
  <si>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</si>
  <si>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</si>
  <si>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</si>
  <si>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</si>
  <si>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</si>
  <si>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</si>
  <si>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</si>
  <si>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</si>
  <si>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</si>
  <si>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</si>
  <si>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</si>
  <si>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CORTAZAR MARIO TEOFILO</t>
  </si>
  <si>
    <t>B7311ZAA</t>
  </si>
  <si>
    <t>B0553</t>
  </si>
  <si>
    <t>COPETONAS</t>
  </si>
  <si>
    <t>ARAMBURU TENIENTE GENERAL PEDRO EUGENIO</t>
  </si>
  <si>
    <t>B7511ZAA</t>
  </si>
  <si>
    <t>B0554</t>
  </si>
  <si>
    <t>CNEL. DORREGO</t>
  </si>
  <si>
    <t>SANTAGADA DOCTOR NIRIDO EDILBERTO</t>
  </si>
  <si>
    <t>B8150ZAA</t>
  </si>
  <si>
    <t>CORONEL DORREGO</t>
  </si>
  <si>
    <t>B0555</t>
  </si>
  <si>
    <t>CNEL. PRINGLES</t>
  </si>
  <si>
    <t>CABRERA JUAN</t>
  </si>
  <si>
    <t>B7530ZAA</t>
  </si>
  <si>
    <t>CORONEL PRINGLES</t>
  </si>
  <si>
    <t>B0556</t>
  </si>
  <si>
    <t>B6343ZAA</t>
  </si>
  <si>
    <t>VILLA MAZA</t>
  </si>
  <si>
    <t>B0579</t>
  </si>
  <si>
    <t>MÉDANOS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</si>
  <si>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</si>
  <si>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</si>
  <si>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</si>
  <si>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</si>
  <si>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</si>
  <si>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</si>
  <si>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</si>
  <si>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</si>
  <si>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</si>
  <si>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</si>
  <si>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</si>
  <si>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ACONQUIJA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</si>
  <si>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</si>
  <si>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</si>
  <si>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</si>
  <si>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</si>
  <si>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</si>
  <si>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</si>
  <si>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</si>
  <si>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</si>
  <si>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</si>
  <si>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C. RIVADAVIA (SUC. 1)</t>
  </si>
  <si>
    <t>U9005ZAC</t>
  </si>
  <si>
    <t>U0007</t>
  </si>
  <si>
    <t>C. RIVADAVIA (SUC. 7)</t>
  </si>
  <si>
    <t>MAIZ ALEJANDRO</t>
  </si>
  <si>
    <t>U9006ZAA</t>
  </si>
  <si>
    <t>U0008</t>
  </si>
  <si>
    <t>ALDEA BELEIRO</t>
  </si>
  <si>
    <t>RUTA NACIONAL N° 272 LOTE 21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</si>
  <si>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</si>
  <si>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</si>
  <si>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</si>
  <si>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</si>
  <si>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</si>
  <si>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</si>
  <si>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</si>
  <si>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</si>
  <si>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</si>
  <si>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</si>
  <si>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</si>
  <si>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</si>
  <si>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</si>
  <si>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</si>
  <si>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</si>
  <si>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</si>
  <si>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</si>
  <si>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</si>
  <si>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</si>
  <si>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</si>
  <si>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</si>
  <si>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</si>
  <si>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</si>
  <si>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</si>
  <si>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</si>
  <si>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</si>
  <si>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CORONEL INGENIERO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</si>
  <si>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</si>
  <si>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</si>
  <si>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</si>
  <si>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</si>
  <si>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</si>
  <si>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</si>
  <si>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</si>
  <si>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</si>
  <si>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</si>
  <si>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15 DE DICIEMBRE</t>
  </si>
  <si>
    <t>U9217ZAA</t>
  </si>
  <si>
    <t>U0104</t>
  </si>
  <si>
    <t>DOLAVON</t>
  </si>
  <si>
    <t>28 DE JULIO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</si>
  <si>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</si>
  <si>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</si>
  <si>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</si>
  <si>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</si>
  <si>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</si>
  <si>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</si>
  <si>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</si>
  <si>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</si>
  <si>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</si>
  <si>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</si>
  <si>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</si>
  <si>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</si>
  <si>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</si>
  <si>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</si>
  <si>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</si>
  <si>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</si>
  <si>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LOS CONDORES N°1330</t>
  </si>
  <si>
    <t>U9211ZAB</t>
  </si>
  <si>
    <t>U0110</t>
  </si>
  <si>
    <t>ESQUEL</t>
  </si>
  <si>
    <t>U9200ZAB</t>
  </si>
  <si>
    <t>U0112</t>
  </si>
  <si>
    <t>GAIMAN</t>
  </si>
  <si>
    <t>EVANS JUAN CARLOS</t>
  </si>
  <si>
    <t>U9105ZAA</t>
  </si>
  <si>
    <t>U0114</t>
  </si>
  <si>
    <t>PASO DE INDIOS</t>
  </si>
  <si>
    <t>STROBER TEODORO</t>
  </si>
  <si>
    <t>U9207ZAA</t>
  </si>
  <si>
    <t>U0116</t>
  </si>
  <si>
    <t>PUERTO MADRYN</t>
  </si>
  <si>
    <t>MAIZ GOBERNADOR ALEJANDRO</t>
  </si>
  <si>
    <t>U9120ZAA</t>
  </si>
  <si>
    <t>U0118</t>
  </si>
  <si>
    <t>LAGO PUELO</t>
  </si>
  <si>
    <t>AMANCAY</t>
  </si>
  <si>
    <t>U9211ZAA</t>
  </si>
  <si>
    <t>U0120</t>
  </si>
  <si>
    <t>VACCHINA BERNARDO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</si>
  <si>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</si>
  <si>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</si>
  <si>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</si>
  <si>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</si>
  <si>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</si>
  <si>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</si>
  <si>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</si>
  <si>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</si>
  <si>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</si>
  <si>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</si>
  <si>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</si>
  <si>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</si>
  <si>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</si>
  <si>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</si>
  <si>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</si>
  <si>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</si>
  <si>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RUPATINI SANTIAGO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</si>
  <si>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</si>
  <si>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</si>
  <si>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</si>
  <si>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</si>
  <si>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</si>
  <si>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</si>
  <si>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</si>
  <si>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</si>
  <si>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</si>
  <si>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</si>
  <si>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</si>
  <si>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</si>
  <si>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</si>
  <si>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</si>
  <si>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</si>
  <si>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</si>
  <si>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</si>
  <si>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</si>
  <si>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MONTENEGRO RUPERTO</t>
  </si>
  <si>
    <t>W3448ZAA</t>
  </si>
  <si>
    <t>ESQUINA</t>
  </si>
  <si>
    <t>W3196ZAA</t>
  </si>
  <si>
    <t>H3518ZAA</t>
  </si>
  <si>
    <t>H0040</t>
  </si>
  <si>
    <t>LA ESCONDIDA</t>
  </si>
  <si>
    <t>TERESA DE CALCUTA REVERENDA MADRE</t>
  </si>
  <si>
    <t>H3514ZAB</t>
  </si>
  <si>
    <t>H0042</t>
  </si>
  <si>
    <t>LA VERDE</t>
  </si>
  <si>
    <t>H3527ZAA</t>
  </si>
  <si>
    <t>H0044</t>
  </si>
  <si>
    <t>LAS BREÑAS</t>
  </si>
  <si>
    <t>H3724ZAA</t>
  </si>
  <si>
    <t>H0046</t>
  </si>
  <si>
    <t>LAS PALMAS</t>
  </si>
  <si>
    <t>ESCALADA DE SAN MARTIN REMEDIOS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</si>
  <si>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</si>
  <si>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</si>
  <si>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</si>
  <si>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</si>
  <si>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</si>
  <si>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</si>
  <si>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</si>
  <si>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</si>
  <si>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</si>
  <si>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</si>
  <si>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</si>
  <si>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</si>
  <si>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</si>
  <si>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</si>
  <si>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</si>
  <si>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ROMERO OBISPO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</si>
  <si>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</si>
  <si>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</si>
  <si>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</si>
  <si>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</si>
  <si>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</si>
  <si>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</si>
  <si>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</si>
  <si>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</si>
  <si>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</si>
  <si>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</si>
  <si>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</si>
  <si>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NUESTRA SEÑORA DE CAA CATI</t>
  </si>
  <si>
    <t>NIELLA GORDIOLA</t>
  </si>
  <si>
    <t>PESSANO LUIS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</si>
  <si>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</si>
  <si>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</si>
  <si>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</si>
  <si>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</si>
  <si>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</si>
  <si>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</si>
  <si>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</si>
  <si>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</si>
  <si>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</si>
  <si>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</si>
  <si>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</si>
  <si>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</si>
  <si>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</si>
  <si>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</si>
  <si>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</si>
  <si>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</si>
  <si>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</si>
  <si>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</si>
  <si>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SITJANIN JUAN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</si>
  <si>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</si>
  <si>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</si>
  <si>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</si>
  <si>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</si>
  <si>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</si>
  <si>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</si>
  <si>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</si>
  <si>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</si>
  <si>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</si>
  <si>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</si>
  <si>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</si>
  <si>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RODRIGUEZ JUAN</t>
  </si>
  <si>
    <t>X5006ZAA</t>
  </si>
  <si>
    <t>X0007</t>
  </si>
  <si>
    <t>(AG. 22)</t>
  </si>
  <si>
    <t>NUÑEZ RAFAEL</t>
  </si>
  <si>
    <t>X5001ZAB</t>
  </si>
  <si>
    <t>X0008</t>
  </si>
  <si>
    <t>CABRERA MONSEÑOR PABLO</t>
  </si>
  <si>
    <t>X5008ZAA</t>
  </si>
  <si>
    <t>X0009</t>
  </si>
  <si>
    <t>SUCURSAL 9</t>
  </si>
  <si>
    <t>X5009ZAA</t>
  </si>
  <si>
    <t>X0010</t>
  </si>
  <si>
    <t>SUCURSAL 10</t>
  </si>
  <si>
    <t>FUERZA AEREA ARGENTINA</t>
  </si>
  <si>
    <t>X5010ZAA</t>
  </si>
  <si>
    <t>X0011</t>
  </si>
  <si>
    <t>AGENCIA 23 CORDOBA</t>
  </si>
  <si>
    <t>BAS ARTURO M</t>
  </si>
  <si>
    <t>X5000ZAB</t>
  </si>
  <si>
    <t>X0012</t>
  </si>
  <si>
    <t>SUCURSAL 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</si>
  <si>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</si>
  <si>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</si>
  <si>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</si>
  <si>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</si>
  <si>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</si>
  <si>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</si>
  <si>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</si>
  <si>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</si>
  <si>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</si>
  <si>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</si>
  <si>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</si>
  <si>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</si>
  <si>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</si>
  <si>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</si>
  <si>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VIDAL JUAN RAMON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</si>
  <si>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</si>
  <si>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</si>
  <si>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</si>
  <si>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</si>
  <si>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</si>
  <si>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</si>
  <si>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</si>
  <si>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</si>
  <si>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</si>
  <si>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</si>
  <si>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</si>
  <si>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</si>
  <si>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</si>
  <si>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</si>
  <si>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</si>
  <si>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GAMBOA GREGORIO</t>
  </si>
  <si>
    <t>S3089ZAA</t>
  </si>
  <si>
    <t>SEIJAS RAMON</t>
  </si>
  <si>
    <t>B1987ZAA</t>
  </si>
  <si>
    <t>B0973</t>
  </si>
  <si>
    <t>RAUCH</t>
  </si>
  <si>
    <t>LETAMENDI MAURICIO FRANCISCO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</si>
  <si>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</si>
  <si>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</si>
  <si>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</si>
  <si>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</si>
  <si>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</si>
  <si>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</si>
  <si>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</si>
  <si>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</si>
  <si>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</si>
  <si>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</si>
  <si>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</si>
  <si>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SIGEL FEDERICO CARLOS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</si>
  <si>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</si>
  <si>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</si>
  <si>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</si>
  <si>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</si>
  <si>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</si>
  <si>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</si>
  <si>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</si>
  <si>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</si>
  <si>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</si>
  <si>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</si>
  <si>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</si>
  <si>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</si>
  <si>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</si>
  <si>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</si>
  <si>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</si>
  <si>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</si>
  <si>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</si>
  <si>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</si>
  <si>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RIBETTI MIGUEL</t>
  </si>
  <si>
    <t>S2449ZAA</t>
  </si>
  <si>
    <t>S0154</t>
  </si>
  <si>
    <t>S2447ZAA</t>
  </si>
  <si>
    <t>S0156</t>
  </si>
  <si>
    <t>SANTA CLARA DE LA BUENA VISTA</t>
  </si>
  <si>
    <t>RISSO PATRON CORONEL CONRADO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</si>
  <si>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</si>
  <si>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</si>
  <si>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</si>
  <si>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</si>
  <si>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</si>
  <si>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</si>
  <si>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</si>
  <si>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</si>
  <si>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</si>
  <si>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</si>
  <si>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</si>
  <si>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</si>
  <si>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</si>
  <si>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</si>
  <si>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</si>
  <si>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</si>
  <si>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ORTIZ EMILIO DE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</si>
  <si>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</si>
  <si>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</si>
  <si>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</si>
  <si>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</si>
  <si>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</si>
  <si>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</si>
  <si>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</si>
  <si>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</si>
  <si>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</si>
  <si>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LAZARTE JUAN</t>
  </si>
  <si>
    <t>S2146ZAA</t>
  </si>
  <si>
    <t>S0190</t>
  </si>
  <si>
    <t>B1871ZAD</t>
  </si>
  <si>
    <t>C0000</t>
  </si>
  <si>
    <t>PERON TENIENTE GENERAL JUAN DOMINGO</t>
  </si>
  <si>
    <t>CIUDAD AUTONOMA BUENOS AIRES</t>
  </si>
  <si>
    <t>C0001</t>
  </si>
  <si>
    <t>AVENIDA DE MAYO</t>
  </si>
  <si>
    <t>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</si>
  <si>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</si>
  <si>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</si>
  <si>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</si>
  <si>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</si>
  <si>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</si>
  <si>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</si>
  <si>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</si>
  <si>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</si>
  <si>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</si>
  <si>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</si>
  <si>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</si>
  <si>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</si>
  <si>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</si>
  <si>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GALLARDO ANGEL</t>
  </si>
  <si>
    <t>C1405ZAA</t>
  </si>
  <si>
    <t>C0007</t>
  </si>
  <si>
    <t>FLORESTA</t>
  </si>
  <si>
    <t>CARRASCO PEDRO</t>
  </si>
  <si>
    <t>C1407ZAA</t>
  </si>
  <si>
    <t>C0008</t>
  </si>
  <si>
    <t>C1408ZAA</t>
  </si>
  <si>
    <t>C0009</t>
  </si>
  <si>
    <t>MONTE CASTRO</t>
  </si>
  <si>
    <t>ALVAREZ JONTE</t>
  </si>
  <si>
    <t>C1407ZAC</t>
  </si>
  <si>
    <t>C0010</t>
  </si>
  <si>
    <t>RECOLETA</t>
  </si>
  <si>
    <t>C1024ZAA</t>
  </si>
  <si>
    <t>C0011</t>
  </si>
  <si>
    <t>PARQUE CHACABUCO</t>
  </si>
  <si>
    <t>CURAPALIGUE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</si>
  <si>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</si>
  <si>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</si>
  <si>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</si>
  <si>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</si>
  <si>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</si>
  <si>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</si>
  <si>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</si>
  <si>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</si>
  <si>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</si>
  <si>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</si>
  <si>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</si>
  <si>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</si>
  <si>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</si>
  <si>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</si>
  <si>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</si>
  <si>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</si>
  <si>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</si>
  <si>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</si>
  <si>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TERRADA CORONEL JUAN FLORENCIO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</si>
  <si>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</si>
  <si>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</si>
  <si>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</si>
  <si>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</si>
  <si>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</si>
  <si>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</si>
  <si>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</si>
  <si>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</si>
  <si>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</si>
  <si>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</si>
  <si>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</si>
  <si>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</si>
  <si>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</si>
  <si>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</si>
  <si>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</si>
  <si>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</si>
  <si>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</si>
  <si>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</si>
  <si>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</si>
  <si>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LAGOS OVIDIO</t>
  </si>
  <si>
    <t>S2002ZAD</t>
  </si>
  <si>
    <t>S0305</t>
  </si>
  <si>
    <t>SUCURSAL 5 ROSARIO</t>
  </si>
  <si>
    <t>S2002ZAE</t>
  </si>
  <si>
    <t>S0306</t>
  </si>
  <si>
    <t>SUCURSAL 6 ROSARIO</t>
  </si>
  <si>
    <t>ALBERDI BIS JUAN BAUTISTA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</si>
  <si>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</si>
  <si>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</si>
  <si>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</si>
  <si>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</si>
  <si>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</si>
  <si>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</si>
  <si>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</si>
  <si>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</si>
  <si>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</si>
  <si>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</si>
  <si>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</si>
  <si>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</si>
  <si>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</si>
  <si>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</si>
  <si>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</si>
  <si>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</si>
  <si>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</si>
  <si>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</si>
  <si>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ROCHA DARDO</t>
  </si>
  <si>
    <t>B6469ZAA</t>
  </si>
  <si>
    <t>B0368</t>
  </si>
  <si>
    <t>N. DE LA RIESTRA</t>
  </si>
  <si>
    <t>LUGONES BENIGNO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</si>
  <si>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</si>
  <si>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</si>
  <si>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</si>
  <si>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</si>
  <si>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</si>
  <si>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</si>
  <si>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</si>
  <si>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</si>
  <si>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</si>
  <si>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</si>
  <si>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</si>
  <si>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</si>
  <si>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MONTES DOCTOR OSVALDO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</si>
  <si>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</si>
  <si>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</si>
  <si>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</si>
  <si>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</si>
  <si>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</si>
  <si>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</si>
  <si>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</si>
  <si>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</si>
  <si>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</si>
  <si>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</si>
  <si>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</si>
  <si>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</si>
  <si>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</si>
  <si>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</si>
  <si>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</si>
  <si>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</si>
  <si>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TAMBORENEA MARCOS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</si>
  <si>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</si>
  <si>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</si>
  <si>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</si>
  <si>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</si>
  <si>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</si>
  <si>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</si>
  <si>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</si>
  <si>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</si>
  <si>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</si>
  <si>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</si>
  <si>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DUGGAN ANDREA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</si>
  <si>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</si>
  <si>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</si>
  <si>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</si>
  <si>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</si>
  <si>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</si>
  <si>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</si>
  <si>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</si>
  <si>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</si>
  <si>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</si>
  <si>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</si>
  <si>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SAENZ</t>
  </si>
  <si>
    <t>C1437ZAA</t>
  </si>
  <si>
    <t>C0038</t>
  </si>
  <si>
    <t>VILLA SOLDATI</t>
  </si>
  <si>
    <t>MARTI JOSE</t>
  </si>
  <si>
    <t>C1437ZAD</t>
  </si>
  <si>
    <t>C0039</t>
  </si>
  <si>
    <t>VILLA LUGANO</t>
  </si>
  <si>
    <t>DE LA RIESTRA NORBERTO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</si>
  <si>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</si>
  <si>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</si>
  <si>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</si>
  <si>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</si>
  <si>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</si>
  <si>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</si>
  <si>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</si>
  <si>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</si>
  <si>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PLAZA RODRIGUEZ PEÑA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</si>
  <si>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</si>
  <si>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</si>
  <si>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</si>
  <si>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</si>
  <si>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</si>
  <si>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</si>
  <si>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</si>
  <si>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</si>
  <si>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</si>
  <si>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</si>
  <si>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PASTEUR DOCTOR LUIS</t>
  </si>
  <si>
    <t>C1120ZAA</t>
  </si>
  <si>
    <t>C0056</t>
  </si>
  <si>
    <t>PLAZA</t>
  </si>
  <si>
    <t>C1430ZAC</t>
  </si>
  <si>
    <t>C0058</t>
  </si>
  <si>
    <t>CATALINAS CENTRAL</t>
  </si>
  <si>
    <t>ALEM LEANDRO NICEFORO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</si>
  <si>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</si>
  <si>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</si>
  <si>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</si>
  <si>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</si>
  <si>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</si>
  <si>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</si>
  <si>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</si>
  <si>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</si>
  <si>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</si>
  <si>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</si>
  <si>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</si>
  <si>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</si>
  <si>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</si>
  <si>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</si>
  <si>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</si>
  <si>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</si>
  <si>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BOLIVAR GENERAL SIMON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</si>
  <si>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</si>
  <si>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</si>
  <si>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</si>
  <si>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</si>
  <si>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</si>
  <si>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</si>
  <si>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</si>
  <si>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</si>
  <si>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</si>
  <si>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</si>
  <si>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DE LAS AMERICAS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</si>
  <si>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</si>
  <si>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</si>
  <si>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</si>
  <si>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</si>
  <si>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</si>
  <si>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</si>
  <si>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</si>
  <si>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</si>
  <si>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STROEDER HUGO</t>
  </si>
  <si>
    <t>B6339ZAA</t>
  </si>
  <si>
    <t>B0386</t>
  </si>
  <si>
    <t>SALTO</t>
  </si>
  <si>
    <t>B2741ZAA</t>
  </si>
  <si>
    <t>B0387</t>
  </si>
  <si>
    <t>SAN ANDRES DE GILES</t>
  </si>
  <si>
    <t>SAN MARTIN MAESTRO SOULE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</si>
  <si>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</si>
  <si>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</si>
  <si>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</si>
  <si>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</si>
  <si>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</si>
  <si>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</si>
  <si>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</si>
  <si>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</si>
  <si>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CRIADO ALONSO JOSE MARIA</t>
  </si>
  <si>
    <t>B6703ZAA</t>
  </si>
  <si>
    <t>B0392</t>
  </si>
  <si>
    <t>30 DE AGOSTO</t>
  </si>
  <si>
    <t>DEL VALLE ARISTOBULO</t>
  </si>
  <si>
    <t>B6405ZAA</t>
  </si>
  <si>
    <t>B0393</t>
  </si>
  <si>
    <t>TRENQUE LAUQUEN</t>
  </si>
  <si>
    <t>ROCA PRESIDENTE GENERAL JULIO ARGENTINO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</si>
  <si>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</si>
  <si>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</si>
  <si>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</si>
  <si>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</si>
  <si>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</si>
  <si>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</si>
  <si>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</si>
  <si>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</si>
  <si>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</si>
  <si>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</si>
  <si>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</si>
  <si>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MAIORANO MANSUETO</t>
  </si>
  <si>
    <t>B0414</t>
  </si>
  <si>
    <t>CAPILLA DEL SEÑOR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</si>
  <si>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</si>
  <si>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</si>
  <si>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</si>
  <si>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</si>
  <si>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</si>
  <si>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</si>
  <si>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</si>
  <si>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</si>
  <si>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</si>
  <si>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MORENO JOSE LORENZO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</si>
  <si>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</si>
  <si>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</si>
  <si>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</si>
  <si>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</si>
  <si>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</si>
  <si>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</si>
  <si>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</si>
  <si>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</si>
  <si>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</si>
  <si>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</si>
  <si>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</si>
  <si>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</si>
  <si>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</si>
  <si>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CHAÑAR LADEADO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</si>
  <si>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</si>
  <si>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</si>
  <si>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</si>
  <si>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</si>
  <si>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</si>
  <si>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</si>
  <si>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</si>
  <si>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</si>
  <si>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</si>
  <si>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</si>
  <si>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</si>
  <si>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</si>
  <si>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</si>
  <si>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</si>
  <si>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</si>
  <si>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CHRISTOPHERSEN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</si>
  <si>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</si>
  <si>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</si>
  <si>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</si>
  <si>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</si>
  <si>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</si>
  <si>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</si>
  <si>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</si>
  <si>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</si>
  <si>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</si>
  <si>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</si>
  <si>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</si>
  <si>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</si>
  <si>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</si>
  <si>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</si>
  <si>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</si>
  <si>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</si>
  <si>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</si>
  <si>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</si>
  <si>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</si>
  <si>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</si>
  <si>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</si>
  <si>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</si>
  <si>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</si>
  <si>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</si>
  <si>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</si>
  <si>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</si>
  <si>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</si>
  <si>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</si>
  <si>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</si>
  <si>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</si>
  <si>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</si>
  <si>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</si>
  <si>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</si>
  <si>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</si>
  <si>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</si>
  <si>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ARGENTINA REPUBLICA</t>
  </si>
  <si>
    <t>X2572ZAA</t>
  </si>
  <si>
    <t>X0318</t>
  </si>
  <si>
    <t>BELL VILLE</t>
  </si>
  <si>
    <t>X2550ZAA</t>
  </si>
  <si>
    <t>X0324</t>
  </si>
  <si>
    <t>BERROTARAN</t>
  </si>
  <si>
    <t>ESQUIU FRAY MAMERTO</t>
  </si>
  <si>
    <t>E3190ZAA</t>
  </si>
  <si>
    <t>E0056</t>
  </si>
  <si>
    <t>LARROQUE</t>
  </si>
  <si>
    <t>E2854ZAA</t>
  </si>
  <si>
    <t>E0058</t>
  </si>
  <si>
    <t>LUCAS GONZALEZ</t>
  </si>
  <si>
    <t>SOBERANIA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</si>
  <si>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</si>
  <si>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</si>
  <si>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</si>
  <si>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</si>
  <si>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</si>
  <si>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</si>
  <si>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</si>
  <si>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</si>
  <si>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</si>
  <si>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</si>
  <si>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</si>
  <si>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PELLESCHI PEDRO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</si>
  <si>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</si>
  <si>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</si>
  <si>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</si>
  <si>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</si>
  <si>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</si>
  <si>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</si>
  <si>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</si>
  <si>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</si>
  <si>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</si>
  <si>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</si>
  <si>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</si>
  <si>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</si>
  <si>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LOPEZ BRIGADIER ESTANISLAO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</si>
  <si>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</si>
  <si>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</si>
  <si>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</si>
  <si>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</si>
  <si>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</si>
  <si>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</si>
  <si>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</si>
  <si>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</si>
  <si>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</si>
  <si>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</si>
  <si>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TABENI JAIME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</si>
  <si>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</si>
  <si>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</si>
  <si>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</si>
  <si>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</si>
  <si>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</si>
  <si>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</si>
  <si>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</si>
  <si>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</si>
  <si>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</si>
  <si>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</si>
  <si>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</si>
  <si>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</si>
  <si>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</si>
  <si>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</si>
  <si>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</si>
  <si>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</si>
  <si>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</si>
  <si>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1º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</si>
  <si>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</si>
  <si>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</si>
  <si>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</si>
  <si>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</si>
  <si>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</si>
  <si>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</si>
  <si>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</si>
  <si>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</si>
  <si>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</si>
  <si>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</si>
  <si>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</si>
  <si>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LAVALLE GENERAL JUAN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</si>
  <si>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</si>
  <si>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</si>
  <si>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</si>
  <si>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</si>
  <si>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</si>
  <si>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</si>
  <si>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</si>
  <si>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</si>
  <si>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</si>
  <si>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</si>
  <si>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</si>
  <si>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</si>
  <si>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</si>
  <si>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</si>
  <si>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</si>
  <si>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</si>
  <si>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</si>
  <si>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</si>
  <si>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</si>
  <si>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</si>
  <si>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</si>
  <si>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</si>
  <si>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</si>
  <si>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</si>
  <si>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CORDOBA PROVINCIA DE</t>
  </si>
  <si>
    <t>T4000ZAF</t>
  </si>
  <si>
    <t>SAN MIGUEL DE TUCUMAN</t>
  </si>
  <si>
    <t>T0001</t>
  </si>
  <si>
    <t>SUCURSAL Nº 1</t>
  </si>
  <si>
    <t>T4000ZAB</t>
  </si>
  <si>
    <t>T0002</t>
  </si>
  <si>
    <t>SUCURSAL Nº 2</t>
  </si>
  <si>
    <t>T4002ZAA</t>
  </si>
  <si>
    <t>T0003</t>
  </si>
  <si>
    <t>SUCURSAL Nº 3</t>
  </si>
  <si>
    <t>T4002ZAB</t>
  </si>
  <si>
    <t>T0004</t>
  </si>
  <si>
    <t>AGUILARES</t>
  </si>
  <si>
    <t>MARMOL JOSE</t>
  </si>
  <si>
    <t>T4152ZAA</t>
  </si>
  <si>
    <t>T0005</t>
  </si>
  <si>
    <t>ALDERETES</t>
  </si>
  <si>
    <t>T4178ZAA</t>
  </si>
  <si>
    <t>T0006</t>
  </si>
  <si>
    <t>PADILLA ERNESTO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</si>
  <si>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</si>
  <si>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</si>
  <si>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</si>
  <si>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</si>
  <si>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</si>
  <si>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</si>
  <si>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</si>
  <si>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</si>
  <si>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</si>
  <si>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</si>
  <si>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</si>
  <si>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</si>
  <si>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</si>
  <si>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</si>
  <si>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</si>
  <si>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</si>
  <si>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</si>
  <si>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</si>
  <si>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</si>
  <si>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</si>
  <si>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</si>
  <si>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</si>
  <si>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</si>
  <si>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</si>
  <si>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</si>
  <si>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</si>
  <si>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</si>
  <si>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LIBERTADOR</t>
  </si>
  <si>
    <t>T4135ZAA</t>
  </si>
  <si>
    <t>T0028</t>
  </si>
  <si>
    <t>J.B. ALBERDI</t>
  </si>
  <si>
    <t>T4161ZAA</t>
  </si>
  <si>
    <t>T0030</t>
  </si>
  <si>
    <t>LA COCHA</t>
  </si>
  <si>
    <t>T4162ZAA</t>
  </si>
  <si>
    <t>TAMA</t>
  </si>
  <si>
    <t>AV. 25 DE MAYO SUD Nº 70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</si>
  <si>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</si>
  <si>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</si>
  <si>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</si>
  <si>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</si>
  <si>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</si>
  <si>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</si>
  <si>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</si>
  <si>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</si>
  <si>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</si>
  <si>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</si>
  <si>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</si>
  <si>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</si>
  <si>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</si>
  <si>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</si>
  <si>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</si>
  <si>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</si>
  <si>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</si>
  <si>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</si>
  <si>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</si>
  <si>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</si>
  <si>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</si>
  <si>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DAVILA CORONEL NICOLAS</t>
  </si>
  <si>
    <t>F5350ZAA</t>
  </si>
  <si>
    <t>F0066</t>
  </si>
  <si>
    <t>VINCHINA</t>
  </si>
  <si>
    <t>F5357ZAA</t>
  </si>
  <si>
    <t>F3045</t>
  </si>
  <si>
    <t>F5300ZAC</t>
  </si>
  <si>
    <t>F3047</t>
  </si>
  <si>
    <t>SUC.3 RIVADAVIA</t>
  </si>
  <si>
    <t>ORTIZ DE OCAMPO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</si>
  <si>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</si>
  <si>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</si>
  <si>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</si>
  <si>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</si>
  <si>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</si>
  <si>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</si>
  <si>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</si>
  <si>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</si>
  <si>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</si>
  <si>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</si>
  <si>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</si>
  <si>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</si>
  <si>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</si>
  <si>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</si>
  <si>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</si>
  <si>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</si>
  <si>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GORRITI JOSE IGNACIO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</si>
  <si>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</si>
  <si>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</si>
  <si>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</si>
  <si>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</si>
  <si>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</si>
  <si>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</si>
  <si>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</si>
  <si>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</si>
  <si>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</si>
  <si>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</si>
  <si>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</si>
  <si>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</si>
  <si>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</si>
  <si>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</si>
  <si>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</si>
  <si>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</si>
  <si>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</si>
  <si>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</si>
  <si>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</si>
  <si>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</si>
  <si>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</si>
  <si>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PALPALÁ</t>
  </si>
  <si>
    <t>REPúBLICA DE SIRIA  ESQ GENDAR NACIONAL</t>
  </si>
  <si>
    <t>Y4612ZAA</t>
  </si>
  <si>
    <t>URIARTE FRANCISCO DE</t>
  </si>
  <si>
    <t>G4197ZAA</t>
  </si>
  <si>
    <t>G0048</t>
  </si>
  <si>
    <t>OJO DE AGUA</t>
  </si>
  <si>
    <t>POSTE</t>
  </si>
  <si>
    <t>RESTANTE</t>
  </si>
  <si>
    <t>ANTARTIDA ARGENTINA</t>
  </si>
  <si>
    <t>B1833ZAB</t>
  </si>
  <si>
    <t>B0095</t>
  </si>
  <si>
    <t>SAN FRANCISCO SOLANO</t>
  </si>
  <si>
    <t>B1881ZAA</t>
  </si>
  <si>
    <t>B0096</t>
  </si>
  <si>
    <t>LAFERRERE</t>
  </si>
  <si>
    <t>ECHEVERRIA ESTEBAN</t>
  </si>
  <si>
    <t>B1757ZAB</t>
  </si>
  <si>
    <t>GREGORIO DE LAFERRERE</t>
  </si>
  <si>
    <t>B0097</t>
  </si>
  <si>
    <t>RANELAGH</t>
  </si>
  <si>
    <t>SABIN DOCTOR ALBERTO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</si>
  <si>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</si>
  <si>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</si>
  <si>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</si>
  <si>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</si>
  <si>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</si>
  <si>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</si>
  <si>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</si>
  <si>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</si>
  <si>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</si>
  <si>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</si>
  <si>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</si>
  <si>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</si>
  <si>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</si>
  <si>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</si>
  <si>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</si>
  <si>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</si>
  <si>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</si>
  <si>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</si>
  <si>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EQUIZA DOCTOR JOSE</t>
  </si>
  <si>
    <t>B1759ZAB</t>
  </si>
  <si>
    <t>B0103</t>
  </si>
  <si>
    <t>BROWN ALMIRANTE GUILLERMO</t>
  </si>
  <si>
    <t>B1834ZAB</t>
  </si>
  <si>
    <t>B0083</t>
  </si>
  <si>
    <t>VALENTIN ALSINA</t>
  </si>
  <si>
    <t>FARREL JUAN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</si>
  <si>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</si>
  <si>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</si>
  <si>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</si>
  <si>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</si>
  <si>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</si>
  <si>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</si>
  <si>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</si>
  <si>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</si>
  <si>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</si>
  <si>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</si>
  <si>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</si>
  <si>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</si>
  <si>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</si>
  <si>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</si>
  <si>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D ELIA CORONEL</t>
  </si>
  <si>
    <t>B1824ZAC</t>
  </si>
  <si>
    <t>LANUS OESTE</t>
  </si>
  <si>
    <t>B0088</t>
  </si>
  <si>
    <t>VILLA MADERO</t>
  </si>
  <si>
    <t>SANCHEZ DE THOMPSON MARIQUITA</t>
  </si>
  <si>
    <t>B1768ZAA</t>
  </si>
  <si>
    <t>B0089</t>
  </si>
  <si>
    <t>VILLA PORVENIR</t>
  </si>
  <si>
    <t>GALICIA</t>
  </si>
  <si>
    <t>B1868ZAA</t>
  </si>
  <si>
    <t>PIÑEYRO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</si>
  <si>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</si>
  <si>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</si>
  <si>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</si>
  <si>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</si>
  <si>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</si>
  <si>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</si>
  <si>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</si>
  <si>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</si>
  <si>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</si>
  <si>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</si>
  <si>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</si>
  <si>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ORELL TOMAS</t>
  </si>
  <si>
    <t>R8328ZAA</t>
  </si>
  <si>
    <t>R0204</t>
  </si>
  <si>
    <t>BARDA DEL MEDIO</t>
  </si>
  <si>
    <t>SEVERINI INGENIERO DECIO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</si>
  <si>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</si>
  <si>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</si>
  <si>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</si>
  <si>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</si>
  <si>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</si>
  <si>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</si>
  <si>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</si>
  <si>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</si>
  <si>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</si>
  <si>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</si>
  <si>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</si>
  <si>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</si>
  <si>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BLUMETTI</t>
  </si>
  <si>
    <t>R8303ZAA</t>
  </si>
  <si>
    <t>R0214</t>
  </si>
  <si>
    <t>CIPOLLETTI</t>
  </si>
  <si>
    <t>IBAÑEZ TENIENTE PRIMERO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</si>
  <si>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</si>
  <si>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</si>
  <si>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</si>
  <si>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</si>
  <si>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</si>
  <si>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</si>
  <si>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</si>
  <si>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</si>
  <si>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</si>
  <si>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P.R.S.PEÑA</t>
  </si>
  <si>
    <t>H3700ZAA</t>
  </si>
  <si>
    <t>PRESIDENCIA ROQUE SAENZ PEÑA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</si>
  <si>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</si>
  <si>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</si>
  <si>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</si>
  <si>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</si>
  <si>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</si>
  <si>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</si>
  <si>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</si>
  <si>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AÑELO</t>
  </si>
  <si>
    <t>Q8312ZAA</t>
  </si>
  <si>
    <t>Q0034</t>
  </si>
  <si>
    <t>PLOTTIER</t>
  </si>
  <si>
    <t>ELORDI GOBERNADOR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</si>
  <si>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</si>
  <si>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</si>
  <si>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</si>
  <si>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</si>
  <si>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</si>
  <si>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</si>
  <si>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</si>
  <si>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</si>
  <si>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</si>
  <si>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</si>
  <si>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</si>
  <si>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</si>
  <si>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</si>
  <si>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</si>
  <si>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</si>
  <si>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</si>
  <si>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SAUREL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</si>
  <si>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</si>
  <si>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</si>
  <si>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</si>
  <si>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</si>
  <si>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</si>
  <si>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</si>
  <si>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</si>
  <si>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</si>
  <si>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</si>
  <si>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</si>
  <si>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</si>
  <si>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</si>
  <si>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SAN PATRICIO DEL CHAÑAR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</si>
  <si>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</si>
  <si>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</si>
  <si>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</si>
  <si>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</si>
  <si>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</si>
  <si>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</si>
  <si>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</si>
  <si>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</si>
  <si>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</si>
  <si>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</si>
  <si>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</si>
  <si>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</si>
  <si>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</si>
  <si>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</si>
  <si>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</si>
  <si>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</si>
  <si>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</si>
  <si>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</si>
  <si>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</si>
  <si>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</si>
  <si>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</si>
  <si>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</si>
  <si>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</si>
  <si>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</si>
  <si>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</si>
  <si>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</si>
  <si>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</si>
  <si>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</si>
  <si>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</si>
  <si>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</si>
  <si>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</si>
  <si>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</si>
  <si>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</si>
  <si>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</si>
  <si>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</si>
  <si>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</si>
  <si>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AVELLANEDA PRESIDENTE NICOLAS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</si>
  <si>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</si>
  <si>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</si>
  <si>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</si>
  <si>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</si>
  <si>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</si>
  <si>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</si>
  <si>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</si>
  <si>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</si>
  <si>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</si>
  <si>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</si>
  <si>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</si>
  <si>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AGENCIA HUDSON</t>
  </si>
  <si>
    <t>ESTEVEZ BOMBERO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</si>
  <si>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</si>
  <si>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</si>
  <si>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</si>
  <si>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</si>
  <si>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</si>
  <si>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</si>
  <si>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</si>
  <si>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</si>
  <si>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</si>
  <si>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</si>
  <si>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</si>
  <si>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</si>
  <si>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</si>
  <si>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</si>
  <si>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</si>
  <si>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</si>
  <si>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</si>
  <si>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</si>
  <si>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</si>
  <si>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</si>
  <si>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</si>
  <si>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</si>
  <si>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</si>
  <si>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</si>
  <si>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</si>
  <si>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IRIGOYEN CORONEL MARTIN DOMINGO</t>
  </si>
  <si>
    <t>B1712ZAA</t>
  </si>
  <si>
    <t>B0164</t>
  </si>
  <si>
    <t>CIUDADELA</t>
  </si>
  <si>
    <t>RIVADAVIA</t>
  </si>
  <si>
    <t>B1702ZAA</t>
  </si>
  <si>
    <t>B0166</t>
  </si>
  <si>
    <t>EL PALOMAR</t>
  </si>
  <si>
    <t>MARCONI INGENIERO GUILLERMO</t>
  </si>
  <si>
    <t>B1685ZAB</t>
  </si>
  <si>
    <t>CIUDAD JARDIN DEL PALOMAR</t>
  </si>
  <si>
    <t>B0167</t>
  </si>
  <si>
    <t>X5184ZAA</t>
  </si>
  <si>
    <t>X0054</t>
  </si>
  <si>
    <t>COLONIA CAROYA (AG. 60)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</si>
  <si>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</si>
  <si>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</si>
  <si>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</si>
  <si>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</si>
  <si>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</si>
  <si>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</si>
  <si>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</si>
  <si>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</si>
  <si>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</si>
  <si>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</si>
  <si>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</si>
  <si>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DESPEÑADEROS (AG. 30)</t>
  </si>
  <si>
    <t>X5121ZAA</t>
  </si>
  <si>
    <t>DESPEÑADEROS</t>
  </si>
  <si>
    <t>X0070</t>
  </si>
  <si>
    <t>DEVOTO</t>
  </si>
  <si>
    <t>X2424ZAA</t>
  </si>
  <si>
    <t>X0072</t>
  </si>
  <si>
    <t>EL ARAÑADO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</si>
  <si>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</si>
  <si>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</si>
  <si>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</si>
  <si>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</si>
  <si>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</si>
  <si>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</si>
  <si>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</si>
  <si>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</si>
  <si>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</si>
  <si>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</si>
  <si>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</si>
  <si>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</si>
  <si>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</si>
  <si>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</si>
  <si>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</si>
  <si>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 (AG. 80)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</si>
  <si>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</si>
  <si>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</si>
  <si>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</si>
  <si>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</si>
  <si>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</si>
  <si>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</si>
  <si>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</si>
  <si>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</si>
  <si>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</si>
  <si>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</si>
  <si>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</si>
  <si>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</si>
  <si>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LENCINAS PASCUAL</t>
  </si>
  <si>
    <t>X2425ZAA</t>
  </si>
  <si>
    <t>X0100</t>
  </si>
  <si>
    <t>LA GRANJA (AG. 59)</t>
  </si>
  <si>
    <t>LOS ALERCES ESQ LOS FRESNOS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</si>
  <si>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</si>
  <si>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</si>
  <si>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</si>
  <si>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</si>
  <si>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</si>
  <si>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</si>
  <si>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</si>
  <si>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</si>
  <si>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</si>
  <si>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</si>
  <si>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</si>
  <si>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</si>
  <si>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</si>
  <si>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</si>
  <si>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</si>
  <si>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</si>
  <si>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</si>
  <si>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</si>
  <si>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</si>
  <si>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</si>
  <si>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</si>
  <si>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</si>
  <si>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SUCURSAL 3 LA PLATA</t>
  </si>
  <si>
    <t>B1908ZAA</t>
  </si>
  <si>
    <t>B0204</t>
  </si>
  <si>
    <t>SUCURSAL 4 LA PLATA</t>
  </si>
  <si>
    <t>B1906ZAA</t>
  </si>
  <si>
    <t>B0205</t>
  </si>
  <si>
    <t>SUCURSAL 5 LA PLATA</t>
  </si>
  <si>
    <t>B1900ZAC</t>
  </si>
  <si>
    <t>B0206</t>
  </si>
  <si>
    <t>SUCURSAL 6 LA PLATA</t>
  </si>
  <si>
    <t>B1910ZAA</t>
  </si>
  <si>
    <t>B0207</t>
  </si>
  <si>
    <t>SUCURSAL 7 LA PLATA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</si>
  <si>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</si>
  <si>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</si>
  <si>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</si>
  <si>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</si>
  <si>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</si>
  <si>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</si>
  <si>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</si>
  <si>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</si>
  <si>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</si>
  <si>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</si>
  <si>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</si>
  <si>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</si>
  <si>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</si>
  <si>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</si>
  <si>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</si>
  <si>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</si>
  <si>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CAÑUELAS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</si>
  <si>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</si>
  <si>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</si>
  <si>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</si>
  <si>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</si>
  <si>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</si>
  <si>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</si>
  <si>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</si>
  <si>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</si>
  <si>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</si>
  <si>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SEGOVIA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</si>
  <si>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</si>
  <si>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</si>
  <si>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</si>
  <si>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</si>
  <si>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</si>
  <si>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</si>
  <si>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</si>
  <si>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</si>
  <si>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</si>
  <si>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</si>
  <si>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</si>
  <si>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</si>
  <si>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</si>
  <si>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</si>
  <si>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</si>
  <si>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</si>
  <si>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</si>
  <si>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BAÑADO DE OVANTA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</si>
  <si>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</si>
  <si>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</si>
  <si>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</si>
  <si>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</si>
  <si>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</si>
  <si>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</si>
  <si>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</si>
  <si>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</si>
  <si>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</si>
  <si>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CALLE  SIN NOMBRE Y S/Nº</t>
  </si>
  <si>
    <t>K4743ZAA</t>
  </si>
  <si>
    <t>K0020</t>
  </si>
  <si>
    <t>EL RODEO</t>
  </si>
  <si>
    <t>LAS DALIAS</t>
  </si>
  <si>
    <t>K4715ZAB</t>
  </si>
  <si>
    <t>K0024</t>
  </si>
  <si>
    <t>FIAMBALA</t>
  </si>
  <si>
    <t>LAS AMERICAS</t>
  </si>
  <si>
    <t>K5345ZAA</t>
  </si>
  <si>
    <t>K0030</t>
  </si>
  <si>
    <t>HUILLAPIMA</t>
  </si>
  <si>
    <t>CALLE PUBLICA S/N</t>
  </si>
  <si>
    <t>K4728ZAB</t>
  </si>
  <si>
    <t>K0032</t>
  </si>
  <si>
    <t>LA MERCED</t>
  </si>
  <si>
    <t>AREDES SEGUNDO MATIAS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</si>
  <si>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</si>
  <si>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</si>
  <si>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</si>
  <si>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</si>
  <si>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</si>
  <si>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</si>
  <si>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</si>
  <si>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</si>
  <si>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</si>
  <si>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PEREZ DE ZURITA JUAN</t>
  </si>
  <si>
    <t>K4753ZAB</t>
  </si>
  <si>
    <t>LONDRES</t>
  </si>
  <si>
    <t>K0044</t>
  </si>
  <si>
    <t>LOS ALTOS</t>
  </si>
  <si>
    <t>SOBRE RUTA NAC Nº 64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</si>
  <si>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</si>
  <si>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</si>
  <si>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</si>
  <si>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</si>
  <si>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</si>
  <si>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</si>
  <si>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</si>
  <si>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CABRERA JERONIMO LUIS DE</t>
  </si>
  <si>
    <t>K5315ZAA</t>
  </si>
  <si>
    <t>K0054</t>
  </si>
  <si>
    <t>RECREO</t>
  </si>
  <si>
    <t>SABAGH DOCTOR RAUL</t>
  </si>
  <si>
    <t>K5260ZAA</t>
  </si>
  <si>
    <t>K0056</t>
  </si>
  <si>
    <t>SAN ANTONIO DE LA PAZ</t>
  </si>
  <si>
    <t>COLOMBRES JOSE EUSEBIO</t>
  </si>
  <si>
    <t>K5264ZAA</t>
  </si>
  <si>
    <t>K0058</t>
  </si>
  <si>
    <t>16 DE AGOSTO</t>
  </si>
  <si>
    <t>K4139ZAB</t>
  </si>
  <si>
    <t>K0060</t>
  </si>
  <si>
    <t>SANTA MARIA</t>
  </si>
  <si>
    <t>DE LA QUINTANA DOCTOR TOMAS MARIA</t>
  </si>
  <si>
    <t>K4011ZAA</t>
  </si>
  <si>
    <t>K0064</t>
  </si>
  <si>
    <t>SAUJIL</t>
  </si>
  <si>
    <t>NIEVA Y CASTILLA E DE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</si>
  <si>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</si>
  <si>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</si>
  <si>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</si>
  <si>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</si>
  <si>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</si>
  <si>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</si>
  <si>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</si>
  <si>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</si>
  <si>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</si>
  <si>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</si>
  <si>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</si>
  <si>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</si>
  <si>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</si>
  <si>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</si>
  <si>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</si>
  <si>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</si>
  <si>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</si>
  <si>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</si>
  <si>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</si>
  <si>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</si>
  <si>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</si>
  <si>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</si>
  <si>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ARTIGAS GENERAL JOSE GERVASIO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</si>
  <si>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</si>
  <si>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</si>
  <si>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</si>
  <si>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</si>
  <si>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</si>
  <si>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</si>
  <si>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</si>
  <si>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</si>
  <si>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</si>
  <si>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</si>
  <si>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</si>
  <si>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</si>
  <si>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</si>
  <si>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</si>
  <si>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</si>
  <si>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</si>
  <si>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DIAZ CORONEL</t>
  </si>
  <si>
    <t>C1425ZAC</t>
  </si>
  <si>
    <t>D0000</t>
  </si>
  <si>
    <t>D0001</t>
  </si>
  <si>
    <t>Nº 1 SAN LUIS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</si>
  <si>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</si>
  <si>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</si>
  <si>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</si>
  <si>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</si>
  <si>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</si>
  <si>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</si>
  <si>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</si>
  <si>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</si>
  <si>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</si>
  <si>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</si>
  <si>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</si>
  <si>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</si>
  <si>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</si>
  <si>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PEREZ ROBERTO</t>
  </si>
  <si>
    <t>L6220ZAA</t>
  </si>
  <si>
    <t>L0012</t>
  </si>
  <si>
    <t>BERNASCONI</t>
  </si>
  <si>
    <t>NIEVES ROMUALDO Y PEDRO</t>
  </si>
  <si>
    <t>L8204ZAA</t>
  </si>
  <si>
    <t>L0014</t>
  </si>
  <si>
    <t>CALEUFU</t>
  </si>
  <si>
    <t>SAN CARLOS MINAS (AG. 52)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</si>
  <si>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</si>
  <si>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</si>
  <si>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</si>
  <si>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</si>
  <si>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</si>
  <si>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</si>
  <si>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</si>
  <si>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</si>
  <si>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</si>
  <si>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SAN MARCO SIERRAS (AG. 50)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</si>
  <si>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</si>
  <si>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</si>
  <si>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</si>
  <si>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</si>
  <si>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</si>
  <si>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</si>
  <si>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</si>
  <si>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SANTIAGO TEMPLE (AG. 34)</t>
  </si>
  <si>
    <t>LUGONES LEOPOLDO</t>
  </si>
  <si>
    <t>X5124ZAA</t>
  </si>
  <si>
    <t>SANTIAGO TEMPLE</t>
  </si>
  <si>
    <t>X0176</t>
  </si>
  <si>
    <t>D0018</t>
  </si>
  <si>
    <t>D5709ZAA</t>
  </si>
  <si>
    <t>D0020</t>
  </si>
  <si>
    <t>VILLA MERCEDES</t>
  </si>
  <si>
    <t>GUILLET LEON</t>
  </si>
  <si>
    <t>D5732ZAA</t>
  </si>
  <si>
    <t>D0022</t>
  </si>
  <si>
    <t>Nº 1 VILLA MERCEDES</t>
  </si>
  <si>
    <t>D5732ZAB</t>
  </si>
  <si>
    <t>D0024</t>
  </si>
  <si>
    <t>MERCAU CORONEL NICASIO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</si>
  <si>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</si>
  <si>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</si>
  <si>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</si>
  <si>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</si>
  <si>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</si>
  <si>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</si>
  <si>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</si>
  <si>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</si>
  <si>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</si>
  <si>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</si>
  <si>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</si>
  <si>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</si>
  <si>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</si>
  <si>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</si>
  <si>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</si>
  <si>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SAN MARTÍN</t>
  </si>
  <si>
    <t>LAFINUR</t>
  </si>
  <si>
    <t>D5755ZAA</t>
  </si>
  <si>
    <t>D0040</t>
  </si>
  <si>
    <t>FERREYRA OBISPO</t>
  </si>
  <si>
    <t>X5963ZAA</t>
  </si>
  <si>
    <t>X0204</t>
  </si>
  <si>
    <t>VILLA DEL TOTORAL (AG. 61)</t>
  </si>
  <si>
    <t>MOYANO DIOGENES</t>
  </si>
  <si>
    <t>X5236ZAA</t>
  </si>
  <si>
    <t>VILLA DEL TOTORAL</t>
  </si>
  <si>
    <t>X0210</t>
  </si>
  <si>
    <t>VILLA DOLORES</t>
  </si>
  <si>
    <t>X5870ZAA</t>
  </si>
  <si>
    <t>X0212</t>
  </si>
  <si>
    <t>SAN FRANCISCO DEL CHANAR (AG.</t>
  </si>
  <si>
    <t>X5209ZAA</t>
  </si>
  <si>
    <t>SAN FRANCISCO DEL CHAÑAR</t>
  </si>
  <si>
    <t>X0214</t>
  </si>
  <si>
    <t>MALAGUEÑO</t>
  </si>
  <si>
    <t>X4687ZAA</t>
  </si>
  <si>
    <t>X0300</t>
  </si>
  <si>
    <t>RIO CUARTO</t>
  </si>
  <si>
    <t>X5806ZAB</t>
  </si>
  <si>
    <t>X0302</t>
  </si>
  <si>
    <t>ALBERDI (AG. 1)</t>
  </si>
  <si>
    <t>X5808ZAA</t>
  </si>
  <si>
    <t>X0303</t>
  </si>
  <si>
    <t>AGENCIA 5 RIO CUARTO</t>
  </si>
  <si>
    <t>SABATTINI DOCTOR AMADEO</t>
  </si>
  <si>
    <t>X5806ZAA</t>
  </si>
  <si>
    <t>X0304</t>
  </si>
  <si>
    <t>AGENCIA 4 RIO CUARTO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</si>
  <si>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</si>
  <si>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</si>
  <si>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</si>
  <si>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</si>
  <si>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</si>
  <si>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</si>
  <si>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</si>
  <si>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</si>
  <si>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</si>
  <si>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</si>
  <si>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</si>
  <si>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</si>
  <si>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</si>
  <si>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</si>
  <si>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</si>
  <si>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</si>
  <si>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</si>
  <si>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</si>
  <si>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</si>
  <si>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</si>
  <si>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</si>
  <si>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</si>
  <si>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</si>
  <si>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INFANTES RAMON</t>
  </si>
  <si>
    <t>X2594ZAA</t>
  </si>
  <si>
    <t>X0408</t>
  </si>
  <si>
    <t>LOS SURGENTES</t>
  </si>
  <si>
    <t>GARZON GOBERNADOR</t>
  </si>
  <si>
    <t>X2581ZAA</t>
  </si>
  <si>
    <t>X0410</t>
  </si>
  <si>
    <t>LOS CONDORES</t>
  </si>
  <si>
    <t>X5823ZAA</t>
  </si>
  <si>
    <t>X0412</t>
  </si>
  <si>
    <t>LAS HIGUERAS (AG. 2)</t>
  </si>
  <si>
    <t>NEWBERY JORGE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</si>
  <si>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</si>
  <si>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</si>
  <si>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</si>
  <si>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</si>
  <si>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</si>
  <si>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</si>
  <si>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</si>
  <si>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</si>
  <si>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</si>
  <si>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</si>
  <si>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</si>
  <si>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</si>
  <si>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</si>
  <si>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</si>
  <si>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</si>
  <si>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</si>
  <si>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</si>
  <si>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</si>
  <si>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</si>
  <si>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</si>
  <si>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</si>
  <si>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</si>
  <si>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</si>
  <si>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</si>
  <si>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</si>
  <si>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</si>
  <si>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</si>
  <si>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</si>
  <si>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</si>
  <si>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</si>
  <si>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</si>
  <si>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</si>
  <si>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</si>
  <si>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COLONIA TIROLESA (AG. 8)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</si>
  <si>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</si>
  <si>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</si>
  <si>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</si>
  <si>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</si>
  <si>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</si>
  <si>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</si>
  <si>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</si>
  <si>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</si>
  <si>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</si>
  <si>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</si>
  <si>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</si>
  <si>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</si>
  <si>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</si>
  <si>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DEL TE</t>
  </si>
  <si>
    <t>N3375ZAA</t>
  </si>
  <si>
    <t>N0018</t>
  </si>
  <si>
    <t>TARELLI CARLOS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</si>
  <si>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</si>
  <si>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</si>
  <si>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</si>
  <si>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</si>
  <si>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</si>
  <si>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</si>
  <si>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</si>
  <si>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</si>
  <si>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</si>
  <si>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</si>
  <si>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</si>
  <si>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</si>
  <si>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</si>
  <si>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</si>
  <si>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</si>
  <si>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</si>
  <si>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SALTA PROVINCIA DE</t>
  </si>
  <si>
    <t>A4190ZAA</t>
  </si>
  <si>
    <t>A0030</t>
  </si>
  <si>
    <t>ROSARIO DE  LERMA</t>
  </si>
  <si>
    <t>PELLEGRINI CARLOS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</si>
  <si>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</si>
  <si>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</si>
  <si>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</si>
  <si>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</si>
  <si>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</si>
  <si>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</si>
  <si>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</si>
  <si>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</si>
  <si>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</si>
  <si>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</si>
  <si>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</si>
  <si>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LOPEZ Y PLANES VICENTE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</si>
  <si>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</si>
  <si>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</si>
  <si>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</si>
  <si>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</si>
  <si>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</si>
  <si>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</si>
  <si>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</si>
  <si>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</si>
  <si>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</si>
  <si>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AGENCIA POSTAL Nº 2</t>
  </si>
  <si>
    <t>URQUIZA GENERAL JUSTO JOSE DE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</si>
  <si>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</si>
  <si>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</si>
  <si>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</si>
  <si>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</si>
  <si>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</si>
  <si>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</si>
  <si>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</si>
  <si>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 xml:space="preserve">                              </t>
  </si>
  <si>
    <t>A4561ZAA</t>
  </si>
  <si>
    <t>A1217</t>
  </si>
  <si>
    <t>AGENCIA POSTAL Nº 4</t>
  </si>
  <si>
    <t>DE LOS INCAS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</si>
  <si>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</si>
  <si>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</si>
  <si>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</si>
  <si>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</si>
  <si>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</si>
  <si>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</si>
  <si>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</si>
  <si>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</si>
  <si>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AGENCIA ANISACATE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</si>
  <si>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</si>
  <si>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</si>
  <si>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</si>
  <si>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</si>
  <si>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</si>
  <si>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</si>
  <si>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</si>
  <si>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</si>
  <si>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</si>
  <si>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</si>
  <si>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</si>
  <si>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</si>
  <si>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</si>
  <si>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BELGRANO MANUEL</t>
  </si>
  <si>
    <t>B1663ZAB</t>
  </si>
  <si>
    <t>B0031</t>
  </si>
  <si>
    <t>BELLA VISTA</t>
  </si>
  <si>
    <t>MORON SENADOR</t>
  </si>
  <si>
    <t>B1661ZAA</t>
  </si>
  <si>
    <t>B0032</t>
  </si>
  <si>
    <t>BOULOGNE</t>
  </si>
  <si>
    <t>ROLON AVELINO</t>
  </si>
  <si>
    <t>B1609ZAA</t>
  </si>
  <si>
    <t>B0033</t>
  </si>
  <si>
    <t>HURLINGHAM</t>
  </si>
  <si>
    <t>JAURETCHE DOCTOR ARTURO</t>
  </si>
  <si>
    <t>B1686ZAB</t>
  </si>
  <si>
    <t>B0034</t>
  </si>
  <si>
    <t>JOSE C. PAZ</t>
  </si>
  <si>
    <t>SAENZ PEÑA ROQUE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</si>
  <si>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</si>
  <si>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</si>
  <si>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</si>
  <si>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</si>
  <si>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</si>
  <si>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</si>
  <si>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</si>
  <si>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ALVEAR PRESIDENTE MARCELO TORCUATO DE</t>
  </si>
  <si>
    <t>B1611ZAB</t>
  </si>
  <si>
    <t>B0037</t>
  </si>
  <si>
    <t>GRAND BOURG</t>
  </si>
  <si>
    <t>SEGUI ALMIRANTE FRANCISCO JOSE</t>
  </si>
  <si>
    <t>B1615ZAB</t>
  </si>
  <si>
    <t>B0038</t>
  </si>
  <si>
    <t>DEL VISO</t>
  </si>
  <si>
    <t>MADERO INGENIERO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</si>
  <si>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</si>
  <si>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</si>
  <si>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</si>
  <si>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</si>
  <si>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</si>
  <si>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</si>
  <si>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</si>
  <si>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</si>
  <si>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</si>
  <si>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</si>
  <si>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</si>
  <si>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</si>
  <si>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</si>
  <si>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</si>
  <si>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</si>
  <si>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MITRE PRESIDENTE BARTOLOME</t>
  </si>
  <si>
    <t>B1872ZAA</t>
  </si>
  <si>
    <t>CRUCESITA</t>
  </si>
  <si>
    <t>B0062</t>
  </si>
  <si>
    <t>ALMIRANTE BROWN (ADROGUE)</t>
  </si>
  <si>
    <t>ADROGUE ESTEBAN</t>
  </si>
  <si>
    <t>B1846ZAB</t>
  </si>
  <si>
    <t>ADROGUE</t>
  </si>
  <si>
    <t>B0063</t>
  </si>
  <si>
    <t>AVELLANEDA</t>
  </si>
  <si>
    <t>BELGRANO DOCTOR MANUEL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</si>
  <si>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</si>
  <si>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</si>
  <si>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</si>
  <si>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</si>
  <si>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</si>
  <si>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</si>
  <si>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</si>
  <si>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</si>
  <si>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</si>
  <si>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ESPAÑA</t>
  </si>
  <si>
    <t>B1888ZAC</t>
  </si>
  <si>
    <t>B0069</t>
  </si>
  <si>
    <t>GERLI</t>
  </si>
  <si>
    <t>YRIGOYEN PRESIDENTE HIPOLITO</t>
  </si>
  <si>
    <t>B1823ZAA</t>
  </si>
  <si>
    <t>B0070</t>
  </si>
  <si>
    <t>ISIDRO CASANOVA</t>
  </si>
  <si>
    <t>ROSAS BRIGADIER GENERAL JUAN MANUEL DE</t>
  </si>
  <si>
    <t>B1765ZAA</t>
  </si>
  <si>
    <t>B0071</t>
  </si>
  <si>
    <t>JOSE MARMOL</t>
  </si>
  <si>
    <t>MITRE</t>
  </si>
  <si>
    <t>B1845ZAA</t>
  </si>
  <si>
    <t>B0072</t>
  </si>
  <si>
    <t>LANUS</t>
  </si>
  <si>
    <t>O HIGGINS GENERAL BERNARDO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</si>
  <si>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</si>
  <si>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</si>
  <si>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</si>
  <si>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</si>
  <si>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</si>
  <si>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</si>
  <si>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</si>
  <si>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</si>
  <si>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</si>
  <si>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</si>
  <si>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</si>
  <si>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</si>
  <si>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</si>
  <si>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</si>
  <si>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</si>
  <si>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</si>
  <si>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</si>
  <si>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</si>
  <si>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</si>
  <si>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CROVARA INTENDENTE ESTEBAN JUAN S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</si>
  <si>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</si>
  <si>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</si>
  <si>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</si>
  <si>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</si>
  <si>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</si>
  <si>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</si>
  <si>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</si>
  <si>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</si>
  <si>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</si>
  <si>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</si>
  <si>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ALEU DOCTOR</t>
  </si>
  <si>
    <t>B1651ZAB</t>
  </si>
  <si>
    <t>CORONEL SUAREZ</t>
  </si>
  <si>
    <t>ALSINA DOCTOR ADOLFO</t>
  </si>
  <si>
    <t>B7540ZAA</t>
  </si>
  <si>
    <t>B0557</t>
  </si>
  <si>
    <t>DAIREAUX</t>
  </si>
  <si>
    <t>LEVALLE GENERAL NICOLAS</t>
  </si>
  <si>
    <t>B6555ZAA</t>
  </si>
  <si>
    <t>B0558</t>
  </si>
  <si>
    <t>DARREGUEIRA</t>
  </si>
  <si>
    <t>NIEHAUS PADRE</t>
  </si>
  <si>
    <t>B8183ZAA</t>
  </si>
  <si>
    <t>B0559</t>
  </si>
  <si>
    <t>DE LA GARMA</t>
  </si>
  <si>
    <t>CIANCAGLINI ANTONIO</t>
  </si>
  <si>
    <t>B7515ZAA</t>
  </si>
  <si>
    <t>B0561</t>
  </si>
  <si>
    <t>ESPARTILLAR</t>
  </si>
  <si>
    <t>BONDAZ AUGUSTO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</si>
  <si>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</si>
  <si>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</si>
  <si>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</si>
  <si>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</si>
  <si>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</si>
  <si>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</si>
  <si>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</si>
  <si>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</si>
  <si>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</si>
  <si>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</si>
  <si>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PASO DOCTOR JUAN JOSE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</si>
  <si>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</si>
  <si>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</si>
  <si>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</si>
  <si>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</si>
  <si>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</si>
  <si>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</si>
  <si>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</si>
  <si>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</si>
  <si>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LOPEZ CECILIO</t>
  </si>
  <si>
    <t>B8174ZAA</t>
  </si>
  <si>
    <t>B0592</t>
  </si>
  <si>
    <t>SALAZAR</t>
  </si>
  <si>
    <t>BARCELO DOCTOR ADOLFO</t>
  </si>
  <si>
    <t>B6471ZAA</t>
  </si>
  <si>
    <t>B0593</t>
  </si>
  <si>
    <t>SALDUNGARAY</t>
  </si>
  <si>
    <t>B8166ZAA</t>
  </si>
  <si>
    <t>B0594</t>
  </si>
  <si>
    <t>SAN FCO. DE BELLOCQ</t>
  </si>
  <si>
    <t>GIRADO DOCTOR ARNALDO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</si>
  <si>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</si>
  <si>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</si>
  <si>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</si>
  <si>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</si>
  <si>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</si>
  <si>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</si>
  <si>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</si>
  <si>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</si>
  <si>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</si>
  <si>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</si>
  <si>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</si>
  <si>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AUST ALFONSO</t>
  </si>
  <si>
    <t>B7403ZAA</t>
  </si>
  <si>
    <t>B0715</t>
  </si>
  <si>
    <t>B7600ZAF</t>
  </si>
  <si>
    <t>MAR DEL PLATA</t>
  </si>
  <si>
    <t>B0716</t>
  </si>
  <si>
    <t>CENTRO MAR DEL PLATA</t>
  </si>
  <si>
    <t>YRIGOYEN HIPOLITO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</si>
  <si>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</si>
  <si>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</si>
  <si>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</si>
  <si>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</si>
  <si>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</si>
  <si>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</si>
  <si>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</si>
  <si>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</si>
  <si>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</si>
  <si>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</si>
  <si>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</si>
  <si>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</si>
  <si>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</si>
  <si>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</si>
  <si>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</si>
  <si>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</si>
  <si>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SUCURSAL 5 MAR DEL PLATA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</si>
  <si>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</si>
  <si>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</si>
  <si>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</si>
  <si>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</si>
  <si>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</si>
  <si>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</si>
  <si>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</si>
  <si>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</si>
  <si>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</si>
  <si>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</si>
  <si>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</si>
  <si>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</si>
  <si>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</si>
  <si>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</si>
  <si>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</si>
  <si>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</si>
  <si>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</si>
  <si>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</si>
  <si>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DE LA SERNA ART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</si>
  <si>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</si>
  <si>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</si>
  <si>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</si>
  <si>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</si>
  <si>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</si>
  <si>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</si>
  <si>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</si>
  <si>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</si>
  <si>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</si>
  <si>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</si>
  <si>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</si>
  <si>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</si>
  <si>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</si>
  <si>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</si>
  <si>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</si>
  <si>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</si>
  <si>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</si>
  <si>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</si>
  <si>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</si>
  <si>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</si>
  <si>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</si>
  <si>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</si>
  <si>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</si>
  <si>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</si>
  <si>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</si>
  <si>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</si>
  <si>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</si>
  <si>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</si>
  <si>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</si>
  <si>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</si>
  <si>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</si>
  <si>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</si>
  <si>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</si>
  <si>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</si>
  <si>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</si>
  <si>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</si>
  <si>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VALLE BERNARDINO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</si>
  <si>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</si>
  <si>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</si>
  <si>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</si>
  <si>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</si>
  <si>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</si>
  <si>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</si>
  <si>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</si>
  <si>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</si>
  <si>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</si>
  <si>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</si>
  <si>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</si>
  <si>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</si>
  <si>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</si>
  <si>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MACHADO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</si>
  <si>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</si>
  <si>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</si>
  <si>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</si>
  <si>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</si>
  <si>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</si>
  <si>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</si>
  <si>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</si>
  <si>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</si>
  <si>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</si>
  <si>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</si>
  <si>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</si>
  <si>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</si>
  <si>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</si>
  <si>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</si>
  <si>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</si>
  <si>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</si>
  <si>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</si>
  <si>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</si>
  <si>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DE ANDREA MONSEÑOR MIGUEL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</si>
  <si>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</si>
  <si>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</si>
  <si>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</si>
  <si>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</si>
  <si>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</si>
  <si>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</si>
  <si>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</si>
  <si>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</si>
  <si>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</si>
  <si>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</si>
  <si>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</si>
  <si>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DE LA TORRE DOCTOR LISANDRO</t>
  </si>
  <si>
    <t>S2303ZAA</t>
  </si>
  <si>
    <t>S0012</t>
  </si>
  <si>
    <t>AROCENA</t>
  </si>
  <si>
    <t>ROVERE DOCTOR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</si>
  <si>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</si>
  <si>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</si>
  <si>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</si>
  <si>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</si>
  <si>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</si>
  <si>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</si>
  <si>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</si>
  <si>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</si>
  <si>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</si>
  <si>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</si>
  <si>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</si>
  <si>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DE LA TORRE LISANDRO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</si>
  <si>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</si>
  <si>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</si>
  <si>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</si>
  <si>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</si>
  <si>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</si>
  <si>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</si>
  <si>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</si>
  <si>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</si>
  <si>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</si>
  <si>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</si>
  <si>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</si>
  <si>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</si>
  <si>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</si>
  <si>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</si>
  <si>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</si>
  <si>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</si>
  <si>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</si>
  <si>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</si>
  <si>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</si>
  <si>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</si>
  <si>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</si>
  <si>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</si>
  <si>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SENN ENRIQUE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</si>
  <si>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</si>
  <si>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</si>
  <si>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</si>
  <si>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</si>
  <si>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</si>
  <si>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</si>
  <si>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</si>
  <si>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</si>
  <si>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</si>
  <si>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</si>
  <si>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</si>
  <si>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</si>
  <si>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</si>
  <si>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</si>
  <si>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</si>
  <si>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PINTO GENERAL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</si>
  <si>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</si>
  <si>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</si>
  <si>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</si>
  <si>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</si>
  <si>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</si>
  <si>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</si>
  <si>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</si>
  <si>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</si>
  <si>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</si>
  <si>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SANTA MARIA DE ORO FRAY JUSTO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</si>
  <si>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</si>
  <si>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</si>
  <si>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</si>
  <si>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</si>
  <si>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</si>
  <si>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</si>
  <si>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</si>
  <si>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</si>
  <si>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</si>
  <si>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</si>
  <si>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</si>
  <si>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</si>
  <si>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</si>
  <si>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</si>
  <si>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</si>
  <si>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</si>
  <si>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</si>
  <si>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</si>
  <si>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</si>
  <si>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</si>
  <si>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</si>
  <si>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</si>
  <si>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</si>
  <si>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</si>
  <si>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</si>
  <si>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</si>
  <si>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</si>
  <si>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</si>
  <si>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</si>
  <si>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</si>
  <si>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</si>
  <si>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</si>
  <si>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</si>
  <si>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</si>
  <si>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</si>
  <si>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</si>
  <si>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</si>
  <si>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</si>
  <si>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</si>
  <si>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</si>
  <si>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</si>
  <si>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</si>
  <si>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</si>
  <si>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</si>
  <si>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</si>
  <si>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</si>
  <si>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</si>
  <si>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</si>
  <si>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</si>
  <si>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</si>
  <si>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</si>
  <si>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</si>
  <si>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</si>
  <si>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</si>
  <si>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</si>
  <si>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</si>
  <si>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</si>
  <si>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</si>
  <si>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</si>
  <si>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</si>
  <si>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</si>
  <si>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</si>
  <si>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</si>
  <si>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</si>
  <si>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</si>
  <si>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MENCHACA GOBERNADOR MANUEL JOAQUIN</t>
  </si>
  <si>
    <t>S3589ZAA</t>
  </si>
  <si>
    <t>S0208</t>
  </si>
  <si>
    <t>VILLA OCAMPO</t>
  </si>
  <si>
    <t>S3580ZAA</t>
  </si>
  <si>
    <t>S0210</t>
  </si>
  <si>
    <t>VILLA TRINIDAD</t>
  </si>
  <si>
    <t>IRIONDO SIMON DE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</si>
  <si>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</si>
  <si>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</si>
  <si>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</si>
  <si>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</si>
  <si>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</si>
  <si>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</si>
  <si>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</si>
  <si>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</si>
  <si>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</si>
  <si>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</si>
  <si>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</si>
  <si>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</si>
  <si>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</si>
  <si>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</si>
  <si>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</si>
  <si>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</si>
  <si>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</si>
  <si>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MORENO DOCTOR MARIANO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</si>
  <si>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</si>
  <si>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</si>
  <si>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</si>
  <si>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</si>
  <si>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</si>
  <si>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</si>
  <si>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</si>
  <si>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</si>
  <si>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</si>
  <si>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</si>
  <si>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</si>
  <si>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</si>
  <si>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</si>
  <si>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</si>
  <si>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</si>
  <si>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</si>
  <si>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</si>
  <si>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</si>
  <si>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</si>
  <si>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</si>
  <si>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</si>
  <si>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</si>
  <si>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</si>
  <si>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</si>
  <si>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</si>
  <si>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RIVADAVIA BERNARDINO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</si>
  <si>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</si>
  <si>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</si>
  <si>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</si>
  <si>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</si>
  <si>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</si>
  <si>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</si>
  <si>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</si>
  <si>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</si>
  <si>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</si>
  <si>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</si>
  <si>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B0357</t>
  </si>
  <si>
    <t>AGENCIA 2 JUNIN</t>
  </si>
  <si>
    <t>B6002ZAA</t>
  </si>
  <si>
    <t>B0359</t>
  </si>
  <si>
    <t>LEANDRO N. ALEM</t>
  </si>
  <si>
    <t>LAYERA TENIENTE MAXIMO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</si>
  <si>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</si>
  <si>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</si>
  <si>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</si>
  <si>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</si>
  <si>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</si>
  <si>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</si>
  <si>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</si>
  <si>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</si>
  <si>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</si>
  <si>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</si>
  <si>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</si>
  <si>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</si>
  <si>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BELTRAN FRAY LUIS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</si>
  <si>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</si>
  <si>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</si>
  <si>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</si>
  <si>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</si>
  <si>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</si>
  <si>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</si>
  <si>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</si>
  <si>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</si>
  <si>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MALARGÜE</t>
  </si>
  <si>
    <t>PUEBLA ADOLFO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</si>
  <si>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</si>
  <si>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</si>
  <si>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</si>
  <si>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</si>
  <si>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</si>
  <si>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</si>
  <si>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</si>
  <si>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</si>
  <si>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</si>
  <si>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DI PAOLA JUAN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</si>
  <si>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</si>
  <si>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</si>
  <si>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</si>
  <si>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</si>
  <si>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</si>
  <si>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</si>
  <si>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</si>
  <si>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</si>
  <si>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</si>
  <si>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</si>
  <si>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</si>
  <si>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</si>
  <si>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</si>
  <si>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</si>
  <si>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RODEO DE LA CRUZ</t>
  </si>
  <si>
    <t>M0084</t>
  </si>
  <si>
    <t>RODEO DEL MEDIO</t>
  </si>
  <si>
    <t>M5529ZAB</t>
  </si>
  <si>
    <t>M0088</t>
  </si>
  <si>
    <t>M5512ZAA</t>
  </si>
  <si>
    <t>M0090</t>
  </si>
  <si>
    <t>GODOY CRUZ DOCTOR TOMAS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</si>
  <si>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</si>
  <si>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</si>
  <si>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</si>
  <si>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</si>
  <si>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</si>
  <si>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</si>
  <si>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</si>
  <si>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</si>
  <si>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</si>
  <si>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</si>
  <si>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</si>
  <si>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</si>
  <si>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</si>
  <si>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</si>
  <si>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</si>
  <si>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</si>
  <si>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</si>
  <si>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V. DE LAS LEÑAS</t>
  </si>
  <si>
    <t>COMPLEJO TURÍSTICO LAS LEÑAS</t>
  </si>
  <si>
    <t>M5612ZAA</t>
  </si>
  <si>
    <t>VALLE DE LAS LEÑAS</t>
  </si>
  <si>
    <t>CRUZ ALTA</t>
  </si>
  <si>
    <t>COLOCCINI ANGEL</t>
  </si>
  <si>
    <t>X2189ZAA</t>
  </si>
  <si>
    <t>X0342</t>
  </si>
  <si>
    <t>DEL CAMPILLO</t>
  </si>
  <si>
    <t>MORRA DOCTOR DANIEL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</si>
  <si>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</si>
  <si>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</si>
  <si>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</si>
  <si>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</si>
  <si>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</si>
  <si>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</si>
  <si>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</si>
  <si>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</si>
  <si>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</si>
  <si>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</si>
  <si>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</si>
  <si>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</si>
  <si>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</si>
  <si>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</si>
  <si>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</si>
  <si>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</si>
  <si>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</si>
  <si>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</si>
  <si>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</si>
  <si>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</si>
  <si>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</si>
  <si>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</si>
  <si>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</si>
  <si>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</si>
  <si>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</si>
  <si>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</si>
  <si>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</si>
  <si>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</t>
  </si>
  <si>
    <t>DEAN FUNES GREGORIO</t>
  </si>
  <si>
    <t>A4400ZAA</t>
  </si>
  <si>
    <t>A0006</t>
  </si>
  <si>
    <t>AGUARAY</t>
  </si>
  <si>
    <t>M</t>
  </si>
  <si>
    <t>GUEMES GENERAL MARTIN MIGUEL DE</t>
  </si>
  <si>
    <t>A4566ZAA</t>
  </si>
  <si>
    <t>A0007</t>
  </si>
  <si>
    <t>APOLINARIO SARAVIA</t>
  </si>
  <si>
    <t>PEYROTTI GENERAL JUAN B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</si>
  <si>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</si>
  <si>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</si>
  <si>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</si>
  <si>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</si>
  <si>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</si>
  <si>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</si>
  <si>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</si>
  <si>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</si>
  <si>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</si>
  <si>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</si>
  <si>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DUNCKLER RODOLFO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</si>
  <si>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</si>
  <si>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</si>
  <si>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</si>
  <si>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</si>
  <si>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</si>
  <si>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</si>
  <si>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</si>
  <si>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</si>
  <si>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</si>
  <si>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</si>
  <si>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</si>
  <si>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</si>
  <si>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</si>
  <si>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</si>
  <si>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</si>
  <si>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</si>
  <si>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</si>
  <si>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</si>
  <si>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</si>
  <si>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</si>
  <si>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</si>
  <si>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</si>
  <si>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ARAOZ PEDRO MIGUEL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</si>
  <si>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</si>
  <si>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</si>
  <si>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</si>
  <si>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</si>
  <si>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</si>
  <si>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</si>
  <si>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</si>
  <si>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</si>
  <si>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CABRED DOCTOR DOMINGO</t>
  </si>
  <si>
    <t>A4430ZAA</t>
  </si>
  <si>
    <t>A0023</t>
  </si>
  <si>
    <t>AGENCIA HIPOLITO YRIGOYEN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</si>
  <si>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</si>
  <si>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</si>
  <si>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</si>
  <si>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</si>
  <si>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</si>
  <si>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</si>
  <si>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</si>
  <si>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</si>
  <si>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</si>
  <si>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</si>
  <si>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</si>
  <si>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</si>
  <si>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</si>
  <si>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</si>
  <si>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</si>
  <si>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</si>
  <si>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</si>
  <si>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</si>
  <si>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</si>
  <si>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</si>
  <si>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</si>
  <si>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</si>
  <si>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</si>
  <si>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</si>
  <si>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</si>
  <si>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</si>
  <si>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</si>
  <si>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ROCAMORA CORONEL TOMAS DE</t>
  </si>
  <si>
    <t>E2843ZAA</t>
  </si>
  <si>
    <t>GENERAL GALARZA</t>
  </si>
  <si>
    <t>E0032</t>
  </si>
  <si>
    <t>GRAL. RAMIREZ</t>
  </si>
  <si>
    <t>CABRAL SARGENTO JUAN BAUTISTA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</si>
  <si>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</si>
  <si>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</si>
  <si>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</si>
  <si>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</si>
  <si>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</si>
  <si>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</si>
  <si>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</si>
  <si>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</si>
  <si>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</si>
  <si>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</si>
  <si>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</si>
  <si>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</si>
  <si>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</si>
  <si>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</si>
  <si>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</si>
  <si>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</si>
  <si>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</si>
  <si>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</si>
  <si>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</si>
  <si>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</si>
  <si>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</si>
  <si>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ALFARO DOCTOR FILOMENO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</si>
  <si>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</si>
  <si>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</si>
  <si>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</si>
  <si>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</si>
  <si>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</si>
  <si>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</si>
  <si>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</si>
  <si>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</si>
  <si>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</si>
  <si>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</si>
  <si>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</si>
  <si>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</si>
  <si>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</si>
  <si>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</si>
  <si>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</si>
  <si>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</si>
  <si>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</si>
  <si>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</si>
  <si>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</si>
  <si>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</si>
  <si>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</si>
  <si>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LEDESMA CLODOMIRO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</si>
  <si>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</si>
  <si>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</si>
  <si>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</si>
  <si>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</si>
  <si>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</si>
  <si>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</si>
  <si>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</si>
  <si>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</si>
  <si>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</si>
  <si>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</si>
  <si>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</si>
  <si>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</si>
  <si>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SUCURSAL 1 BAHIA BLANCA</t>
  </si>
  <si>
    <t>B8001ZAA</t>
  </si>
  <si>
    <t>B0502</t>
  </si>
  <si>
    <t>2 BAHIA BLANCA</t>
  </si>
  <si>
    <t>DON BOSCO</t>
  </si>
  <si>
    <t>B8000ZAB</t>
  </si>
  <si>
    <t>B0525</t>
  </si>
  <si>
    <t>S0452</t>
  </si>
  <si>
    <t>RUEDA</t>
  </si>
  <si>
    <t>RUEDA DOCTOR PEDRO</t>
  </si>
  <si>
    <t>S2923ZAA</t>
  </si>
  <si>
    <t>BADIA PADRE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</si>
  <si>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</si>
  <si>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</si>
  <si>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</si>
  <si>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</si>
  <si>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</si>
  <si>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</si>
  <si>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</si>
  <si>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</si>
  <si>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</si>
  <si>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</si>
  <si>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</si>
  <si>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</si>
  <si>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</si>
  <si>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</si>
  <si>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</si>
  <si>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</si>
  <si>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</si>
  <si>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</si>
  <si>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</si>
  <si>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</si>
  <si>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</si>
  <si>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</si>
  <si>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</si>
  <si>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</si>
  <si>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</si>
  <si>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CHIAVARINI DOCTOR ALBERTO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</si>
  <si>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</si>
  <si>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</si>
  <si>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</si>
  <si>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</si>
  <si>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</si>
  <si>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</si>
  <si>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</si>
  <si>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</si>
  <si>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</si>
  <si>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</si>
  <si>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</si>
  <si>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</si>
  <si>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</si>
  <si>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</si>
  <si>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</si>
  <si>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</si>
  <si>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</si>
  <si>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</si>
  <si>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</si>
  <si>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</si>
  <si>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</si>
  <si>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</si>
  <si>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</si>
  <si>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</si>
  <si>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</si>
  <si>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</si>
  <si>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</si>
  <si>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</si>
  <si>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</si>
  <si>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</si>
  <si>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</si>
  <si>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</si>
  <si>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</si>
  <si>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</si>
  <si>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VILLA CAÑAS</t>
  </si>
  <si>
    <t>S2607ZAA</t>
  </si>
  <si>
    <t>S0490</t>
  </si>
  <si>
    <t>VILLA CONSTITUCION</t>
  </si>
  <si>
    <t>S2919ZAA</t>
  </si>
  <si>
    <t>S0492</t>
  </si>
  <si>
    <t>VILLA ELOISA</t>
  </si>
  <si>
    <t>SARMIENTO PRESIDENTE DOMINGO FAUSTINO</t>
  </si>
  <si>
    <t>S2503ZAA</t>
  </si>
  <si>
    <t>S0494</t>
  </si>
  <si>
    <t>VILLA G. GALVEZ</t>
  </si>
  <si>
    <t>FILIPPINI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</si>
  <si>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</si>
  <si>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</si>
  <si>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</si>
  <si>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</si>
  <si>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</si>
  <si>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</si>
  <si>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</si>
  <si>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</si>
  <si>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</si>
  <si>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</si>
  <si>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</si>
  <si>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</si>
  <si>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AGENCIA Nº 1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</si>
  <si>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</si>
  <si>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</si>
  <si>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</si>
  <si>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</si>
  <si>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</si>
  <si>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</si>
  <si>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</si>
  <si>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</si>
  <si>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GUAMINÍ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</si>
  <si>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</si>
  <si>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</si>
  <si>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</si>
  <si>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</si>
  <si>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</si>
  <si>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</si>
  <si>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</si>
  <si>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</si>
  <si>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</si>
  <si>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</si>
  <si>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</si>
  <si>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</si>
  <si>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</si>
  <si>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GOÑI MORENO ANTONIO</t>
  </si>
  <si>
    <t>B7501ZAA</t>
  </si>
  <si>
    <t>B0573</t>
  </si>
  <si>
    <t>ING. WHITE</t>
  </si>
  <si>
    <t>B8103ZAA</t>
  </si>
  <si>
    <t>INGENIERO WHITE</t>
  </si>
  <si>
    <t>B0575</t>
  </si>
  <si>
    <t>LA COLINA</t>
  </si>
  <si>
    <t>MAÑAY ELISEO</t>
  </si>
  <si>
    <t>B7408ZAA</t>
  </si>
  <si>
    <t>B0576</t>
  </si>
  <si>
    <t>LAPRIDA</t>
  </si>
  <si>
    <t>SANTAMARINA DOCTOR RAMON</t>
  </si>
  <si>
    <t>B7414ZAA</t>
  </si>
  <si>
    <t>B0577</t>
  </si>
  <si>
    <t>MAYOR BURATOVICH</t>
  </si>
  <si>
    <t>ROSAS JUAN MANUEL DE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</si>
  <si>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</si>
  <si>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</si>
  <si>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</si>
  <si>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</si>
  <si>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</si>
  <si>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</si>
  <si>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</si>
  <si>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</si>
  <si>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</si>
  <si>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</si>
  <si>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</si>
  <si>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</si>
  <si>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</si>
  <si>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</si>
  <si>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PETRELLI SABINA</t>
  </si>
  <si>
    <t>T4182ZAA</t>
  </si>
  <si>
    <t>T0042</t>
  </si>
  <si>
    <t>LULES</t>
  </si>
  <si>
    <t>T4128ZAA</t>
  </si>
  <si>
    <t>T0044</t>
  </si>
  <si>
    <t>LAS TALITAS</t>
  </si>
  <si>
    <t>LOPEZ SERAFIN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</si>
  <si>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</si>
  <si>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</si>
  <si>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</si>
  <si>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</si>
  <si>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</si>
  <si>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</si>
  <si>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</si>
  <si>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</si>
  <si>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</si>
  <si>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</si>
  <si>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</si>
  <si>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</si>
  <si>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</si>
  <si>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</si>
  <si>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</si>
  <si>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</si>
  <si>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</si>
  <si>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</si>
  <si>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</si>
  <si>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</si>
  <si>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</si>
  <si>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</si>
  <si>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</si>
  <si>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</si>
  <si>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</si>
  <si>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</si>
  <si>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</si>
  <si>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</si>
  <si>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</si>
  <si>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</si>
  <si>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</si>
  <si>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</si>
  <si>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</si>
  <si>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</si>
  <si>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</si>
  <si>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LAFUENTE ANTONIO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</si>
  <si>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</si>
  <si>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</si>
  <si>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</si>
  <si>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</si>
  <si>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</si>
  <si>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</si>
  <si>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</si>
  <si>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GARCIA TENIENTE CORONEL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</si>
  <si>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</si>
  <si>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</si>
  <si>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</si>
  <si>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</si>
  <si>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</si>
  <si>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</si>
  <si>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</si>
  <si>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</si>
  <si>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</si>
  <si>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</si>
  <si>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</si>
  <si>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</si>
  <si>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</si>
  <si>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</si>
  <si>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</si>
  <si>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</si>
  <si>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</si>
  <si>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</si>
  <si>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</si>
  <si>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</si>
  <si>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MONTI CARLOS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</si>
  <si>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</si>
  <si>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</si>
  <si>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</si>
  <si>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</si>
  <si>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</si>
  <si>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</si>
  <si>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</si>
  <si>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</si>
  <si>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</si>
  <si>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ICAÑO</t>
  </si>
  <si>
    <t>PAMPIN GOBERNADOR JUAN VlCENTE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</si>
  <si>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</si>
  <si>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</si>
  <si>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</si>
  <si>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</si>
  <si>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</si>
  <si>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</si>
  <si>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</si>
  <si>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</si>
  <si>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</si>
  <si>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</si>
  <si>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</si>
  <si>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</si>
  <si>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</si>
  <si>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</si>
  <si>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</si>
  <si>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</si>
  <si>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QUIMILÍ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</si>
  <si>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</si>
  <si>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</si>
  <si>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</si>
  <si>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</si>
  <si>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</si>
  <si>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</si>
  <si>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</si>
  <si>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</si>
  <si>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</si>
  <si>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</si>
  <si>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</si>
  <si>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</si>
  <si>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</si>
  <si>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</si>
  <si>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</si>
  <si>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</si>
  <si>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</si>
  <si>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</si>
  <si>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</si>
  <si>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</si>
  <si>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</si>
  <si>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</si>
  <si>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</si>
  <si>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</si>
  <si>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</si>
  <si>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</si>
  <si>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</si>
  <si>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</si>
  <si>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</si>
  <si>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</si>
  <si>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</si>
  <si>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</si>
  <si>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</si>
  <si>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</si>
  <si>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</si>
  <si>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</si>
  <si>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</si>
  <si>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</si>
  <si>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</si>
  <si>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</si>
  <si>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DE CARLO MONSEÑOR NICOLAS</t>
  </si>
  <si>
    <t>H3730ZAA</t>
  </si>
  <si>
    <t>H0012</t>
  </si>
  <si>
    <t>COLONIA ELISA</t>
  </si>
  <si>
    <t>NOVO JUSTO</t>
  </si>
  <si>
    <t>H3515ZAA</t>
  </si>
  <si>
    <t>H0014</t>
  </si>
  <si>
    <t>COLONIAS UNIDAS</t>
  </si>
  <si>
    <t>FLEMING DOCTOR ALEJANDRO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</si>
  <si>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</si>
  <si>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</si>
  <si>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</si>
  <si>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</si>
  <si>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</si>
  <si>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</si>
  <si>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</si>
  <si>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</si>
  <si>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</si>
  <si>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</si>
  <si>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</si>
  <si>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</si>
  <si>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</si>
  <si>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</si>
  <si>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SAN MARTIN SIN N°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</si>
  <si>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</si>
  <si>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</si>
  <si>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</si>
  <si>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</si>
  <si>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</si>
  <si>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</si>
  <si>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</si>
  <si>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</si>
  <si>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</si>
  <si>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</si>
  <si>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</si>
  <si>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</si>
  <si>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</si>
  <si>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</si>
  <si>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</si>
  <si>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</si>
  <si>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</si>
  <si>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</si>
  <si>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SARMIENTO Nº 355</t>
  </si>
  <si>
    <t>H3705ZAC</t>
  </si>
  <si>
    <t>COLONIA JUAN JOSE CASTELLI</t>
  </si>
  <si>
    <t>H0038</t>
  </si>
  <si>
    <t>LA LEONESA</t>
  </si>
  <si>
    <t>ILLIA DOCTOR ARTURO HUMBERTO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</si>
  <si>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</si>
  <si>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</si>
  <si>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</si>
  <si>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</si>
  <si>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</si>
  <si>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</si>
  <si>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</si>
  <si>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</si>
  <si>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</si>
  <si>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</si>
  <si>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</si>
  <si>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</si>
  <si>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</si>
  <si>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RIO PARANA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</si>
  <si>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</si>
  <si>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</si>
  <si>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</si>
  <si>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</si>
  <si>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</si>
  <si>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</si>
  <si>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</si>
  <si>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</si>
  <si>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</si>
  <si>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FALCHINI JOSE MARCELINO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</si>
  <si>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</si>
  <si>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</si>
  <si>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</si>
  <si>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</si>
  <si>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</si>
  <si>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</si>
  <si>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</si>
  <si>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</si>
  <si>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</si>
  <si>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</si>
  <si>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</si>
  <si>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</si>
  <si>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</si>
  <si>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</si>
  <si>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</si>
  <si>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</si>
  <si>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</si>
  <si>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</si>
  <si>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DE LA ROZA JOSE IGNACIO</t>
  </si>
  <si>
    <t>J5402ZAA</t>
  </si>
  <si>
    <t>J0004</t>
  </si>
  <si>
    <t>SUCURSAL N° 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</si>
  <si>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</si>
  <si>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</si>
  <si>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</si>
  <si>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</si>
  <si>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</si>
  <si>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</si>
  <si>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</si>
  <si>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</si>
  <si>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LIBERTADOR SAN MARTIN</t>
  </si>
  <si>
    <t>J5438ZAA</t>
  </si>
  <si>
    <t>SUCURSAL 16</t>
  </si>
  <si>
    <t>X5016ZAA</t>
  </si>
  <si>
    <t>X0025</t>
  </si>
  <si>
    <t>ALICIA</t>
  </si>
  <si>
    <t>X5949ZAA</t>
  </si>
  <si>
    <t>X0026</t>
  </si>
  <si>
    <t>AGUA DE ORO (AG. 58)</t>
  </si>
  <si>
    <t>BUSTOS OBISPO ZENON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</si>
  <si>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</si>
  <si>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</si>
  <si>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</si>
  <si>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</si>
  <si>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</si>
  <si>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</si>
  <si>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</si>
  <si>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</si>
  <si>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</si>
  <si>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</si>
  <si>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</si>
  <si>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</si>
  <si>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</si>
  <si>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CORNEJO TRISTAN</t>
  </si>
  <si>
    <t>X5141ZAA</t>
  </si>
  <si>
    <t>X0043</t>
  </si>
  <si>
    <t>S0150</t>
  </si>
  <si>
    <t>CABAL GOBERNADOR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</si>
  <si>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</si>
  <si>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</si>
  <si>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</si>
  <si>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</si>
  <si>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</si>
  <si>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</si>
  <si>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</si>
  <si>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</si>
  <si>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</si>
  <si>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</si>
  <si>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</si>
  <si>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SUSSINI FRANCISCO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</si>
  <si>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</si>
  <si>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</si>
  <si>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</si>
  <si>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</si>
  <si>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</si>
  <si>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</si>
  <si>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</si>
  <si>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</si>
  <si>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</si>
  <si>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</si>
  <si>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</si>
  <si>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</si>
  <si>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</si>
  <si>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LOPEZ ESTANISLAO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</si>
  <si>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</si>
  <si>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</si>
  <si>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</si>
  <si>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</si>
  <si>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</si>
  <si>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</si>
  <si>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</si>
  <si>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</si>
  <si>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GIAVENO INTENDENTE SABINO</t>
  </si>
  <si>
    <t>X2419ZAA</t>
  </si>
  <si>
    <t>X0050</t>
  </si>
  <si>
    <t>CAPILLA DEL MONTE</t>
  </si>
  <si>
    <t>VILLA ELISA</t>
  </si>
  <si>
    <t>CAMINO CENTENARIO</t>
  </si>
  <si>
    <t>B1894ZAA</t>
  </si>
  <si>
    <t>B0984</t>
  </si>
  <si>
    <t>B7160ZAA</t>
  </si>
  <si>
    <t>B0986</t>
  </si>
  <si>
    <t>MAR DE AJO</t>
  </si>
  <si>
    <t>ESPORA CORONEL DE MARINA TOMAS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</si>
  <si>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</si>
  <si>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</si>
  <si>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</si>
  <si>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</si>
  <si>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</si>
  <si>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</si>
  <si>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</si>
  <si>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</si>
  <si>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</si>
  <si>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DE LOS INMIGRANTES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</si>
  <si>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</si>
  <si>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</si>
  <si>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</si>
  <si>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</si>
  <si>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</si>
  <si>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</si>
  <si>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</si>
  <si>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</si>
  <si>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</si>
  <si>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SUCURSAL 2 LA PLATA</t>
  </si>
  <si>
    <t>B1900ZAB</t>
  </si>
  <si>
    <t>B3521</t>
  </si>
  <si>
    <t>CENTRO</t>
  </si>
  <si>
    <t>B8003ZAA</t>
  </si>
  <si>
    <t>B3703</t>
  </si>
  <si>
    <t>EL JAGUEL</t>
  </si>
  <si>
    <t>SANTAMARINA ENRIQUE</t>
  </si>
  <si>
    <t>B1805ZAF</t>
  </si>
  <si>
    <t>B3906</t>
  </si>
  <si>
    <t>SUCURSAL WILLIAM MORRIS</t>
  </si>
  <si>
    <t>VILLEGAS GENERAL CONRADO EXCELSO</t>
  </si>
  <si>
    <t>B1681ZAA</t>
  </si>
  <si>
    <t>WILLIAM MORRIS</t>
  </si>
  <si>
    <t>B4015</t>
  </si>
  <si>
    <t>DOCK SUD</t>
  </si>
  <si>
    <t>VERTIZ VIRREY JUAN JOSE DE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</si>
  <si>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</si>
  <si>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</si>
  <si>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</si>
  <si>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</si>
  <si>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</si>
  <si>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</si>
  <si>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</si>
  <si>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</si>
  <si>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</si>
  <si>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</si>
  <si>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</si>
  <si>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</si>
  <si>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</si>
  <si>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</si>
  <si>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</si>
  <si>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</si>
  <si>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</si>
  <si>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</si>
  <si>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</si>
  <si>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</si>
  <si>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</si>
  <si>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</si>
  <si>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</si>
  <si>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</si>
  <si>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</si>
  <si>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</si>
  <si>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TORRENT JOAQUIN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</si>
  <si>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</si>
  <si>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</si>
  <si>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</si>
  <si>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</si>
  <si>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</si>
  <si>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</si>
  <si>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</si>
  <si>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</si>
  <si>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</si>
  <si>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</si>
  <si>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</si>
  <si>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SCALABRINI ORTIZ DOCTOR RAUL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</si>
  <si>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</si>
  <si>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</si>
  <si>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</si>
  <si>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</si>
  <si>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</si>
  <si>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</si>
  <si>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</si>
  <si>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</si>
  <si>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</si>
  <si>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</si>
  <si>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</si>
  <si>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</si>
  <si>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</si>
  <si>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LACROZE FEDERICO</t>
  </si>
  <si>
    <t>C1426ZAA</t>
  </si>
  <si>
    <t>C0028</t>
  </si>
  <si>
    <t>BELGRANO</t>
  </si>
  <si>
    <t>C1428ZAA</t>
  </si>
  <si>
    <t>C0029</t>
  </si>
  <si>
    <t>NUÑEZ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</si>
  <si>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</si>
  <si>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</si>
  <si>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</si>
  <si>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</si>
  <si>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</si>
  <si>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</si>
  <si>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</si>
  <si>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</si>
  <si>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</si>
  <si>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</si>
  <si>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</si>
  <si>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</si>
  <si>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</si>
  <si>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SUAREZ</t>
  </si>
  <si>
    <t>C1270ZAB</t>
  </si>
  <si>
    <t>C0035</t>
  </si>
  <si>
    <t>CASEROS Y ENTRE RIOS</t>
  </si>
  <si>
    <t>C1152ZAA</t>
  </si>
  <si>
    <t>LAS PEÑAS (AG. 62)</t>
  </si>
  <si>
    <t>CARRANZA MARTINEZ</t>
  </si>
  <si>
    <t>X5238ZAA</t>
  </si>
  <si>
    <t>LAS PEÑAS</t>
  </si>
  <si>
    <t>X0112</t>
  </si>
  <si>
    <t>LAS VARAS</t>
  </si>
  <si>
    <t>GRUNDY DOCTOR JUAN GUILLERMO</t>
  </si>
  <si>
    <t>X5941ZAA</t>
  </si>
  <si>
    <t>X0114</t>
  </si>
  <si>
    <t>LAS VARILLAS</t>
  </si>
  <si>
    <t>BALDRICH</t>
  </si>
  <si>
    <t>X5992ZAA</t>
  </si>
  <si>
    <t>X0116</t>
  </si>
  <si>
    <t>LOS COCOS (AG. 83)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</si>
  <si>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</si>
  <si>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</si>
  <si>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</si>
  <si>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</si>
  <si>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</si>
  <si>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</si>
  <si>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</si>
  <si>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</si>
  <si>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</si>
  <si>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</si>
  <si>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</si>
  <si>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</si>
  <si>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</si>
  <si>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</si>
  <si>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</si>
  <si>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 (AG. 35)</t>
  </si>
  <si>
    <t>NEMIROSKY INTENDENTE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</si>
  <si>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</si>
  <si>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</si>
  <si>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</si>
  <si>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</si>
  <si>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</si>
  <si>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</si>
  <si>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</si>
  <si>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</si>
  <si>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</si>
  <si>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</si>
  <si>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</si>
  <si>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</si>
  <si>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</si>
  <si>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</si>
  <si>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</si>
  <si>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PORTEÑA</t>
  </si>
  <si>
    <t>X2415ZAA</t>
  </si>
  <si>
    <t>X0144</t>
  </si>
  <si>
    <t>POZO DEL MOLLE</t>
  </si>
  <si>
    <t>X5913ZAA</t>
  </si>
  <si>
    <t>X0146</t>
  </si>
  <si>
    <t>QUILINO (AG. 56)</t>
  </si>
  <si>
    <t>X5214ZAA</t>
  </si>
  <si>
    <t>QUILINO</t>
  </si>
  <si>
    <t>X0148</t>
  </si>
  <si>
    <t>RIO CEBALLOS</t>
  </si>
  <si>
    <t>X5111ZAA</t>
  </si>
  <si>
    <t>X0150</t>
  </si>
  <si>
    <t>RIO PRIMERO</t>
  </si>
  <si>
    <t>MOSCATI INTENDENTE ANTONIO</t>
  </si>
  <si>
    <t>X5127ZAA</t>
  </si>
  <si>
    <t>X0152</t>
  </si>
  <si>
    <t>RIO SEGUNDO</t>
  </si>
  <si>
    <t>X5960ZAA</t>
  </si>
  <si>
    <t>X0154</t>
  </si>
  <si>
    <t>SALSACATE (AG. 53)</t>
  </si>
  <si>
    <t>EJERCITO ARGENTINO</t>
  </si>
  <si>
    <t>X5295ZAA</t>
  </si>
  <si>
    <t>SALSACATE</t>
  </si>
  <si>
    <t>X0156</t>
  </si>
  <si>
    <t>SACANTA</t>
  </si>
  <si>
    <t>X5945ZAA</t>
  </si>
  <si>
    <t>X0158</t>
  </si>
  <si>
    <t>SALSIPUEDES (AG. 57)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</si>
  <si>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</si>
  <si>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</si>
  <si>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</si>
  <si>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</si>
  <si>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</si>
  <si>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</si>
  <si>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</si>
  <si>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</si>
  <si>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</si>
  <si>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LOPE DE VEGA</t>
  </si>
  <si>
    <t>C1417ZAB</t>
  </si>
  <si>
    <t>C0069</t>
  </si>
  <si>
    <t>PLAZA SAN MARTIN</t>
  </si>
  <si>
    <t>C1059ZAB</t>
  </si>
  <si>
    <t>C0071</t>
  </si>
  <si>
    <t>SUCURSAL 8 ROSARIO</t>
  </si>
  <si>
    <t>RONDEAU GENERAL JOSE</t>
  </si>
  <si>
    <t>S2005ZAA</t>
  </si>
  <si>
    <t>S0309</t>
  </si>
  <si>
    <t>SUCURSAL 9 ROSARIO</t>
  </si>
  <si>
    <t>AYACUCHO BATALLA DE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</si>
  <si>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</si>
  <si>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</si>
  <si>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</si>
  <si>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</si>
  <si>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</si>
  <si>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</si>
  <si>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</si>
  <si>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</si>
  <si>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</si>
  <si>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</si>
  <si>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</si>
  <si>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</si>
  <si>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</si>
  <si>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</si>
  <si>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</si>
  <si>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</si>
  <si>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</si>
  <si>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</si>
  <si>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</si>
  <si>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</si>
  <si>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</si>
  <si>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</si>
  <si>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</si>
  <si>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SUCURSAL 17 ROSARIO</t>
  </si>
  <si>
    <t>S2007ZAB</t>
  </si>
  <si>
    <t>S0318</t>
  </si>
  <si>
    <t>SUCURSAL 18 ROSARIO</t>
  </si>
  <si>
    <t>S2004ZAA</t>
  </si>
  <si>
    <t>S0319</t>
  </si>
  <si>
    <t>ACEBAL</t>
  </si>
  <si>
    <t>ASURMENDI IGNACIO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</si>
  <si>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</si>
  <si>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</si>
  <si>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</si>
  <si>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</si>
  <si>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</si>
  <si>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</si>
  <si>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</si>
  <si>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</si>
  <si>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</si>
  <si>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</si>
  <si>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</si>
  <si>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</si>
  <si>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</si>
  <si>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</si>
  <si>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</si>
  <si>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</si>
  <si>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</si>
  <si>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PRINGLES CORONEL JUAN PASCUAL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</si>
  <si>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</si>
  <si>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</si>
  <si>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</si>
  <si>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</si>
  <si>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</si>
  <si>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</si>
  <si>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</si>
  <si>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</si>
  <si>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</si>
  <si>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</si>
  <si>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</si>
  <si>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</si>
  <si>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</si>
  <si>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</si>
  <si>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</si>
  <si>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</si>
  <si>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</si>
  <si>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</si>
  <si>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</si>
  <si>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</si>
  <si>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</si>
  <si>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</si>
  <si>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</si>
  <si>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</si>
  <si>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</si>
  <si>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</si>
  <si>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VERA MUJICA ANTONIO</t>
  </si>
  <si>
    <t>S2179ZAA</t>
  </si>
  <si>
    <t>S0330</t>
  </si>
  <si>
    <t>BOUQUET</t>
  </si>
  <si>
    <t>S2523ZAA</t>
  </si>
  <si>
    <t>S0331</t>
  </si>
  <si>
    <t>CAÑADA DE GOMEZ</t>
  </si>
  <si>
    <t>S2500ZAA</t>
  </si>
  <si>
    <t>S0332</t>
  </si>
  <si>
    <t>CAÑADA DEL UCLE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</si>
  <si>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</si>
  <si>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</si>
  <si>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</si>
  <si>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</si>
  <si>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</si>
  <si>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</si>
  <si>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</si>
  <si>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</si>
  <si>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CARCARAÑA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</si>
  <si>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</si>
  <si>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</si>
  <si>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</si>
  <si>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</si>
  <si>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</si>
  <si>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</si>
  <si>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</si>
  <si>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</si>
  <si>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</si>
  <si>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</si>
  <si>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</si>
  <si>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</si>
  <si>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</si>
  <si>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</si>
  <si>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</si>
  <si>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</si>
  <si>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</si>
  <si>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DASSA ANTONIO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</si>
  <si>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</si>
  <si>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</si>
  <si>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</si>
  <si>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</si>
  <si>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</si>
  <si>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</si>
  <si>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</si>
  <si>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</si>
  <si>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</si>
  <si>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</si>
  <si>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</si>
  <si>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GALAN GENERAL JOSE MARIA</t>
  </si>
  <si>
    <t>E3104ZAB</t>
  </si>
  <si>
    <t>E0003</t>
  </si>
  <si>
    <t>SUCURSAL 3</t>
  </si>
  <si>
    <t>RAMIREZ GENERAL FRANCISCO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</si>
  <si>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</si>
  <si>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</si>
  <si>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</si>
  <si>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</si>
  <si>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</si>
  <si>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</si>
  <si>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</si>
  <si>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</si>
  <si>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</si>
  <si>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</si>
  <si>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</si>
  <si>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</si>
  <si>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</si>
  <si>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</si>
  <si>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</si>
  <si>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</si>
  <si>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</si>
  <si>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</si>
  <si>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</si>
  <si>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</si>
  <si>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</si>
  <si>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</si>
  <si>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</si>
  <si>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MATTALDI (AG. 5)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</si>
  <si>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</si>
  <si>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</si>
  <si>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</si>
  <si>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</si>
  <si>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</si>
  <si>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</si>
  <si>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</si>
  <si>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</si>
  <si>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</si>
  <si>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</si>
  <si>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</si>
  <si>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</si>
  <si>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</si>
  <si>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</si>
  <si>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</si>
  <si>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</si>
  <si>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</si>
  <si>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</si>
  <si>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</si>
  <si>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ORDOÑEZ</t>
  </si>
  <si>
    <t>X2555ZAA</t>
  </si>
  <si>
    <t>X0430</t>
  </si>
  <si>
    <t>PASCANAS</t>
  </si>
  <si>
    <t>X2679ZAA</t>
  </si>
  <si>
    <t>X0446</t>
  </si>
  <si>
    <t>RIO TERCERO</t>
  </si>
  <si>
    <t>DE BUONO INTENDENTE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</si>
  <si>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</si>
  <si>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</si>
  <si>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</si>
  <si>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</si>
  <si>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</si>
  <si>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</si>
  <si>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</si>
  <si>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</si>
  <si>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</si>
  <si>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</si>
  <si>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</si>
  <si>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</si>
  <si>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</si>
  <si>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</si>
  <si>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</si>
  <si>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</si>
  <si>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</si>
  <si>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</si>
  <si>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</si>
  <si>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</si>
  <si>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</si>
  <si>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</si>
  <si>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</si>
  <si>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</si>
  <si>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</si>
  <si>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</si>
  <si>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</si>
  <si>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</si>
  <si>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</si>
  <si>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</si>
  <si>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</si>
  <si>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</si>
  <si>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</si>
  <si>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</si>
  <si>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</si>
  <si>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</si>
  <si>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</si>
  <si>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ALACEVICH DUSSAN</t>
  </si>
  <si>
    <t>X5935ZAA</t>
  </si>
  <si>
    <t>X0470</t>
  </si>
  <si>
    <t>VICUÑA MACKENNA</t>
  </si>
  <si>
    <t>YDE CARLOS S</t>
  </si>
  <si>
    <t>X6140ZAA</t>
  </si>
  <si>
    <t>X0472</t>
  </si>
  <si>
    <t>VILLA DEL DIQUE</t>
  </si>
  <si>
    <t>X5862ZAA</t>
  </si>
  <si>
    <t>X0474</t>
  </si>
  <si>
    <t>VILLA HUIDOBRO</t>
  </si>
  <si>
    <t>ESPINOSA MANUEL</t>
  </si>
  <si>
    <t>X6275ZAA</t>
  </si>
  <si>
    <t>X0476</t>
  </si>
  <si>
    <t>VILLA MARÍA</t>
  </si>
  <si>
    <t>X5900ZAA</t>
  </si>
  <si>
    <t>VILLA MARIA</t>
  </si>
  <si>
    <t>X0478</t>
  </si>
  <si>
    <t>JUAREZ MARCOS</t>
  </si>
  <si>
    <t>X5903ZAA</t>
  </si>
  <si>
    <t>X0480</t>
  </si>
  <si>
    <t>VILLA VALERIA</t>
  </si>
  <si>
    <t>MANSILLA GENERAL LUCIO VICTOR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</si>
  <si>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</si>
  <si>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</si>
  <si>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</si>
  <si>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</si>
  <si>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</si>
  <si>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</si>
  <si>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</si>
  <si>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</si>
  <si>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AÑATUYA</t>
  </si>
  <si>
    <t>G3760ZAA</t>
  </si>
  <si>
    <t>G0004</t>
  </si>
  <si>
    <t>BANDERA</t>
  </si>
  <si>
    <t>G3064ZAA</t>
  </si>
  <si>
    <t>G0006</t>
  </si>
  <si>
    <t>COLONIA TIROLESA</t>
  </si>
  <si>
    <t>X1784</t>
  </si>
  <si>
    <t>AGENCIA  MALVINAS ARGENTINAS</t>
  </si>
  <si>
    <t>X5004ZAA</t>
  </si>
  <si>
    <t>X5626</t>
  </si>
  <si>
    <t>AG. Nº 21</t>
  </si>
  <si>
    <t>X5014ZAA</t>
  </si>
  <si>
    <t>X6361</t>
  </si>
  <si>
    <t>TICINO</t>
  </si>
  <si>
    <t>STOLL INTENDENTE ROBERTO</t>
  </si>
  <si>
    <t>X5966ZAB</t>
  </si>
  <si>
    <t>X6567</t>
  </si>
  <si>
    <t>AGENCIA 2 VILLA MARIA</t>
  </si>
  <si>
    <t>X5900ZAJ</t>
  </si>
  <si>
    <t>X6568</t>
  </si>
  <si>
    <t>AGENCIA Nº 3 VILLA MARIA</t>
  </si>
  <si>
    <t>CARTAGENA</t>
  </si>
  <si>
    <t>X5900ZAK</t>
  </si>
  <si>
    <t>X6569</t>
  </si>
  <si>
    <t>AGENCIA Nº 4 VILLA MARIA</t>
  </si>
  <si>
    <t>E0136</t>
  </si>
  <si>
    <t>ESTRADA JOSE MANUEL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</si>
  <si>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</si>
  <si>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</si>
  <si>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</si>
  <si>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</si>
  <si>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</si>
  <si>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</si>
  <si>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</si>
  <si>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</si>
  <si>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</si>
  <si>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</si>
  <si>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</si>
  <si>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</si>
  <si>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</si>
  <si>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</si>
  <si>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</si>
  <si>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CASTRO BARROS PEDRO IGNACIO</t>
  </si>
  <si>
    <t>F5301ZAA</t>
  </si>
  <si>
    <t>F0008</t>
  </si>
  <si>
    <t>ANILLACO</t>
  </si>
  <si>
    <t>BARROS CORONEL N</t>
  </si>
  <si>
    <t>F5330ZAA</t>
  </si>
  <si>
    <t>F0014</t>
  </si>
  <si>
    <t>CHAMICAL</t>
  </si>
  <si>
    <t>F5380ZAA</t>
  </si>
  <si>
    <t>F0016</t>
  </si>
  <si>
    <t>CHEPES</t>
  </si>
  <si>
    <t>QUIROGA BRIGADIER JUAN FACUNDO</t>
  </si>
  <si>
    <t>F5470ZAA</t>
  </si>
  <si>
    <t>F0018</t>
  </si>
  <si>
    <t>CHILECITO</t>
  </si>
  <si>
    <t>GONZALEZ DOCTOR JOAQUIN VICTOR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</si>
  <si>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</si>
  <si>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</si>
  <si>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</si>
  <si>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</si>
  <si>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</si>
  <si>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</si>
  <si>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</si>
  <si>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</si>
  <si>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</si>
  <si>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</si>
  <si>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</si>
  <si>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</si>
  <si>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</si>
  <si>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</si>
  <si>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LOS CAUDILLOS</t>
  </si>
  <si>
    <t>F5389ZAA</t>
  </si>
  <si>
    <t>F0034</t>
  </si>
  <si>
    <t>MILAGRO</t>
  </si>
  <si>
    <t>F5274ZAA</t>
  </si>
  <si>
    <t>F0036</t>
  </si>
  <si>
    <t>NONOGASTA</t>
  </si>
  <si>
    <t>YOMA AMIN</t>
  </si>
  <si>
    <t>F5372ZAA</t>
  </si>
  <si>
    <t>F0038</t>
  </si>
  <si>
    <t>OLTA</t>
  </si>
  <si>
    <t>SALINAS MINISTRO JOSE S</t>
  </si>
  <si>
    <t>F5383ZAA</t>
  </si>
  <si>
    <t>F0042</t>
  </si>
  <si>
    <t>PATQUIA</t>
  </si>
  <si>
    <t>F5386ZAA</t>
  </si>
  <si>
    <t>F0050</t>
  </si>
  <si>
    <t>SALICAS</t>
  </si>
  <si>
    <t>EX RUTA 40 S/N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</si>
  <si>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</si>
  <si>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</si>
  <si>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</si>
  <si>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</si>
  <si>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</si>
  <si>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</si>
  <si>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</si>
  <si>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</si>
  <si>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</si>
  <si>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</si>
  <si>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</si>
  <si>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</si>
  <si>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</si>
  <si>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</si>
  <si>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</si>
  <si>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</si>
  <si>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</si>
  <si>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</si>
  <si>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</si>
  <si>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</si>
  <si>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</si>
  <si>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</si>
  <si>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</si>
  <si>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</si>
  <si>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</si>
  <si>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KIRCHNER PRESIDENTE DOCTOR NESTOR CARLOS</t>
  </si>
  <si>
    <t>Z9400ZAA</t>
  </si>
  <si>
    <t>Z0001</t>
  </si>
  <si>
    <t>Nº 1 RIO GALLEGOS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</si>
  <si>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</si>
  <si>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</si>
  <si>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</si>
  <si>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</si>
  <si>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</si>
  <si>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</si>
  <si>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</si>
  <si>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IBAÑEZ GREGORIO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</si>
  <si>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</si>
  <si>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</si>
  <si>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</si>
  <si>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</si>
  <si>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</si>
  <si>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</si>
  <si>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</si>
  <si>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</si>
  <si>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</si>
  <si>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</si>
  <si>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CAÑADON SECO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</si>
  <si>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</si>
  <si>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</si>
  <si>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</si>
  <si>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</si>
  <si>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</si>
  <si>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</si>
  <si>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</si>
  <si>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</si>
  <si>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</si>
  <si>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</si>
  <si>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</si>
  <si>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</si>
  <si>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</si>
  <si>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</si>
  <si>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</si>
  <si>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</si>
  <si>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</si>
  <si>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</si>
  <si>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</si>
  <si>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</si>
  <si>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</si>
  <si>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</si>
  <si>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</si>
  <si>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</si>
  <si>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GREGORES GOBERNADOR JUAN MANUEL</t>
  </si>
  <si>
    <t>Z9041ZAA</t>
  </si>
  <si>
    <t>Z0049</t>
  </si>
  <si>
    <t>PERITO MORENO</t>
  </si>
  <si>
    <t>PERON JUAN DOMINGO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</si>
  <si>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</si>
  <si>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</si>
  <si>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</si>
  <si>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</si>
  <si>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</si>
  <si>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</si>
  <si>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</si>
  <si>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</si>
  <si>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</si>
  <si>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MADSEN ANDREA</t>
  </si>
  <si>
    <t>Z9301ZAB</t>
  </si>
  <si>
    <t>MONTE CHINGOLO</t>
  </si>
  <si>
    <t>CENTENARIO URUGUAYO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</si>
  <si>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</si>
  <si>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</si>
  <si>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</si>
  <si>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</si>
  <si>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</si>
  <si>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</si>
  <si>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</si>
  <si>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</si>
  <si>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</si>
  <si>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</si>
  <si>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</si>
  <si>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</si>
  <si>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</si>
  <si>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</si>
  <si>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</si>
  <si>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</si>
  <si>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</si>
  <si>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</si>
  <si>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M. E. VILLAFAÑE</t>
  </si>
  <si>
    <t>L.N. ALEM Y SAN MARTIN</t>
  </si>
  <si>
    <t>P3601ZAB</t>
  </si>
  <si>
    <t>COLONIA CAMPO VILLAFAÑE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</si>
  <si>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</si>
  <si>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</si>
  <si>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</si>
  <si>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</si>
  <si>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</si>
  <si>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</si>
  <si>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</si>
  <si>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</si>
  <si>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</si>
  <si>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</si>
  <si>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</si>
  <si>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</si>
  <si>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</si>
  <si>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</si>
  <si>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GOMEZ ADRIAN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</si>
  <si>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</si>
  <si>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</si>
  <si>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</si>
  <si>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</si>
  <si>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</si>
  <si>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</si>
  <si>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</si>
  <si>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</si>
  <si>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</si>
  <si>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</si>
  <si>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</si>
  <si>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</si>
  <si>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</si>
  <si>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PUEYRREDON GENERAL JUAN MARTIN DE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</si>
  <si>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</si>
  <si>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</si>
  <si>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</si>
  <si>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</si>
  <si>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</si>
  <si>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</si>
  <si>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</si>
  <si>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</si>
  <si>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</si>
  <si>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</si>
  <si>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</si>
  <si>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</si>
  <si>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</si>
  <si>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SAPAG GOBERNADOR FELIPE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</si>
  <si>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</si>
  <si>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</si>
  <si>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</si>
  <si>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</si>
  <si>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</si>
  <si>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</si>
  <si>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</si>
  <si>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</si>
  <si>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</si>
  <si>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</si>
  <si>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</si>
  <si>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</si>
  <si>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</si>
  <si>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</si>
  <si>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</si>
  <si>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</si>
  <si>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</si>
  <si>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OLASCOAGA CORONEL MANUEL JOSE</t>
  </si>
  <si>
    <t>Q8347ZAA</t>
  </si>
  <si>
    <t>Q0024</t>
  </si>
  <si>
    <t>LONCOPUE</t>
  </si>
  <si>
    <t>MASCARDI PADRE</t>
  </si>
  <si>
    <t>Q8349ZAA</t>
  </si>
  <si>
    <t>Q0026</t>
  </si>
  <si>
    <t>RINCON DE LOS SAUCES</t>
  </si>
  <si>
    <t>MOSCONI GENERAL ENRIQUE</t>
  </si>
  <si>
    <t>Q8319ZAA</t>
  </si>
  <si>
    <t>Q0028</t>
  </si>
  <si>
    <t>B0721</t>
  </si>
  <si>
    <t>MUNRO</t>
  </si>
  <si>
    <t>VELEZ SARSFIELD DOCTOR DALMACIO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</si>
  <si>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</si>
  <si>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</si>
  <si>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</si>
  <si>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</si>
  <si>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</si>
  <si>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</si>
  <si>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</si>
  <si>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</si>
  <si>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</si>
  <si>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</si>
  <si>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</si>
  <si>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LURO PEDRO</t>
  </si>
  <si>
    <t>B7600ZAA</t>
  </si>
  <si>
    <t>B0901</t>
  </si>
  <si>
    <t>SUCURSAL 1 MAR DEL PLATA</t>
  </si>
  <si>
    <t>COLON CRISTOBAL</t>
  </si>
  <si>
    <t>B7604ZAB</t>
  </si>
  <si>
    <t>B0902</t>
  </si>
  <si>
    <t>SUCURSAL 2 MAR DEL PLATA</t>
  </si>
  <si>
    <t>ACHA GENERAL MARIANO</t>
  </si>
  <si>
    <t>B7603ZAB</t>
  </si>
  <si>
    <t>B0904</t>
  </si>
  <si>
    <t>SUCURSAL 4 MAR DEL PLATA</t>
  </si>
  <si>
    <t>PERALTA RAMOS JACINTO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</si>
  <si>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</si>
  <si>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</si>
  <si>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</si>
  <si>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</si>
  <si>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</si>
  <si>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</si>
  <si>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</si>
  <si>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</si>
  <si>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</si>
  <si>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</si>
  <si>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</si>
  <si>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</si>
  <si>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</si>
  <si>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</si>
  <si>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ÑORQUINCO</t>
  </si>
  <si>
    <t>SAN MARTIN S/Nº</t>
  </si>
  <si>
    <t>R8415ZAA</t>
  </si>
  <si>
    <t>R0114</t>
  </si>
  <si>
    <t>PILCANIYEU</t>
  </si>
  <si>
    <t>CHOIQUE SIN Nº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</si>
  <si>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</si>
  <si>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</si>
  <si>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</si>
  <si>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</si>
  <si>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</si>
  <si>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</si>
  <si>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</si>
  <si>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</si>
  <si>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</si>
  <si>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</si>
  <si>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</si>
  <si>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PIGUÉ</t>
  </si>
  <si>
    <t>IRIGOYEN DOCTOR BERNARDO DE</t>
  </si>
  <si>
    <t>B8170ZAA</t>
  </si>
  <si>
    <t>PIGUE</t>
  </si>
  <si>
    <t>B0586</t>
  </si>
  <si>
    <t>PUÁN</t>
  </si>
  <si>
    <t>B8180ZAA</t>
  </si>
  <si>
    <t>PUAN</t>
  </si>
  <si>
    <t>B0588</t>
  </si>
  <si>
    <t>PUERTO BELGRANO</t>
  </si>
  <si>
    <t>AL TEMPLO</t>
  </si>
  <si>
    <t>B8111ZAA</t>
  </si>
  <si>
    <t>CENTENO</t>
  </si>
  <si>
    <t>S2148ZAA</t>
  </si>
  <si>
    <t>S0020</t>
  </si>
  <si>
    <t>S3050ZAA</t>
  </si>
  <si>
    <t>S0022</t>
  </si>
  <si>
    <t>CAYASTA</t>
  </si>
  <si>
    <t>GARAY JUAN DE</t>
  </si>
  <si>
    <t>S3001ZAA</t>
  </si>
  <si>
    <t>S0024</t>
  </si>
  <si>
    <t>CERES</t>
  </si>
  <si>
    <t>D5700ZAA</t>
  </si>
  <si>
    <t>R8138ZAA</t>
  </si>
  <si>
    <t>R0316</t>
  </si>
  <si>
    <t>SIERRA GRANDE</t>
  </si>
  <si>
    <t>R8532ZAA</t>
  </si>
  <si>
    <t>R0318</t>
  </si>
  <si>
    <t>VALCHETA</t>
  </si>
  <si>
    <t>PAGANO GOBERNADOR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</si>
  <si>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</si>
  <si>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</si>
  <si>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</si>
  <si>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</si>
  <si>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</si>
  <si>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</si>
  <si>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</si>
  <si>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</si>
  <si>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</si>
  <si>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</si>
  <si>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CASTELLANOS AARON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</si>
  <si>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</si>
  <si>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</si>
  <si>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</si>
  <si>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</si>
  <si>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</si>
  <si>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</si>
  <si>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</si>
  <si>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</si>
  <si>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</si>
  <si>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</si>
  <si>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</si>
  <si>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</si>
  <si>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</si>
  <si>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</si>
  <si>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</si>
  <si>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</si>
  <si>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</si>
  <si>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</si>
  <si>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</si>
  <si>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</si>
  <si>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</si>
  <si>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</si>
  <si>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</si>
  <si>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</si>
  <si>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</si>
  <si>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</si>
  <si>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</si>
  <si>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</si>
  <si>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</si>
  <si>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</si>
  <si>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</si>
  <si>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AGENCIA 1 NECHOCHEA</t>
  </si>
  <si>
    <t>B7630ZAB</t>
  </si>
  <si>
    <t>B0953</t>
  </si>
  <si>
    <t>SAN BERNARDO DEL TUYU</t>
  </si>
  <si>
    <t>CHIOZZA J C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</si>
  <si>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</si>
  <si>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</si>
  <si>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</si>
  <si>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</si>
  <si>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</si>
  <si>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</si>
  <si>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</si>
  <si>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</si>
  <si>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</si>
  <si>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</si>
  <si>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</si>
  <si>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</si>
  <si>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DEL VALLE PROFESOR ARISTOBULO</t>
  </si>
  <si>
    <t>S3004ZAB</t>
  </si>
  <si>
    <t>S0008</t>
  </si>
  <si>
    <t>SUCURSAL 8</t>
  </si>
  <si>
    <t>LAMADRID GENERAL GREGORIO DE</t>
  </si>
  <si>
    <t>S3006ZAA</t>
  </si>
  <si>
    <t>OLAZABAL GENERAL FELIX DE</t>
  </si>
  <si>
    <t>B1714ZAB</t>
  </si>
  <si>
    <t>B0168</t>
  </si>
  <si>
    <t>LIBERTAD</t>
  </si>
  <si>
    <t>JUSTO DOCTOR JUAN BAUTISTA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</si>
  <si>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</si>
  <si>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</si>
  <si>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</si>
  <si>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</si>
  <si>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</si>
  <si>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</si>
  <si>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</si>
  <si>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</si>
  <si>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</si>
  <si>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MITRE BARTOLOME</t>
  </si>
  <si>
    <t>B1744ZAB</t>
  </si>
  <si>
    <t>B0172</t>
  </si>
  <si>
    <t>RAMOS MEJIA</t>
  </si>
  <si>
    <t>B1704ZAB</t>
  </si>
  <si>
    <t>B0173</t>
  </si>
  <si>
    <t>SANTOS LUGARES</t>
  </si>
  <si>
    <t>RODRIGUEZ PEÑA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</si>
  <si>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</si>
  <si>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</si>
  <si>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</si>
  <si>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</si>
  <si>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</si>
  <si>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</si>
  <si>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</si>
  <si>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</si>
  <si>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</si>
  <si>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</si>
  <si>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DEL CARRIL DOCTOR SALVADOR MARIA</t>
  </si>
  <si>
    <t>B1742ZAA</t>
  </si>
  <si>
    <t>B0177</t>
  </si>
  <si>
    <t>FRANCISCO ALVAREZ</t>
  </si>
  <si>
    <t>LA NACION DIARIO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</si>
  <si>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</si>
  <si>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</si>
  <si>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</si>
  <si>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</si>
  <si>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</si>
  <si>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</si>
  <si>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</si>
  <si>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</si>
  <si>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SAN LORENZO COMBATE DE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</si>
  <si>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</si>
  <si>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</si>
  <si>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</si>
  <si>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</si>
  <si>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</si>
  <si>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</si>
  <si>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</si>
  <si>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</si>
  <si>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</si>
  <si>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</si>
  <si>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</si>
  <si>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473 BIS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</si>
  <si>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</si>
  <si>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</si>
  <si>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</si>
  <si>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</si>
  <si>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</si>
  <si>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</si>
  <si>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</si>
  <si>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</si>
  <si>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</si>
  <si>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</si>
  <si>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NUESTRA SEÑORA DE LA MERCED</t>
  </si>
  <si>
    <t>B1925ZAA</t>
  </si>
  <si>
    <t>B0236</t>
  </si>
  <si>
    <t>GENERAL ALVEAR</t>
  </si>
  <si>
    <t>B7263ZAA</t>
  </si>
  <si>
    <t>B0238</t>
  </si>
  <si>
    <t>GRAL. BELGRANO</t>
  </si>
  <si>
    <t>LARREA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</si>
  <si>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</si>
  <si>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</si>
  <si>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</si>
  <si>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</si>
  <si>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</si>
  <si>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</si>
  <si>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</si>
  <si>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</si>
  <si>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</si>
  <si>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</si>
  <si>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</si>
  <si>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</si>
  <si>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</si>
  <si>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</si>
  <si>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</si>
  <si>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</si>
  <si>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</si>
  <si>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</si>
  <si>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</si>
  <si>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CAÑADA ROSQUIN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</si>
  <si>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</si>
  <si>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</si>
  <si>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</si>
  <si>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</si>
  <si>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</si>
  <si>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</si>
  <si>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</si>
  <si>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</si>
  <si>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</si>
  <si>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</si>
  <si>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</si>
  <si>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LASTRA DOMINGO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</si>
  <si>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</si>
  <si>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</si>
  <si>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</si>
  <si>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</si>
  <si>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</si>
  <si>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</si>
  <si>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</si>
  <si>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</si>
  <si>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</si>
  <si>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</si>
  <si>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</si>
  <si>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</si>
  <si>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</si>
  <si>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</si>
  <si>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GOENAGA DOCTOR PEDRO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</si>
  <si>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</si>
  <si>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</si>
  <si>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</si>
  <si>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</si>
  <si>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</si>
  <si>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</si>
  <si>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</si>
  <si>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</si>
  <si>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</si>
  <si>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</si>
  <si>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</si>
  <si>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</si>
  <si>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</si>
  <si>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</si>
  <si>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</si>
  <si>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</si>
  <si>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</si>
  <si>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ARRIBEÑOS</t>
  </si>
  <si>
    <t>SARMIENTO DOMINGO FAUSTINO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</si>
  <si>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</si>
  <si>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</si>
  <si>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</si>
  <si>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</si>
  <si>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</si>
  <si>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</si>
  <si>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</si>
  <si>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</si>
  <si>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</si>
  <si>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</si>
  <si>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</si>
  <si>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</si>
  <si>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</si>
  <si>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</si>
  <si>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SAAVEDRA GENERAL CORNELIO DE</t>
  </si>
  <si>
    <t>B6424ZAA</t>
  </si>
  <si>
    <t>BERUTI</t>
  </si>
  <si>
    <t>B0319</t>
  </si>
  <si>
    <t>BOLIVAR</t>
  </si>
  <si>
    <t>ALVEAR GENERAL CARLOS MARIA DE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</si>
  <si>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</si>
  <si>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</si>
  <si>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</si>
  <si>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</si>
  <si>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</si>
  <si>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</si>
  <si>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</si>
  <si>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</si>
  <si>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</si>
  <si>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</si>
  <si>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</si>
  <si>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</si>
  <si>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</si>
  <si>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</si>
  <si>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</si>
  <si>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</si>
  <si>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</si>
  <si>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</si>
  <si>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</si>
  <si>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AICARDI JOSE</t>
  </si>
  <si>
    <t>B7220ZAA</t>
  </si>
  <si>
    <t>B0280</t>
  </si>
  <si>
    <t>CORONEL HILARIO LAGOS</t>
  </si>
  <si>
    <t>L0022</t>
  </si>
  <si>
    <t>DOBLAS</t>
  </si>
  <si>
    <t>LIZASO FRANCISCO</t>
  </si>
  <si>
    <t>L6305ZAA</t>
  </si>
  <si>
    <t>L0024</t>
  </si>
  <si>
    <t>EDUARDO CASTEX</t>
  </si>
  <si>
    <t>L6380ZAA</t>
  </si>
  <si>
    <t>L0028</t>
  </si>
  <si>
    <t>EMBAJADOR MARTINI</t>
  </si>
  <si>
    <t>NINET ALFREDO</t>
  </si>
  <si>
    <t>L6203ZAA</t>
  </si>
  <si>
    <t>L0030</t>
  </si>
  <si>
    <t>GENERAL  ACHA</t>
  </si>
  <si>
    <t>CAMPOS MANUEL JORGE</t>
  </si>
  <si>
    <t>L8200ZAA</t>
  </si>
  <si>
    <t>GENERAL ACHA</t>
  </si>
  <si>
    <t>L0032</t>
  </si>
  <si>
    <t>GRAL. PICO</t>
  </si>
  <si>
    <t>L6360ZAA</t>
  </si>
  <si>
    <t>GENERAL PICO</t>
  </si>
  <si>
    <t>L0034</t>
  </si>
  <si>
    <t>INGENIEROS DOCTOR JOSE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</si>
  <si>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</si>
  <si>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</si>
  <si>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</si>
  <si>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</si>
  <si>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</si>
  <si>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</si>
  <si>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</si>
  <si>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</si>
  <si>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</si>
  <si>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</si>
  <si>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</si>
  <si>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</si>
  <si>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</si>
  <si>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</si>
  <si>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</si>
  <si>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</si>
  <si>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</si>
  <si>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TAMBORINI JUAN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</si>
  <si>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</si>
  <si>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</si>
  <si>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</si>
  <si>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</si>
  <si>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</si>
  <si>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</si>
  <si>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</si>
  <si>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</si>
  <si>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</si>
  <si>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</si>
  <si>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</si>
  <si>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</si>
  <si>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</si>
  <si>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</si>
  <si>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</si>
  <si>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</si>
  <si>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</si>
  <si>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</si>
  <si>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</si>
  <si>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</si>
  <si>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</si>
  <si>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</si>
  <si>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</si>
  <si>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</si>
  <si>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</si>
  <si>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</si>
  <si>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</si>
  <si>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</si>
  <si>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</si>
  <si>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</si>
  <si>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</si>
  <si>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</si>
  <si>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</si>
  <si>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</si>
  <si>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</si>
  <si>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LAMELAS DOCTOR</t>
  </si>
  <si>
    <t>X5943ZAB</t>
  </si>
  <si>
    <t>SATURNINO M LASPIUR</t>
  </si>
  <si>
    <t>X0180</t>
  </si>
  <si>
    <t>SERREZUELA (AG. 51)</t>
  </si>
  <si>
    <t>X5270ZAA</t>
  </si>
  <si>
    <t>SERREZUELA</t>
  </si>
  <si>
    <t>X0182</t>
  </si>
  <si>
    <t>TANTI (AG. 82)</t>
  </si>
  <si>
    <t>X5155ZAA</t>
  </si>
  <si>
    <t>TANTI</t>
  </si>
  <si>
    <t>X0184</t>
  </si>
  <si>
    <t>TRÁNSITO (AG. 33)</t>
  </si>
  <si>
    <t>LOPEZ MARTI</t>
  </si>
  <si>
    <t>X2436ZAA</t>
  </si>
  <si>
    <t>TRANSITO</t>
  </si>
  <si>
    <t>X0188</t>
  </si>
  <si>
    <t>UNQUILLO (AG. 32)</t>
  </si>
  <si>
    <t>X5109ZAA</t>
  </si>
  <si>
    <t>UNQUILLO</t>
  </si>
  <si>
    <t>X0192</t>
  </si>
  <si>
    <t>VILLA ALLENDE</t>
  </si>
  <si>
    <t>GONZALEZ ELPIDIO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</si>
  <si>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</si>
  <si>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</si>
  <si>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</si>
  <si>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</si>
  <si>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</si>
  <si>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</si>
  <si>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</si>
  <si>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</si>
  <si>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</si>
  <si>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</si>
  <si>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</si>
  <si>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</si>
  <si>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VILLA DE SOTO (AG. 54)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</si>
  <si>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</si>
  <si>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</si>
  <si>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</si>
  <si>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</si>
  <si>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</si>
  <si>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</si>
  <si>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</si>
  <si>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</si>
  <si>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</si>
  <si>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</si>
  <si>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</si>
  <si>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</si>
  <si>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</si>
  <si>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</si>
  <si>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</si>
  <si>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</si>
  <si>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</si>
  <si>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</si>
  <si>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</si>
  <si>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</si>
  <si>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</si>
  <si>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</si>
  <si>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</si>
  <si>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</si>
  <si>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</si>
  <si>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</si>
  <si>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</si>
  <si>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</si>
  <si>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</si>
  <si>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</si>
  <si>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</si>
  <si>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</si>
  <si>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</si>
  <si>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</si>
  <si>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</si>
  <si>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</si>
  <si>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</si>
  <si>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</si>
  <si>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</si>
  <si>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</si>
  <si>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</si>
  <si>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</si>
  <si>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</si>
  <si>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</si>
  <si>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</si>
  <si>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</si>
  <si>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</si>
  <si>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</si>
  <si>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</si>
  <si>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</si>
  <si>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</si>
  <si>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</si>
  <si>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</si>
  <si>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BELGRANO GENERAL MANUEL</t>
  </si>
  <si>
    <t>A4448ZAA</t>
  </si>
  <si>
    <t>JOAQUIN V GONZALEZ</t>
  </si>
  <si>
    <t>A0025</t>
  </si>
  <si>
    <t>METAN</t>
  </si>
  <si>
    <t>SIERRA CAPITAN JOSE IGNACIO</t>
  </si>
  <si>
    <t>A4440ZAA</t>
  </si>
  <si>
    <t>A0026</t>
  </si>
  <si>
    <t>PICHANAL</t>
  </si>
  <si>
    <t>SARMIENTO</t>
  </si>
  <si>
    <t>VILLA RUMIPAL</t>
  </si>
  <si>
    <t>RIEMANN</t>
  </si>
  <si>
    <t>X5864ZAA</t>
  </si>
  <si>
    <t>X0486</t>
  </si>
  <si>
    <t>N3371ZAA</t>
  </si>
  <si>
    <t>N0030</t>
  </si>
  <si>
    <t>CORPUS</t>
  </si>
  <si>
    <t>GUAYCURARI COMANDANTE ANDRES</t>
  </si>
  <si>
    <t>N3327ZAA</t>
  </si>
  <si>
    <t>N0032</t>
  </si>
  <si>
    <t>DOS DE MAYO</t>
  </si>
  <si>
    <t>N3337ZAA</t>
  </si>
  <si>
    <t>2 DE MAYO</t>
  </si>
  <si>
    <t>N0034</t>
  </si>
  <si>
    <t>OBERÁ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</si>
  <si>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</si>
  <si>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</si>
  <si>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</si>
  <si>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</si>
  <si>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</si>
  <si>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</si>
  <si>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</si>
  <si>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</si>
  <si>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URUGUAY REPUBLICA ORIENTAL DEL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</si>
  <si>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</si>
  <si>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</si>
  <si>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</si>
  <si>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</si>
  <si>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</si>
  <si>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</si>
  <si>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</si>
  <si>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</si>
  <si>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</si>
  <si>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</si>
  <si>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</si>
  <si>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</si>
  <si>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</si>
  <si>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</si>
  <si>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</si>
  <si>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</si>
  <si>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</si>
  <si>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</si>
  <si>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</si>
  <si>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</si>
  <si>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</si>
  <si>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</si>
  <si>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</si>
  <si>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PERON EVA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</si>
  <si>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</si>
  <si>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</si>
  <si>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</si>
  <si>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</si>
  <si>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</si>
  <si>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</si>
  <si>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</si>
  <si>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</si>
  <si>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</si>
  <si>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</si>
  <si>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</si>
  <si>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</si>
  <si>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</si>
  <si>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</si>
  <si>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PERON PRESIDENTE JUAN DOMINGO</t>
  </si>
  <si>
    <t>B1644ZAA</t>
  </si>
  <si>
    <t>B0014</t>
  </si>
  <si>
    <t>B0015</t>
  </si>
  <si>
    <t>GENERAL PACHECO</t>
  </si>
  <si>
    <t>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</si>
  <si>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</si>
  <si>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</si>
  <si>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</si>
  <si>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</si>
  <si>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</si>
  <si>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</si>
  <si>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</si>
  <si>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</si>
  <si>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</si>
  <si>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</si>
  <si>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</si>
  <si>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</si>
  <si>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</si>
  <si>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</si>
  <si>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</si>
  <si>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</si>
  <si>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</si>
  <si>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</si>
  <si>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</si>
  <si>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</si>
  <si>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</si>
  <si>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GAUPARES GASPAR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</si>
  <si>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</si>
  <si>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</si>
  <si>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</si>
  <si>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</si>
  <si>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</si>
  <si>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</si>
  <si>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</si>
  <si>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</si>
  <si>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</si>
  <si>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</si>
  <si>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</si>
  <si>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</si>
  <si>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</si>
  <si>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JAUREGUI HOMERO</t>
  </si>
  <si>
    <t>N3385ZAB</t>
  </si>
  <si>
    <t>N1180</t>
  </si>
  <si>
    <t>SANTA ANA</t>
  </si>
  <si>
    <t>BRASANELLI HERMANO JOSE</t>
  </si>
  <si>
    <t>N3316ZAA</t>
  </si>
  <si>
    <t>P0003</t>
  </si>
  <si>
    <t>CLORINDA</t>
  </si>
  <si>
    <t>CAMPOS INTENDENTE A M</t>
  </si>
  <si>
    <t>B1650ZAB</t>
  </si>
  <si>
    <t>GENERAL SAN MARTIN</t>
  </si>
  <si>
    <t>B0001</t>
  </si>
  <si>
    <t>TIGRE</t>
  </si>
  <si>
    <t>CAZON DANIEL M</t>
  </si>
  <si>
    <t>B1648ZAB</t>
  </si>
  <si>
    <t>B0002</t>
  </si>
  <si>
    <t>VICENTE LOPEZ</t>
  </si>
  <si>
    <t>DEL LIBERTADOR</t>
  </si>
  <si>
    <t>B1638ZAC</t>
  </si>
  <si>
    <t>B0003</t>
  </si>
  <si>
    <t>VILLA ADELINA</t>
  </si>
  <si>
    <t>PARANA</t>
  </si>
  <si>
    <t>B1607ZAB</t>
  </si>
  <si>
    <t>B0004</t>
  </si>
  <si>
    <t>VILLA BALLESTER</t>
  </si>
  <si>
    <t>LOPEZ VICENTE FIDEL</t>
  </si>
  <si>
    <t>B1653ZAA</t>
  </si>
  <si>
    <t>B0005</t>
  </si>
  <si>
    <t>VILLA MARTELLI</t>
  </si>
  <si>
    <t>LAPRIDA FRANCISCO NARCISO DE</t>
  </si>
  <si>
    <t>B1603ZAA</t>
  </si>
  <si>
    <t>B0006</t>
  </si>
  <si>
    <t>DIAZ GENERAL PEDRO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</si>
  <si>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</si>
  <si>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</si>
  <si>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</si>
  <si>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</si>
  <si>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</si>
  <si>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</si>
  <si>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</si>
  <si>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</si>
  <si>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</si>
  <si>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</si>
  <si>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</si>
  <si>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</si>
  <si>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</si>
  <si>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</si>
  <si>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PERU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</si>
  <si>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</si>
  <si>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</si>
  <si>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</si>
  <si>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</si>
  <si>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</si>
  <si>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</si>
  <si>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</si>
  <si>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</si>
  <si>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</si>
  <si>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</si>
  <si>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</si>
  <si>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</si>
  <si>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</si>
  <si>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</si>
  <si>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</si>
  <si>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</si>
  <si>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</si>
  <si>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1748 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</si>
  <si>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</si>
  <si>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</si>
  <si>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</si>
  <si>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</si>
  <si>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</si>
  <si>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</si>
  <si>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</si>
  <si>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</si>
  <si>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</si>
  <si>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</si>
  <si>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</si>
  <si>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</si>
  <si>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</si>
  <si>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</si>
  <si>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</si>
  <si>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</si>
  <si>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</si>
  <si>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</si>
  <si>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</si>
  <si>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</si>
  <si>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</si>
  <si>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</si>
  <si>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</si>
  <si>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</si>
  <si>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</si>
  <si>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</si>
  <si>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</si>
  <si>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</si>
  <si>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</si>
  <si>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</si>
  <si>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</si>
  <si>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</si>
  <si>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</si>
  <si>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</si>
  <si>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</si>
  <si>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</si>
  <si>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</si>
  <si>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</si>
  <si>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</si>
  <si>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</si>
  <si>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</si>
  <si>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</si>
  <si>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</si>
  <si>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</si>
  <si>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</si>
  <si>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</si>
  <si>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</si>
  <si>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</si>
  <si>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</si>
  <si>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</si>
  <si>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</si>
  <si>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</si>
  <si>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</si>
  <si>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</si>
  <si>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</si>
  <si>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</si>
  <si>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</si>
  <si>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</si>
  <si>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</si>
  <si>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</si>
  <si>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</si>
  <si>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</si>
  <si>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</si>
  <si>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</si>
  <si>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</si>
  <si>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</si>
  <si>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</si>
  <si>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</si>
  <si>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</si>
  <si>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</si>
  <si>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</si>
  <si>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</si>
  <si>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</si>
  <si>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</si>
  <si>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</si>
  <si>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</si>
  <si>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</si>
  <si>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</si>
  <si>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</si>
  <si>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</si>
  <si>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</si>
  <si>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</si>
  <si>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</si>
  <si>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</si>
  <si>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</si>
  <si>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</si>
  <si>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</si>
  <si>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</si>
  <si>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</si>
  <si>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</si>
  <si>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</si>
  <si>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</si>
  <si>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</si>
  <si>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</si>
  <si>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</si>
  <si>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</si>
  <si>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</si>
  <si>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</si>
  <si>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</si>
  <si>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</si>
  <si>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</si>
  <si>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</si>
  <si>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</si>
  <si>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</si>
  <si>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</si>
  <si>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</si>
  <si>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</si>
  <si>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</si>
  <si>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</si>
  <si>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</si>
  <si>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</si>
  <si>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</si>
  <si>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</si>
  <si>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</si>
  <si>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</si>
  <si>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</si>
  <si>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</si>
  <si>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</si>
  <si>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</si>
  <si>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</si>
  <si>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</si>
  <si>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</si>
  <si>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</si>
  <si>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</si>
  <si>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</si>
  <si>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</si>
  <si>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</si>
  <si>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</si>
  <si>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</si>
  <si>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</si>
  <si>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</si>
  <si>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</si>
  <si>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</si>
  <si>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</si>
  <si>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</si>
  <si>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</si>
  <si>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</si>
  <si>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</si>
  <si>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</si>
  <si>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</si>
  <si>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</si>
  <si>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</si>
  <si>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</si>
  <si>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</si>
  <si>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</si>
  <si>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</si>
  <si>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</si>
  <si>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</si>
  <si>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</si>
  <si>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</si>
  <si>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</si>
  <si>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</si>
  <si>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</si>
  <si>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</si>
  <si>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</si>
  <si>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</si>
  <si>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</si>
  <si>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</si>
  <si>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</si>
  <si>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</si>
  <si>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</si>
  <si>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</si>
  <si>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</si>
  <si>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</si>
  <si>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</si>
  <si>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</si>
  <si>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</si>
  <si>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</si>
  <si>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</si>
  <si>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</si>
  <si>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</si>
  <si>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</si>
  <si>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</si>
  <si>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</si>
  <si>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</si>
  <si>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</si>
  <si>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</si>
  <si>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</si>
  <si>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</si>
  <si>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</si>
  <si>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</si>
  <si>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</si>
  <si>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</si>
  <si>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</si>
  <si>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</si>
  <si>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</si>
  <si>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</si>
  <si>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</si>
  <si>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</si>
  <si>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</si>
  <si>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</si>
  <si>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</si>
  <si>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</si>
  <si>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</si>
  <si>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</si>
  <si>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</si>
  <si>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</si>
  <si>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</si>
  <si>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</si>
  <si>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</si>
  <si>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</si>
  <si>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</si>
  <si>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</si>
  <si>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</si>
  <si>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</si>
  <si>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</si>
  <si>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</si>
  <si>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</si>
  <si>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</si>
  <si>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</si>
  <si>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</si>
  <si>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</si>
  <si>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</si>
  <si>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</si>
  <si>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</si>
  <si>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</si>
  <si>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</si>
  <si>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</si>
  <si>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</si>
  <si>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</si>
  <si>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</si>
  <si>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</si>
  <si>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</si>
  <si>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</si>
  <si>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</si>
  <si>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</si>
  <si>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</si>
  <si>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</si>
  <si>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</si>
  <si>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</si>
  <si>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</si>
  <si>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</si>
  <si>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</si>
  <si>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</si>
  <si>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</si>
  <si>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</si>
  <si>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</si>
  <si>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</si>
  <si>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</si>
  <si>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</si>
  <si>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</si>
  <si>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</si>
  <si>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</si>
  <si>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</si>
  <si>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</si>
  <si>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</si>
  <si>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</si>
  <si>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</si>
  <si>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</si>
  <si>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</si>
  <si>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</si>
  <si>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</si>
  <si>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</si>
  <si>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</si>
  <si>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</si>
  <si>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</si>
  <si>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</si>
  <si>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</si>
  <si>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</si>
  <si>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</si>
  <si>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</si>
  <si>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</si>
  <si>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</si>
  <si>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</si>
  <si>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</si>
  <si>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</si>
  <si>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</si>
  <si>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</si>
  <si>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</si>
  <si>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</si>
  <si>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</si>
  <si>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</si>
  <si>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</si>
  <si>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</si>
  <si>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</si>
  <si>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</si>
  <si>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</si>
  <si>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</si>
  <si>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</si>
  <si>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</si>
  <si>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</si>
  <si>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</si>
  <si>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</si>
  <si>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</si>
  <si>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</si>
  <si>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</si>
  <si>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</si>
  <si>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</si>
  <si>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</si>
  <si>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</si>
  <si>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</si>
  <si>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</si>
  <si>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</si>
  <si>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</si>
  <si>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</si>
  <si>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</si>
  <si>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</si>
  <si>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</si>
  <si>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</si>
  <si>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</si>
  <si>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</si>
  <si>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</si>
  <si>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</si>
  <si>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</si>
  <si>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</si>
  <si>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</si>
  <si>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</si>
  <si>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</si>
  <si>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</si>
  <si>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</si>
  <si>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</si>
  <si>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</si>
  <si>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</si>
  <si>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</si>
  <si>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</si>
  <si>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</si>
  <si>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</si>
  <si>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</si>
  <si>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</si>
  <si>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</si>
  <si>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</si>
  <si>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</si>
  <si>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</si>
  <si>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</si>
  <si>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</si>
  <si>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</si>
  <si>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</si>
  <si>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</si>
  <si>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</si>
  <si>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</si>
  <si>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</si>
  <si>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</si>
  <si>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</si>
  <si>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</si>
  <si>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</si>
  <si>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</si>
  <si>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</si>
  <si>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</si>
  <si>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</si>
  <si>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</si>
  <si>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</si>
  <si>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</si>
  <si>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</si>
  <si>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</si>
  <si>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</si>
  <si>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</si>
  <si>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</si>
  <si>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</si>
  <si>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</si>
  <si>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</si>
  <si>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</si>
  <si>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</si>
  <si>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</si>
  <si>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</si>
  <si>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</si>
  <si>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</si>
  <si>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</si>
  <si>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</si>
  <si>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</si>
  <si>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</si>
  <si>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</si>
  <si>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</si>
  <si>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</si>
  <si>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</si>
  <si>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</si>
  <si>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</si>
  <si>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</si>
  <si>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</si>
  <si>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</si>
  <si>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</si>
  <si>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</si>
  <si>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</si>
  <si>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</si>
  <si>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</si>
  <si>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</si>
  <si>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</si>
  <si>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</si>
  <si>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</si>
  <si>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</si>
  <si>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</si>
  <si>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</si>
  <si>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</si>
  <si>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</si>
  <si>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</si>
  <si>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</si>
  <si>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</si>
  <si>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</si>
  <si>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</si>
  <si>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</si>
  <si>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</si>
  <si>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</si>
  <si>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</si>
  <si>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</si>
  <si>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</si>
  <si>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</si>
  <si>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</si>
  <si>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</si>
  <si>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</si>
  <si>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</si>
  <si>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</si>
  <si>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</si>
  <si>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</si>
  <si>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</si>
  <si>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</si>
  <si>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</si>
  <si>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</si>
  <si>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</si>
  <si>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</si>
  <si>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</si>
  <si>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</si>
  <si>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</si>
  <si>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</si>
  <si>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</si>
  <si>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</si>
  <si>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</si>
  <si>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</si>
  <si>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</si>
  <si>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</si>
  <si>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</si>
  <si>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</si>
  <si>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</si>
  <si>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</si>
  <si>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</si>
  <si>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</si>
  <si>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</si>
  <si>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</si>
  <si>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</si>
  <si>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</si>
  <si>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</si>
  <si>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</si>
  <si>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</si>
  <si>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</si>
  <si>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</si>
  <si>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</si>
  <si>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</si>
  <si>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</si>
  <si>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</si>
  <si>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</si>
  <si>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</si>
  <si>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</si>
  <si>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</si>
  <si>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</si>
  <si>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</si>
  <si>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</si>
  <si>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</si>
  <si>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</si>
  <si>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</si>
  <si>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</si>
  <si>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</si>
  <si>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</si>
  <si>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</si>
  <si>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</si>
  <si>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</si>
  <si>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</si>
  <si>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</si>
  <si>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</si>
  <si>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</si>
  <si>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</si>
  <si>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</si>
  <si>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</si>
  <si>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</si>
  <si>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</si>
  <si>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</si>
  <si>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</si>
  <si>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</si>
  <si>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</si>
  <si>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</si>
  <si>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</si>
  <si>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</si>
  <si>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</si>
  <si>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</si>
  <si>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</si>
  <si>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</si>
  <si>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</si>
  <si>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</si>
  <si>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</si>
  <si>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</si>
  <si>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</si>
  <si>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</si>
  <si>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</si>
  <si>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</si>
  <si>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</si>
  <si>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</si>
  <si>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</si>
  <si>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</si>
  <si>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</si>
  <si>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</si>
  <si>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</si>
  <si>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</si>
  <si>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</si>
  <si>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</si>
  <si>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</si>
  <si>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</si>
  <si>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</si>
  <si>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</si>
  <si>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</si>
  <si>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</si>
  <si>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</si>
  <si>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</si>
  <si>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</si>
  <si>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</si>
  <si>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</si>
  <si>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</si>
  <si>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</si>
  <si>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</si>
  <si>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</si>
  <si>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</si>
  <si>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</si>
  <si>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</si>
  <si>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</si>
  <si>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</si>
  <si>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</si>
  <si>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</si>
  <si>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</si>
  <si>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</si>
  <si>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</si>
  <si>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</si>
  <si>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</si>
  <si>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</si>
  <si>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</si>
  <si>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</si>
  <si>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</si>
  <si>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</si>
  <si>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</si>
  <si>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</si>
  <si>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</si>
  <si>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</si>
  <si>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</si>
  <si>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</si>
  <si>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</si>
  <si>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</si>
  <si>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</si>
  <si>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</si>
  <si>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</si>
  <si>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</si>
  <si>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</si>
  <si>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</si>
  <si>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</si>
  <si>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</si>
  <si>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</si>
  <si>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</si>
  <si>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</si>
  <si>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</si>
  <si>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</si>
  <si>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</si>
  <si>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</si>
  <si>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</si>
  <si>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</si>
  <si>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</si>
  <si>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</si>
  <si>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</si>
  <si>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</si>
  <si>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</si>
  <si>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</si>
  <si>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</si>
  <si>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</si>
  <si>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</si>
  <si>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</si>
  <si>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</si>
  <si>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</si>
  <si>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</si>
  <si>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</si>
  <si>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</si>
  <si>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</si>
  <si>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</si>
  <si>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</si>
  <si>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</si>
  <si>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</si>
  <si>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</si>
  <si>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</si>
  <si>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</si>
  <si>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</si>
  <si>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</si>
  <si>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</si>
  <si>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</si>
  <si>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</si>
  <si>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</si>
  <si>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</si>
  <si>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</si>
  <si>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</si>
  <si>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</si>
  <si>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</si>
  <si>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</si>
  <si>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</si>
  <si>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</si>
  <si>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</si>
  <si>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</si>
  <si>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</si>
  <si>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</si>
  <si>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</si>
  <si>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</si>
  <si>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</si>
  <si>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</si>
  <si>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</si>
  <si>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</si>
  <si>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</si>
  <si>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</si>
  <si>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</si>
  <si>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</si>
  <si>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</si>
  <si>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</si>
  <si>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</si>
  <si>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</si>
  <si>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</si>
  <si>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</si>
  <si>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</si>
  <si>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</si>
  <si>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</si>
  <si>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</si>
  <si>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</si>
  <si>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</si>
  <si>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</si>
  <si>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</si>
  <si>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</si>
  <si>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</si>
  <si>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</si>
  <si>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</si>
  <si>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</si>
  <si>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</si>
  <si>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</si>
  <si>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</si>
  <si>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</si>
  <si>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</si>
  <si>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</si>
  <si>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</si>
  <si>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</si>
  <si>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</si>
  <si>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</si>
  <si>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</si>
  <si>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</si>
  <si>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</si>
  <si>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</si>
  <si>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</si>
  <si>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</si>
  <si>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</si>
  <si>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</si>
  <si>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</si>
  <si>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</si>
  <si>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</si>
  <si>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</si>
  <si>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</si>
  <si>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</si>
  <si>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</si>
  <si>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</si>
  <si>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</si>
  <si>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</si>
  <si>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</si>
  <si>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</si>
  <si>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</si>
  <si>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</si>
  <si>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</si>
  <si>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</si>
  <si>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</si>
  <si>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</si>
  <si>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</si>
  <si>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</si>
  <si>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</si>
  <si>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</si>
  <si>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</si>
  <si>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</si>
  <si>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</si>
  <si>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</si>
  <si>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</si>
  <si>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</si>
  <si>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</si>
  <si>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</si>
  <si>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</si>
  <si>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</si>
  <si>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</si>
  <si>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</si>
  <si>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</si>
  <si>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</si>
  <si>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</si>
  <si>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</si>
  <si>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</si>
  <si>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</si>
  <si>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</si>
  <si>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</si>
  <si>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</si>
  <si>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</si>
  <si>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</si>
  <si>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</si>
  <si>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</si>
  <si>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</si>
  <si>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</si>
  <si>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</si>
  <si>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</si>
  <si>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</si>
  <si>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</si>
  <si>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</si>
  <si>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</si>
  <si>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</si>
  <si>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</si>
  <si>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</si>
  <si>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</si>
  <si>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</si>
  <si>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</si>
  <si>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</si>
  <si>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</si>
  <si>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</si>
  <si>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</si>
  <si>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</si>
  <si>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</si>
  <si>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</si>
  <si>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</si>
  <si>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</si>
  <si>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</si>
  <si>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</si>
  <si>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</si>
  <si>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</si>
  <si>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</si>
  <si>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</si>
  <si>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</si>
  <si>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</si>
  <si>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</si>
  <si>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</si>
  <si>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</si>
  <si>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</si>
  <si>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</si>
  <si>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</si>
  <si>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</si>
  <si>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</si>
  <si>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</si>
  <si>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</si>
  <si>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</si>
  <si>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</si>
  <si>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</si>
  <si>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</si>
  <si>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</si>
  <si>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</si>
  <si>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</si>
  <si>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</si>
  <si>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</si>
  <si>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</si>
  <si>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</si>
  <si>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</si>
  <si>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</si>
  <si>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</si>
  <si>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</si>
  <si>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</si>
  <si>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</si>
  <si>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</si>
  <si>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</si>
  <si>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</si>
  <si>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</si>
  <si>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</si>
  <si>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</si>
  <si>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</si>
  <si>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</si>
  <si>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</si>
  <si>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</si>
  <si>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</si>
  <si>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</si>
  <si>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</si>
  <si>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</si>
  <si>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</si>
  <si>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</si>
  <si>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</si>
  <si>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</si>
  <si>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</si>
  <si>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</si>
  <si>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</si>
  <si>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</si>
  <si>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</si>
  <si>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</si>
  <si>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</si>
  <si>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</si>
  <si>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</si>
  <si>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</si>
  <si>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</si>
  <si>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</si>
  <si>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</si>
  <si>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</si>
  <si>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</si>
  <si>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</si>
  <si>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</si>
  <si>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</si>
  <si>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</si>
  <si>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</si>
  <si>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</si>
  <si>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</si>
  <si>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</si>
  <si>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</si>
  <si>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</si>
  <si>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</si>
  <si>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</si>
  <si>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</si>
  <si>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</si>
  <si>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</si>
  <si>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</si>
  <si>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</si>
  <si>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</si>
  <si>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</si>
  <si>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</si>
  <si>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</si>
  <si>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</si>
  <si>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</si>
  <si>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</si>
  <si>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</si>
  <si>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</si>
  <si>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</si>
  <si>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</si>
  <si>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</si>
  <si>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</si>
  <si>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</si>
  <si>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</si>
  <si>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</si>
  <si>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</si>
  <si>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</si>
  <si>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</si>
  <si>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</si>
  <si>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</si>
  <si>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</si>
  <si>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</si>
  <si>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</si>
  <si>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</si>
  <si>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</si>
  <si>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</si>
  <si>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</si>
  <si>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</si>
  <si>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</si>
  <si>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</si>
  <si>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</si>
  <si>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</si>
  <si>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</si>
  <si>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</si>
  <si>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</si>
  <si>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</si>
  <si>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</si>
  <si>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</si>
  <si>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</si>
  <si>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</si>
  <si>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</si>
  <si>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</si>
  <si>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</si>
  <si>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</si>
  <si>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</si>
  <si>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</si>
  <si>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</si>
  <si>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</si>
  <si>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</si>
  <si>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</si>
  <si>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</si>
  <si>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</si>
  <si>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</si>
  <si>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</si>
  <si>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</si>
  <si>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</si>
  <si>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</si>
  <si>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</si>
  <si>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</si>
  <si>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</si>
  <si>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</si>
  <si>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</si>
  <si>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</si>
  <si>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</si>
  <si>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</si>
  <si>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</si>
  <si>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</si>
  <si>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</si>
  <si>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</si>
  <si>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</si>
  <si>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</si>
  <si>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</si>
  <si>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</si>
  <si>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</si>
  <si>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</si>
  <si>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</si>
  <si>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</si>
  <si>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</si>
  <si>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</si>
  <si>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</si>
  <si>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</si>
  <si>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</si>
  <si>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</si>
  <si>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</si>
  <si>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</si>
  <si>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</si>
  <si>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</si>
  <si>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</si>
  <si>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</si>
  <si>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</si>
  <si>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</si>
  <si>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</si>
  <si>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</si>
  <si>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</si>
  <si>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</si>
  <si>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</si>
  <si>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</si>
  <si>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</si>
  <si>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</si>
  <si>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</si>
  <si>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</si>
  <si>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</si>
  <si>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</si>
  <si>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</si>
  <si>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</si>
  <si>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</si>
  <si>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</si>
  <si>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</si>
  <si>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</si>
  <si>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</si>
  <si>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</si>
  <si>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</si>
  <si>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</si>
  <si>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</si>
  <si>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</si>
  <si>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</si>
  <si>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</si>
  <si>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</si>
  <si>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</si>
  <si>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</si>
  <si>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</si>
  <si>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</si>
  <si>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</si>
  <si>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</si>
  <si>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</si>
  <si>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</si>
  <si>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</si>
  <si>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</si>
  <si>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</si>
  <si>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</si>
  <si>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</si>
  <si>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</si>
  <si>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</si>
  <si>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</si>
  <si>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</si>
  <si>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</si>
  <si>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</si>
  <si>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</si>
  <si>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</si>
  <si>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</si>
  <si>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</si>
  <si>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</si>
  <si>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</si>
  <si>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</si>
  <si>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</si>
  <si>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</si>
  <si>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</si>
  <si>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</si>
  <si>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</si>
  <si>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</si>
  <si>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</si>
  <si>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</si>
  <si>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</si>
  <si>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</si>
  <si>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</si>
  <si>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</si>
  <si>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</si>
  <si>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</si>
  <si>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</si>
  <si>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</si>
  <si>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</si>
  <si>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</si>
  <si>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</si>
  <si>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</si>
  <si>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</si>
  <si>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</si>
  <si>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</si>
  <si>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</si>
  <si>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</si>
  <si>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</si>
  <si>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</si>
  <si>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</si>
  <si>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</si>
  <si>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</si>
  <si>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</si>
  <si>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</si>
  <si>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</si>
  <si>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</si>
  <si>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</si>
  <si>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</si>
  <si>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</si>
  <si>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</si>
  <si>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</si>
  <si>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</si>
  <si>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</si>
  <si>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</si>
  <si>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</si>
  <si>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</si>
  <si>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</si>
  <si>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</si>
  <si>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</si>
  <si>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</si>
  <si>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</si>
  <si>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</si>
  <si>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</si>
  <si>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</si>
  <si>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</si>
  <si>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</si>
  <si>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</si>
  <si>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</si>
  <si>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</si>
  <si>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</si>
  <si>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</si>
  <si>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</si>
  <si>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</si>
  <si>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</si>
  <si>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</si>
  <si>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</si>
  <si>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</si>
  <si>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</si>
  <si>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</si>
  <si>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</si>
  <si>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</si>
  <si>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</si>
  <si>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</si>
  <si>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</si>
  <si>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</si>
  <si>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</si>
  <si>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</si>
  <si>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</si>
  <si>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</si>
  <si>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</si>
  <si>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</si>
  <si>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</si>
  <si>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</si>
  <si>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</si>
  <si>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</si>
  <si>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</si>
  <si>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</si>
  <si>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</si>
  <si>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</si>
  <si>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</si>
  <si>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</si>
  <si>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</si>
  <si>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</si>
  <si>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</si>
  <si>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</si>
  <si>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</si>
  <si>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</si>
  <si>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</si>
  <si>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</si>
  <si>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</si>
  <si>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</si>
  <si>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</si>
  <si>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</si>
  <si>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</si>
  <si>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</si>
  <si>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</si>
  <si>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</si>
  <si>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</si>
  <si>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</si>
  <si>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</si>
  <si>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</si>
  <si>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</si>
  <si>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</si>
  <si>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</si>
  <si>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</si>
  <si>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</si>
  <si>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</si>
  <si>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</si>
  <si>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</si>
  <si>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</si>
  <si>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</si>
  <si>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</si>
  <si>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</si>
  <si>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</si>
  <si>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</si>
  <si>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</si>
  <si>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</si>
  <si>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</si>
  <si>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</si>
  <si>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</si>
  <si>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</si>
  <si>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</si>
  <si>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</si>
  <si>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</si>
  <si>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</si>
  <si>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</si>
  <si>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</si>
  <si>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</si>
  <si>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</si>
  <si>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</si>
  <si>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</si>
  <si>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</si>
  <si>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</si>
  <si>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</si>
  <si>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</si>
  <si>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</si>
  <si>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</si>
  <si>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</si>
  <si>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</si>
  <si>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</si>
  <si>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</si>
  <si>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</si>
  <si>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</si>
  <si>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</si>
  <si>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</si>
  <si>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</si>
  <si>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</si>
  <si>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</si>
  <si>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</si>
  <si>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</si>
  <si>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</si>
  <si>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</si>
  <si>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</si>
  <si>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</si>
  <si>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</si>
  <si>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</si>
  <si>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</si>
  <si>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</si>
  <si>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</si>
  <si>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</si>
  <si>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</si>
  <si>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</si>
  <si>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</si>
  <si>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</si>
  <si>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</si>
  <si>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</si>
  <si>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</si>
  <si>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</si>
  <si>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</si>
  <si>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</si>
  <si>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</si>
  <si>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</si>
  <si>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</si>
  <si>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</si>
  <si>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</si>
  <si>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</si>
  <si>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</si>
  <si>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</si>
  <si>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</si>
  <si>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</si>
  <si>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</si>
  <si>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</si>
  <si>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</si>
  <si>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</si>
  <si>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</si>
  <si>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</si>
  <si>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</si>
  <si>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</si>
  <si>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</si>
  <si>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</si>
  <si>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</si>
  <si>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</si>
  <si>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</si>
  <si>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</si>
  <si>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</si>
  <si>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</si>
  <si>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</si>
  <si>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</si>
  <si>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</si>
  <si>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</si>
  <si>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</si>
  <si>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</si>
  <si>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</si>
  <si>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</si>
  <si>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</si>
  <si>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</si>
  <si>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</si>
  <si>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</si>
  <si>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</si>
  <si>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</si>
  <si>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</si>
  <si>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</si>
  <si>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</si>
  <si>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</si>
  <si>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</si>
  <si>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</si>
  <si>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</si>
  <si>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</si>
  <si>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</si>
  <si>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</si>
  <si>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</si>
  <si>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</si>
  <si>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</si>
  <si>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</si>
  <si>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</si>
  <si>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</si>
  <si>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</si>
  <si>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</si>
  <si>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</si>
  <si>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</si>
  <si>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</si>
  <si>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</si>
  <si>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</si>
  <si>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</si>
  <si>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</si>
  <si>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</si>
  <si>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</si>
  <si>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</si>
  <si>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</si>
  <si>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</si>
  <si>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</si>
  <si>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</si>
  <si>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</si>
  <si>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</si>
  <si>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</si>
  <si>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</si>
  <si>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</si>
  <si>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</si>
  <si>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</si>
  <si>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</si>
  <si>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</si>
  <si>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</si>
  <si>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</si>
  <si>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</si>
  <si>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</si>
  <si>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</si>
  <si>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</si>
  <si>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</si>
  <si>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</si>
  <si>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</si>
  <si>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</si>
  <si>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</si>
  <si>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</si>
  <si>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</si>
  <si>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</si>
  <si>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</si>
  <si>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</si>
  <si>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</si>
  <si>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</si>
  <si>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</si>
  <si>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</si>
  <si>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</si>
  <si>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</si>
  <si>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</si>
  <si>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</si>
  <si>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</si>
  <si>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</si>
  <si>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</si>
  <si>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</si>
  <si>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</si>
  <si>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</si>
  <si>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</si>
  <si>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</si>
  <si>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</si>
  <si>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</si>
  <si>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</si>
  <si>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</si>
  <si>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</si>
  <si>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</si>
  <si>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</si>
  <si>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</si>
  <si>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</si>
  <si>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</si>
  <si>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</si>
  <si>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</si>
  <si>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</si>
  <si>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</si>
  <si>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</si>
  <si>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</si>
  <si>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</si>
  <si>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</si>
  <si>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</si>
  <si>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</si>
  <si>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</si>
  <si>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</si>
  <si>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</si>
  <si>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</si>
  <si>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</si>
  <si>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</si>
  <si>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</si>
  <si>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</si>
  <si>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</si>
  <si>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</si>
  <si>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</si>
  <si>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</si>
  <si>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</si>
  <si>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</si>
  <si>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</si>
  <si>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</si>
  <si>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</si>
  <si>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</si>
  <si>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</si>
  <si>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</si>
  <si>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</si>
  <si>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</si>
  <si>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</si>
  <si>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</si>
  <si>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</si>
  <si>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</si>
  <si>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</si>
  <si>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</si>
  <si>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</si>
  <si>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</si>
  <si>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</si>
  <si>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</si>
  <si>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</si>
  <si>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</si>
  <si>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</si>
  <si>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</si>
  <si>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</si>
  <si>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</si>
  <si>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</si>
  <si>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</si>
  <si>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</si>
  <si>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</si>
  <si>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</si>
  <si>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</si>
  <si>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</si>
  <si>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</si>
  <si>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</si>
  <si>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</si>
  <si>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</si>
  <si>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</si>
  <si>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</si>
  <si>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</si>
  <si>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</si>
  <si>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</si>
  <si>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</si>
  <si>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</si>
  <si>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</si>
  <si>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</si>
  <si>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</si>
  <si>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</si>
  <si>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</si>
  <si>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</si>
  <si>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</si>
  <si>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</si>
  <si>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</si>
  <si>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</si>
  <si>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</si>
  <si>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</si>
  <si>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</si>
  <si>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</si>
  <si>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</si>
  <si>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</si>
  <si>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</si>
  <si>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</si>
  <si>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</si>
  <si>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</si>
  <si>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</si>
  <si>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</si>
  <si>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</si>
  <si>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</si>
  <si>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</si>
  <si>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</si>
  <si>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</si>
  <si>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</si>
  <si>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</si>
  <si>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</si>
  <si>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</si>
  <si>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</si>
  <si>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</si>
  <si>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</si>
  <si>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</si>
  <si>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</si>
  <si>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</si>
  <si>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</si>
  <si>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</si>
  <si>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</si>
  <si>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</si>
  <si>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</si>
  <si>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</si>
  <si>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</si>
  <si>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</si>
  <si>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</si>
  <si>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</si>
  <si>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</si>
  <si>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</si>
  <si>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</si>
  <si>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</si>
  <si>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</si>
  <si>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</si>
  <si>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</si>
  <si>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</si>
  <si>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</si>
  <si>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</si>
  <si>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</si>
  <si>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</si>
  <si>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</si>
  <si>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</si>
  <si>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</si>
  <si>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</si>
  <si>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</si>
  <si>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</si>
  <si>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</si>
  <si>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</si>
  <si>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</si>
  <si>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</si>
  <si>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</si>
  <si>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</si>
  <si>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</si>
  <si>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</si>
  <si>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</si>
  <si>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</si>
  <si>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</si>
  <si>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</si>
  <si>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</si>
  <si>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</si>
  <si>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</si>
  <si>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</si>
  <si>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</si>
  <si>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</si>
  <si>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</si>
  <si>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</si>
  <si>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</si>
  <si>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</si>
  <si>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</si>
  <si>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</si>
  <si>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</si>
  <si>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</si>
  <si>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</si>
  <si>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</si>
  <si>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</si>
  <si>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</si>
  <si>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</si>
  <si>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</si>
  <si>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</si>
  <si>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</si>
  <si>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</si>
  <si>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</si>
  <si>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</si>
  <si>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</si>
  <si>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</si>
  <si>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</si>
  <si>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</si>
  <si>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</si>
  <si>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</si>
  <si>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</si>
  <si>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</si>
  <si>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</si>
  <si>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</si>
  <si>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</si>
  <si>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</si>
  <si>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</si>
  <si>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</si>
  <si>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</si>
  <si>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</si>
  <si>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</si>
  <si>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</si>
  <si>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</si>
  <si>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</si>
  <si>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</si>
  <si>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</si>
  <si>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</si>
  <si>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</si>
  <si>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</si>
  <si>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</si>
  <si>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</si>
  <si>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</si>
  <si>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</si>
  <si>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</si>
  <si>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</si>
  <si>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</si>
  <si>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</si>
  <si>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</si>
  <si>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</si>
  <si>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</si>
  <si>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</si>
  <si>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</si>
  <si>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</si>
  <si>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</si>
  <si>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</si>
  <si>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</si>
  <si>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</si>
  <si>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</si>
  <si>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</si>
  <si>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</si>
  <si>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</si>
  <si>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</si>
  <si>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</si>
  <si>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</si>
  <si>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</si>
  <si>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</si>
  <si>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</si>
  <si>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</si>
  <si>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</si>
  <si>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</si>
  <si>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</si>
  <si>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</si>
  <si>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</si>
  <si>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</si>
  <si>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</si>
  <si>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</si>
  <si>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</si>
  <si>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</si>
  <si>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</si>
  <si>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</si>
  <si>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</si>
  <si>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</si>
  <si>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</si>
  <si>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</si>
  <si>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</si>
  <si>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</si>
  <si>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</si>
  <si>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</si>
  <si>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</si>
  <si>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</si>
  <si>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</si>
  <si>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</si>
  <si>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</si>
  <si>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</si>
  <si>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</si>
  <si>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</si>
  <si>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</si>
  <si>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</si>
  <si>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</si>
  <si>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</si>
  <si>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</si>
  <si>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</si>
  <si>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</si>
  <si>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</si>
  <si>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</si>
  <si>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</si>
  <si>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</si>
  <si>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</si>
  <si>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</si>
  <si>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</si>
  <si>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</si>
  <si>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</si>
  <si>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</si>
  <si>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</si>
  <si>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</si>
  <si>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</si>
  <si>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</si>
  <si>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</si>
  <si>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</si>
  <si>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</si>
  <si>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</si>
  <si>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</si>
  <si>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</si>
  <si>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</si>
  <si>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</si>
  <si>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</si>
  <si>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</si>
  <si>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</si>
  <si>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</si>
  <si>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</si>
  <si>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</si>
  <si>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</si>
  <si>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</si>
  <si>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</si>
  <si>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</si>
  <si>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</si>
  <si>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</si>
  <si>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</si>
  <si>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</si>
  <si>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</si>
  <si>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</si>
  <si>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</si>
  <si>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</si>
  <si>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</si>
  <si>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</si>
  <si>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</si>
  <si>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</si>
  <si>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</si>
  <si>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</si>
  <si>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</si>
  <si>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</si>
  <si>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</si>
  <si>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</si>
  <si>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</si>
  <si>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</si>
  <si>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</si>
  <si>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</si>
  <si>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</si>
  <si>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</si>
  <si>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</si>
  <si>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</si>
  <si>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</si>
  <si>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</si>
  <si>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</si>
  <si>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</si>
  <si>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</si>
  <si>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</si>
  <si>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</si>
  <si>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</si>
  <si>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</si>
  <si>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</si>
  <si>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</si>
  <si>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</si>
  <si>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</si>
  <si>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</si>
  <si>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</si>
  <si>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</si>
  <si>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</si>
  <si>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</si>
  <si>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</si>
  <si>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</si>
  <si>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</si>
  <si>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</si>
  <si>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</si>
  <si>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</si>
  <si>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</si>
  <si>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</si>
  <si>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</si>
  <si>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</si>
  <si>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</si>
  <si>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</si>
  <si>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</si>
  <si>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</si>
  <si>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</si>
  <si>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</si>
  <si>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</si>
  <si>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</si>
  <si>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</si>
  <si>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</si>
  <si>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</si>
  <si>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</si>
  <si>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</si>
  <si>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</si>
  <si>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</si>
  <si>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</si>
  <si>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</si>
  <si>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</si>
  <si>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</si>
  <si>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</si>
  <si>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</si>
  <si>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</si>
  <si>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</si>
  <si>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</si>
  <si>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</si>
  <si>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</si>
  <si>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</si>
  <si>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</si>
  <si>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</si>
  <si>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</si>
  <si>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</si>
  <si>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</si>
  <si>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</si>
  <si>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</si>
  <si>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</si>
  <si>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</si>
  <si>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</si>
  <si>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</si>
  <si>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</si>
  <si>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</si>
  <si>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</si>
  <si>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</si>
  <si>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</si>
  <si>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</si>
  <si>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</si>
  <si>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</si>
  <si>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</si>
  <si>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</si>
  <si>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</si>
  <si>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</si>
  <si>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</si>
  <si>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</si>
  <si>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</si>
  <si>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</si>
  <si>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</si>
  <si>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</si>
  <si>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</si>
  <si>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</si>
  <si>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</si>
  <si>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</si>
  <si>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</si>
  <si>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</si>
  <si>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</si>
  <si>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</si>
  <si>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</si>
  <si>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</si>
  <si>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</si>
  <si>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</si>
  <si>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</si>
  <si>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</si>
  <si>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</si>
  <si>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</si>
  <si>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</si>
  <si>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</si>
  <si>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</si>
  <si>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</si>
  <si>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</si>
  <si>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</si>
  <si>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</si>
  <si>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</si>
  <si>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</si>
  <si>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</si>
  <si>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</si>
  <si>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</si>
  <si>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</si>
  <si>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</si>
  <si>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</si>
  <si>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</si>
  <si>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</si>
  <si>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</si>
  <si>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</si>
  <si>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</si>
  <si>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</si>
  <si>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</si>
  <si>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</si>
  <si>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</si>
  <si>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</si>
  <si>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</si>
  <si>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</si>
  <si>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</si>
  <si>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</si>
  <si>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</si>
  <si>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</si>
  <si>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</si>
  <si>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</si>
  <si>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</si>
  <si>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</si>
  <si>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</si>
  <si>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</si>
  <si>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</si>
  <si>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</si>
  <si>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</si>
  <si>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</si>
  <si>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</si>
  <si>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</si>
  <si>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</si>
  <si>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</si>
  <si>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</si>
  <si>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</si>
  <si>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</si>
  <si>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</si>
  <si>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</si>
  <si>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</si>
  <si>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</si>
  <si>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</si>
  <si>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</si>
  <si>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</si>
  <si>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</si>
  <si>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</si>
  <si>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</si>
  <si>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</si>
  <si>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</si>
  <si>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</si>
  <si>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</si>
  <si>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</si>
  <si>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</si>
  <si>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</si>
  <si>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</si>
  <si>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</si>
  <si>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</si>
  <si>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</si>
  <si>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</si>
  <si>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</si>
  <si>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</si>
  <si>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</si>
  <si>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</si>
  <si>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</si>
  <si>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</si>
  <si>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</si>
  <si>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</si>
  <si>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</si>
  <si>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</si>
  <si>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</si>
  <si>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</si>
  <si>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</si>
  <si>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</si>
  <si>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</si>
  <si>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</si>
  <si>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</si>
  <si>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</si>
  <si>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</si>
  <si>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</si>
  <si>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</si>
  <si>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</si>
  <si>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</si>
  <si>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</si>
  <si>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</si>
  <si>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</si>
  <si>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</si>
  <si>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</si>
  <si>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</si>
  <si>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</si>
  <si>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</si>
  <si>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</si>
  <si>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</si>
  <si>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</si>
  <si>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</si>
  <si>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</si>
  <si>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</si>
  <si>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</si>
  <si>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</si>
  <si>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</si>
  <si>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</si>
  <si>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</si>
  <si>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</si>
  <si>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</si>
  <si>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</si>
  <si>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</si>
  <si>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</si>
  <si>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</si>
  <si>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</si>
  <si>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</si>
  <si>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</si>
  <si>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</si>
  <si>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</si>
  <si>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</si>
  <si>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</si>
  <si>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</si>
  <si>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</si>
  <si>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</si>
  <si>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</si>
  <si>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</si>
  <si>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</si>
  <si>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</si>
  <si>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</si>
  <si>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</si>
  <si>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</si>
  <si>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</si>
  <si>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</si>
  <si>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</si>
  <si>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</si>
  <si>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</si>
  <si>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</si>
  <si>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</si>
  <si>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</si>
  <si>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</si>
  <si>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</si>
  <si>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</si>
  <si>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</si>
  <si>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</si>
  <si>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</si>
  <si>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</si>
  <si>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</si>
  <si>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</si>
  <si>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</si>
  <si>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</si>
  <si>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</si>
  <si>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</si>
  <si>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</si>
  <si>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</si>
  <si>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</si>
  <si>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</si>
  <si>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</si>
  <si>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</si>
  <si>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</si>
  <si>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</si>
  <si>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</si>
  <si>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</si>
  <si>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</si>
  <si>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</si>
  <si>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</si>
  <si>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</si>
  <si>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</si>
  <si>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</si>
  <si>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</si>
  <si>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</si>
  <si>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</si>
  <si>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</si>
  <si>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</si>
  <si>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</si>
  <si>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</si>
  <si>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</si>
  <si>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</si>
  <si>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</si>
  <si>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</si>
  <si>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</si>
  <si>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</si>
  <si>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</si>
  <si>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</si>
  <si>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</si>
  <si>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</si>
  <si>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</si>
  <si>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</si>
  <si>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</si>
  <si>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</si>
  <si>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</si>
  <si>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</si>
  <si>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</si>
  <si>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</si>
  <si>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</si>
  <si>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</si>
  <si>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</si>
  <si>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</si>
  <si>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</si>
  <si>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</si>
  <si>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</si>
  <si>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</si>
  <si>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</si>
  <si>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</si>
  <si>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</si>
  <si>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</si>
  <si>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</si>
  <si>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</si>
  <si>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</si>
  <si>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</si>
  <si>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</si>
  <si>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</si>
  <si>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</si>
  <si>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</si>
  <si>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</si>
  <si>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</si>
  <si>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</si>
  <si>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</si>
  <si>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</si>
  <si>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</si>
  <si>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</si>
  <si>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</si>
  <si>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</si>
  <si>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</si>
  <si>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</si>
  <si>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</si>
  <si>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</si>
  <si>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</si>
  <si>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</si>
  <si>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</si>
  <si>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</si>
  <si>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</si>
  <si>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</si>
  <si>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</si>
  <si>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</si>
  <si>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</si>
  <si>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</si>
  <si>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</si>
  <si>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</si>
  <si>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</si>
  <si>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</si>
  <si>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</si>
  <si>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</si>
  <si>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</si>
  <si>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</si>
  <si>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</si>
  <si>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</si>
  <si>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</si>
  <si>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</si>
  <si>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</si>
  <si>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</si>
  <si>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</si>
  <si>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</si>
  <si>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</si>
  <si>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</si>
  <si>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</si>
  <si>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</si>
  <si>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</si>
  <si>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</si>
  <si>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</si>
  <si>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</si>
  <si>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</si>
  <si>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</si>
  <si>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</si>
  <si>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</si>
  <si>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</si>
  <si>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</si>
  <si>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</si>
  <si>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</si>
  <si>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</si>
  <si>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</si>
  <si>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</si>
  <si>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</si>
  <si>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</si>
  <si>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</si>
  <si>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</si>
  <si>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</si>
  <si>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</si>
  <si>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</si>
  <si>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</si>
  <si>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</si>
  <si>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</si>
  <si>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</si>
  <si>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</si>
  <si>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</si>
  <si>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</si>
  <si>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</si>
  <si>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</si>
  <si>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</si>
  <si>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</si>
  <si>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</si>
  <si>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</si>
  <si>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</si>
  <si>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</si>
  <si>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</si>
  <si>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</si>
  <si>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</si>
  <si>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</si>
  <si>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</si>
  <si>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</si>
  <si>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</si>
  <si>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</si>
  <si>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</si>
  <si>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</si>
  <si>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</si>
  <si>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</si>
  <si>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</si>
  <si>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</si>
  <si>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</si>
  <si>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</si>
  <si>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</si>
  <si>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</si>
  <si>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</si>
  <si>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</si>
  <si>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</si>
  <si>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</si>
  <si>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</si>
  <si>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</si>
  <si>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</si>
  <si>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</si>
  <si>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</si>
  <si>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</si>
  <si>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</si>
  <si>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</si>
  <si>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</si>
  <si>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</si>
  <si>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</si>
  <si>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</si>
  <si>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</si>
  <si>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</si>
  <si>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</si>
  <si>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</si>
  <si>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</si>
  <si>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</si>
  <si>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</si>
  <si>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</si>
  <si>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</si>
  <si>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</si>
  <si>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</si>
  <si>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</si>
  <si>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</si>
  <si>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</si>
  <si>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</si>
  <si>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</si>
  <si>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</si>
  <si>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</si>
  <si>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</si>
  <si>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</si>
  <si>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</si>
  <si>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</si>
  <si>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</si>
  <si>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</si>
  <si>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</si>
  <si>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</si>
  <si>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</si>
  <si>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</si>
  <si>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</si>
  <si>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</si>
  <si>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</si>
  <si>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</si>
  <si>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</si>
  <si>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</si>
  <si>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</si>
  <si>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</si>
  <si>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</si>
  <si>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</si>
  <si>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</si>
  <si>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</si>
  <si>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</si>
  <si>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</si>
  <si>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</si>
  <si>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</si>
  <si>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</si>
  <si>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</si>
  <si>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</si>
  <si>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</si>
  <si>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</si>
  <si>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</si>
  <si>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</si>
  <si>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</si>
  <si>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</si>
  <si>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</si>
  <si>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</si>
  <si>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</si>
  <si>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</si>
  <si>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</si>
  <si>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</si>
  <si>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</si>
  <si>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</si>
  <si>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</si>
  <si>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</si>
  <si>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</si>
  <si>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</si>
  <si>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</si>
  <si>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</si>
  <si>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</si>
  <si>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</si>
  <si>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</si>
  <si>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</si>
  <si>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</si>
  <si>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</si>
  <si>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</si>
  <si>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</si>
  <si>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</si>
  <si>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</si>
  <si>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</si>
  <si>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</si>
  <si>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</si>
  <si>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</si>
  <si>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</si>
  <si>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</si>
  <si>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</si>
  <si>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</si>
  <si>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</si>
  <si>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</si>
  <si>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</si>
  <si>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</si>
  <si>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</si>
  <si>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</si>
  <si>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</si>
  <si>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</si>
  <si>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</si>
  <si>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</si>
  <si>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</si>
  <si>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</si>
  <si>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</si>
  <si>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</si>
  <si>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</si>
  <si>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</si>
  <si>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</si>
  <si>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</si>
  <si>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</si>
  <si>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</si>
  <si>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</si>
  <si>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</si>
  <si>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</si>
  <si>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</si>
  <si>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</si>
  <si>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</si>
  <si>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</si>
  <si>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</si>
  <si>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</si>
  <si>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</si>
  <si>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</si>
  <si>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</si>
  <si>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</si>
  <si>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</si>
  <si>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</si>
  <si>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</si>
  <si>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</si>
  <si>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</si>
  <si>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</si>
  <si>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</si>
  <si>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</si>
  <si>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</si>
  <si>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</si>
  <si>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</si>
  <si>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</si>
  <si>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</si>
  <si>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</si>
  <si>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</si>
  <si>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</si>
  <si>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</si>
  <si>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</si>
  <si>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</si>
  <si>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</si>
  <si>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</si>
  <si>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</si>
  <si>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</si>
  <si>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</si>
  <si>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</si>
  <si>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</si>
  <si>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</si>
  <si>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</si>
  <si>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</si>
  <si>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</si>
  <si>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</si>
  <si>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</si>
  <si>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</si>
  <si>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</si>
  <si>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</si>
  <si>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</si>
  <si>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</si>
  <si>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</si>
  <si>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</si>
  <si>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</si>
  <si>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</si>
  <si>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</si>
  <si>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</si>
  <si>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</si>
  <si>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</si>
  <si>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</si>
  <si>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</si>
  <si>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</si>
  <si>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</si>
  <si>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</si>
  <si>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</si>
  <si>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</si>
  <si>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</si>
  <si>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</si>
  <si>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</si>
  <si>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</si>
  <si>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</si>
  <si>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</si>
  <si>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</si>
  <si>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</si>
  <si>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</si>
  <si>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</si>
  <si>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</si>
  <si>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</si>
  <si>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</si>
  <si>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</si>
  <si>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</si>
  <si>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</si>
  <si>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</si>
  <si>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</si>
  <si>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</si>
  <si>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</si>
  <si>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</si>
  <si>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</si>
  <si>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</si>
  <si>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</si>
  <si>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</si>
  <si>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</si>
  <si>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</si>
  <si>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</si>
  <si>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</si>
  <si>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</si>
  <si>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</si>
  <si>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</si>
  <si>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</si>
  <si>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</si>
  <si>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</si>
  <si>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</si>
  <si>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</si>
  <si>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</si>
  <si>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</si>
  <si>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</si>
  <si>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</si>
  <si>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</si>
  <si>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</si>
  <si>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</si>
  <si>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</si>
  <si>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</si>
  <si>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</si>
  <si>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</si>
  <si>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</si>
  <si>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</si>
  <si>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</si>
  <si>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</si>
  <si>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</si>
  <si>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</si>
  <si>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</si>
  <si>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</si>
  <si>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</si>
  <si>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</si>
  <si>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</si>
  <si>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</si>
  <si>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</si>
  <si>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</si>
  <si>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</si>
  <si>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</si>
  <si>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</si>
  <si>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</si>
  <si>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</si>
  <si>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</si>
  <si>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</si>
  <si>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</si>
  <si>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</si>
  <si>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</si>
  <si>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</si>
  <si>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</si>
  <si>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</si>
  <si>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</si>
  <si>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</si>
  <si>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</si>
  <si>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</si>
  <si>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</si>
  <si>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</si>
  <si>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</si>
  <si>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</si>
  <si>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</si>
  <si>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</si>
  <si>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</si>
  <si>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</si>
  <si>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</si>
  <si>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</si>
  <si>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</si>
  <si>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</si>
  <si>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</si>
  <si>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</si>
  <si>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</si>
  <si>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</si>
  <si>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</si>
  <si>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</si>
  <si>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</si>
  <si>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</si>
  <si>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</si>
  <si>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</si>
  <si>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</si>
  <si>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</si>
  <si>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</si>
  <si>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</si>
  <si>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</si>
  <si>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</si>
  <si>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</si>
  <si>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</si>
  <si>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</si>
  <si>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</si>
  <si>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</si>
  <si>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</si>
  <si>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</si>
  <si>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</si>
  <si>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</si>
  <si>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</si>
  <si>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</si>
  <si>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</si>
  <si>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</si>
  <si>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</si>
  <si>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</si>
  <si>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</si>
  <si>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</si>
  <si>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</si>
  <si>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</si>
  <si>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</si>
  <si>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</si>
  <si>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</si>
  <si>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</si>
  <si>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</si>
  <si>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</si>
  <si>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</si>
  <si>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</si>
  <si>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</si>
  <si>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</si>
  <si>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</si>
  <si>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</si>
  <si>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</si>
  <si>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</si>
  <si>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</si>
  <si>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</si>
  <si>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</si>
  <si>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</si>
  <si>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</si>
  <si>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</si>
  <si>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</si>
  <si>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</si>
  <si>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</si>
  <si>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</si>
  <si>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</si>
  <si>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</si>
  <si>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</si>
  <si>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</si>
  <si>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</si>
  <si>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</si>
  <si>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</si>
  <si>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</si>
  <si>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</si>
  <si>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</si>
  <si>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</si>
  <si>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</si>
  <si>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</si>
  <si>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</si>
  <si>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</si>
  <si>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</si>
  <si>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</si>
  <si>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</si>
  <si>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</si>
  <si>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</si>
  <si>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</si>
  <si>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</si>
  <si>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</si>
  <si>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</si>
  <si>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</si>
  <si>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</si>
  <si>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</si>
  <si>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</si>
  <si>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</si>
  <si>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</si>
  <si>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</si>
  <si>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</si>
  <si>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</si>
  <si>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</si>
  <si>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</si>
  <si>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</si>
  <si>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</si>
  <si>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</si>
  <si>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</si>
  <si>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</si>
  <si>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</si>
  <si>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</si>
  <si>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</si>
  <si>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</si>
  <si>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</si>
  <si>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</si>
  <si>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</si>
  <si>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</si>
  <si>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</si>
  <si>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</si>
  <si>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</si>
  <si>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</si>
  <si>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</si>
  <si>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</si>
  <si>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</si>
  <si>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</si>
  <si>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</si>
  <si>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</si>
  <si>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</si>
  <si>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</si>
  <si>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</si>
  <si>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</si>
  <si>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</si>
  <si>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</si>
  <si>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</si>
  <si>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</si>
  <si>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</si>
  <si>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</si>
  <si>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</si>
  <si>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</si>
  <si>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</si>
  <si>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</si>
  <si>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</si>
  <si>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</si>
  <si>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</si>
  <si>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</si>
  <si>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</si>
  <si>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</si>
  <si>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</si>
  <si>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</si>
  <si>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</si>
  <si>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</si>
  <si>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</si>
  <si>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</si>
  <si>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</si>
  <si>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</si>
  <si>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</si>
  <si>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</si>
  <si>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</si>
  <si>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</si>
  <si>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</si>
  <si>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</si>
  <si>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</si>
  <si>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</si>
  <si>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</si>
  <si>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</si>
  <si>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</si>
  <si>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</si>
  <si>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</si>
  <si>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</si>
  <si>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</si>
  <si>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</si>
  <si>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</si>
  <si>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</si>
  <si>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</si>
  <si>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</si>
  <si>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</si>
  <si>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</si>
  <si>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</si>
  <si>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</si>
  <si>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</si>
  <si>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</si>
  <si>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</si>
  <si>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</si>
  <si>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</si>
  <si>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</si>
  <si>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</si>
  <si>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</si>
  <si>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</si>
  <si>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</si>
  <si>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</si>
  <si>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</si>
  <si>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</si>
  <si>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</si>
  <si>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</si>
  <si>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</si>
  <si>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</si>
  <si>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</si>
  <si>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</si>
  <si>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</si>
  <si>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</si>
  <si>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</si>
  <si>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</si>
  <si>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</si>
  <si>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</si>
  <si>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</si>
  <si>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</si>
  <si>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</si>
  <si>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</si>
  <si>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</si>
  <si>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</si>
  <si>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</si>
  <si>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</si>
  <si>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</si>
  <si>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</si>
  <si>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</si>
  <si>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</si>
  <si>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</si>
  <si>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</si>
  <si>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</si>
  <si>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</si>
  <si>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</si>
  <si>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</si>
  <si>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</si>
  <si>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</si>
  <si>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</si>
  <si>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</si>
  <si>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</si>
  <si>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</si>
  <si>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</si>
  <si>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</si>
  <si>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</si>
  <si>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</si>
  <si>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</si>
  <si>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</si>
  <si>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</si>
  <si>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</si>
  <si>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</si>
  <si>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</si>
  <si>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</si>
  <si>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</si>
  <si>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</si>
  <si>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</si>
  <si>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</si>
  <si>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</si>
  <si>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</si>
  <si>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</si>
  <si>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</si>
  <si>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</si>
  <si>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</si>
  <si>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</si>
  <si>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</si>
  <si>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</si>
  <si>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</si>
  <si>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</si>
  <si>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</si>
  <si>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</si>
  <si>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</si>
  <si>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</si>
  <si>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</si>
  <si>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</si>
  <si>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</si>
  <si>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</si>
  <si>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</si>
  <si>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</si>
  <si>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</si>
  <si>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</si>
  <si>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</si>
  <si>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</si>
  <si>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</si>
  <si>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</si>
  <si>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</si>
  <si>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</si>
  <si>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</si>
  <si>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</si>
  <si>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</si>
  <si>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</si>
  <si>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</si>
  <si>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</si>
  <si>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</si>
  <si>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</si>
  <si>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</si>
  <si>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</si>
  <si>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</si>
  <si>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</si>
  <si>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</si>
  <si>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</si>
  <si>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</si>
  <si>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</si>
  <si>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</si>
  <si>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</si>
  <si>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</si>
  <si>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</si>
  <si>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</si>
  <si>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</si>
  <si>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</si>
  <si>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</si>
  <si>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</si>
  <si>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</si>
  <si>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</si>
  <si>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</si>
  <si>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</si>
  <si>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</si>
  <si>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</si>
  <si>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</si>
  <si>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</si>
  <si>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</si>
  <si>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</si>
  <si>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</si>
  <si>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</si>
  <si>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</si>
  <si>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</si>
  <si>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</si>
  <si>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</si>
  <si>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</si>
  <si>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</si>
  <si>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</si>
  <si>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</si>
  <si>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</si>
  <si>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</si>
  <si>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</si>
  <si>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</si>
  <si>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</si>
  <si>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</si>
  <si>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</si>
  <si>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</si>
  <si>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</si>
  <si>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</si>
  <si>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</si>
  <si>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</si>
  <si>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</si>
  <si>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</si>
  <si>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</si>
  <si>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</si>
  <si>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</si>
  <si>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</si>
  <si>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</si>
  <si>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</si>
  <si>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</si>
  <si>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</si>
  <si>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</si>
  <si>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</si>
  <si>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</si>
  <si>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</si>
  <si>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</si>
  <si>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</si>
  <si>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</si>
  <si>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</si>
  <si>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</si>
  <si>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</si>
  <si>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</si>
  <si>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</si>
  <si>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</si>
  <si>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</si>
  <si>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</si>
  <si>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</si>
  <si>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</si>
  <si>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</si>
  <si>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</si>
  <si>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</si>
  <si>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</si>
  <si>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</si>
  <si>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</si>
  <si>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</si>
  <si>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</si>
  <si>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</si>
  <si>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</si>
  <si>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</si>
  <si>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</si>
  <si>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</si>
  <si>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</si>
  <si>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</si>
  <si>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</si>
  <si>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</si>
  <si>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</si>
  <si>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</si>
  <si>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</si>
  <si>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</si>
  <si>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</si>
  <si>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</si>
  <si>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</si>
  <si>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</si>
  <si>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</si>
  <si>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</si>
  <si>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</si>
  <si>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</si>
  <si>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</si>
  <si>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</si>
  <si>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</si>
  <si>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</si>
  <si>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</si>
  <si>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</si>
  <si>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</si>
  <si>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</si>
  <si>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</si>
  <si>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</si>
  <si>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</si>
  <si>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</si>
  <si>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</si>
  <si>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</si>
  <si>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</si>
  <si>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</si>
  <si>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</si>
  <si>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</si>
  <si>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</si>
  <si>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</si>
  <si>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</si>
  <si>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</si>
  <si>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</si>
  <si>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</si>
  <si>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</si>
  <si>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</si>
  <si>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</si>
  <si>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</si>
  <si>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</si>
  <si>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</si>
  <si>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</si>
  <si>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</si>
  <si>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</si>
  <si>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</si>
  <si>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</si>
  <si>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</si>
  <si>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</si>
  <si>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</si>
  <si>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</si>
  <si>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</si>
  <si>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</si>
  <si>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</si>
  <si>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</si>
  <si>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</si>
  <si>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</si>
  <si>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</si>
  <si>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</si>
  <si>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</si>
  <si>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</si>
  <si>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</si>
  <si>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</si>
  <si>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</si>
  <si>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</si>
  <si>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</si>
  <si>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</si>
  <si>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</si>
  <si>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</si>
  <si>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</si>
  <si>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</si>
  <si>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</si>
  <si>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</si>
  <si>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</si>
  <si>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</si>
  <si>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</si>
  <si>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</si>
  <si>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</si>
  <si>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</si>
  <si>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</si>
  <si>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</si>
  <si>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</si>
  <si>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</si>
  <si>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</si>
  <si>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</si>
  <si>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</si>
  <si>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</si>
  <si>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</si>
  <si>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</si>
  <si>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</si>
  <si>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</si>
  <si>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</si>
  <si>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</si>
  <si>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</si>
  <si>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</si>
  <si>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</si>
  <si>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</si>
  <si>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</si>
  <si>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</si>
  <si>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</si>
  <si>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</si>
  <si>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</si>
  <si>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</si>
  <si>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</si>
  <si>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</si>
  <si>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</si>
  <si>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</si>
  <si>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</si>
  <si>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</si>
  <si>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</si>
  <si>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</si>
  <si>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</si>
  <si>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</si>
  <si>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</si>
  <si>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</si>
  <si>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</si>
  <si>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</si>
  <si>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</si>
  <si>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</si>
  <si>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</si>
  <si>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</si>
  <si>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</si>
  <si>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</si>
  <si>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</si>
  <si>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</si>
  <si>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</si>
  <si>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</si>
  <si>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</si>
  <si>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</si>
  <si>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</si>
  <si>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</si>
  <si>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</si>
  <si>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</si>
  <si>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</si>
  <si>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</si>
  <si>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</si>
  <si>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</si>
  <si>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</si>
  <si>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</si>
  <si>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</si>
  <si>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</si>
  <si>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</si>
  <si>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</si>
  <si>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</si>
  <si>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</si>
  <si>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</si>
  <si>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</si>
  <si>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</si>
  <si>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</si>
  <si>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</si>
  <si>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</si>
  <si>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</si>
  <si>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</si>
  <si>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</si>
  <si>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</si>
  <si>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</si>
  <si>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</si>
  <si>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</si>
  <si>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</si>
  <si>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</si>
  <si>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</si>
  <si>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</si>
  <si>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</si>
  <si>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</si>
  <si>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</si>
  <si>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</si>
  <si>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</si>
  <si>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</si>
  <si>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</si>
  <si>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</si>
  <si>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</si>
  <si>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</si>
  <si>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</si>
  <si>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</si>
  <si>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</si>
  <si>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</si>
  <si>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</si>
  <si>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</si>
  <si>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</si>
  <si>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</si>
  <si>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</si>
  <si>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</si>
  <si>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</si>
  <si>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</si>
  <si>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</si>
  <si>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</si>
  <si>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</si>
  <si>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</si>
  <si>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</si>
  <si>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</si>
  <si>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</si>
  <si>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</si>
  <si>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</si>
  <si>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</si>
  <si>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</si>
  <si>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</si>
  <si>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</si>
  <si>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</si>
  <si>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</si>
  <si>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</si>
  <si>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</si>
  <si>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</si>
  <si>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</si>
  <si>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</si>
  <si>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</si>
  <si>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</si>
  <si>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</si>
  <si>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</si>
  <si>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</si>
  <si>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</si>
  <si>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</si>
  <si>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</si>
  <si>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</si>
  <si>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</si>
  <si>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</si>
  <si>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</si>
  <si>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</si>
  <si>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</si>
  <si>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</si>
  <si>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</si>
  <si>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</si>
  <si>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</si>
  <si>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</si>
  <si>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</si>
  <si>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</si>
  <si>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</si>
  <si>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</si>
  <si>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</si>
  <si>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</si>
  <si>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</si>
  <si>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</si>
  <si>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</si>
  <si>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</si>
  <si>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</si>
  <si>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</si>
  <si>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</si>
  <si>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</si>
  <si>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</si>
  <si>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</si>
  <si>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</si>
  <si>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</si>
  <si>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</si>
  <si>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</si>
  <si>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</si>
  <si>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</si>
  <si>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</si>
  <si>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</si>
  <si>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</si>
  <si>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</si>
  <si>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</si>
  <si>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</si>
  <si>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</si>
  <si>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</si>
  <si>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</si>
  <si>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</si>
  <si>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</si>
  <si>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</si>
  <si>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</si>
  <si>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</si>
  <si>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</si>
  <si>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</si>
  <si>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</si>
  <si>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</si>
  <si>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</si>
  <si>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</si>
  <si>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</si>
  <si>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</si>
  <si>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</si>
  <si>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</si>
  <si>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</si>
  <si>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</si>
  <si>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</si>
  <si>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</si>
  <si>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</si>
  <si>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</si>
  <si>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</si>
  <si>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</si>
  <si>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</si>
  <si>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</si>
  <si>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</si>
  <si>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</si>
  <si>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</si>
  <si>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</si>
  <si>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</si>
  <si>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</si>
  <si>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</si>
  <si>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</si>
  <si>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</si>
  <si>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</si>
  <si>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</si>
  <si>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</si>
  <si>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</si>
  <si>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</si>
  <si>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</si>
  <si>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</si>
  <si>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</si>
  <si>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</si>
  <si>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</si>
  <si>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</si>
  <si>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</si>
  <si>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</si>
  <si>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</si>
  <si>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</si>
  <si>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</si>
  <si>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</si>
  <si>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</si>
  <si>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</si>
  <si>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</si>
  <si>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</si>
  <si>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</si>
  <si>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</si>
  <si>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</si>
  <si>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</si>
  <si>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</si>
  <si>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</si>
  <si>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</si>
  <si>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</si>
  <si>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</si>
  <si>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</si>
  <si>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</si>
  <si>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</si>
  <si>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</si>
  <si>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</si>
  <si>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</si>
  <si>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</si>
  <si>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</si>
  <si>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</si>
  <si>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</si>
  <si>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</si>
  <si>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</si>
  <si>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</si>
  <si>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</si>
  <si>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</si>
  <si>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</si>
  <si>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</si>
  <si>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</si>
  <si>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</si>
  <si>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</si>
  <si>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</si>
  <si>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</si>
  <si>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</si>
  <si>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</si>
  <si>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</si>
  <si>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</si>
  <si>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</si>
  <si>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</si>
  <si>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</si>
  <si>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</si>
  <si>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</si>
  <si>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</si>
  <si>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</si>
  <si>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</si>
  <si>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</si>
  <si>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</si>
  <si>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</si>
  <si>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</si>
  <si>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</si>
  <si>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</si>
  <si>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</si>
  <si>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</si>
  <si>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</si>
  <si>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</si>
  <si>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</si>
  <si>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</si>
  <si>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</si>
  <si>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</si>
  <si>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</si>
  <si>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</si>
  <si>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</si>
  <si>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</si>
  <si>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</si>
  <si>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</si>
  <si>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</si>
  <si>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</si>
  <si>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</si>
  <si>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</si>
  <si>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</si>
  <si>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</si>
  <si>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</si>
  <si>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</si>
  <si>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</si>
  <si>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</si>
  <si>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</si>
  <si>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</si>
  <si>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</si>
  <si>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</si>
  <si>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</si>
  <si>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</si>
  <si>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</si>
  <si>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</si>
  <si>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</si>
  <si>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</si>
  <si>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</si>
  <si>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</si>
  <si>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</si>
  <si>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</si>
  <si>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</si>
  <si>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</si>
  <si>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</si>
  <si>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</si>
  <si>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</si>
  <si>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</si>
  <si>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</si>
  <si>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</si>
  <si>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</si>
  <si>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</si>
  <si>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</si>
  <si>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</si>
  <si>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</si>
  <si>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</si>
  <si>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</si>
  <si>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</si>
  <si>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</si>
  <si>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</si>
  <si>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</si>
  <si>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</si>
  <si>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</si>
  <si>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</si>
  <si>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</si>
  <si>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</si>
  <si>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</si>
  <si>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</si>
  <si>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</si>
  <si>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</si>
  <si>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</si>
  <si>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</si>
  <si>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</si>
  <si>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</si>
  <si>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</si>
  <si>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</si>
  <si>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</si>
  <si>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</si>
  <si>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</si>
  <si>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</si>
  <si>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</si>
  <si>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</si>
  <si>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</si>
  <si>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</si>
  <si>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</si>
  <si>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</si>
  <si>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</si>
  <si>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</si>
  <si>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</si>
  <si>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</si>
  <si>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</si>
  <si>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</si>
  <si>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</si>
  <si>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</si>
  <si>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</si>
  <si>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</si>
  <si>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</si>
  <si>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</si>
  <si>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</si>
  <si>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</si>
  <si>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</si>
  <si>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</si>
  <si>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</si>
  <si>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</si>
  <si>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</si>
  <si>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</si>
  <si>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</si>
  <si>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</si>
  <si>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</si>
  <si>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</si>
  <si>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</si>
  <si>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</si>
  <si>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</si>
  <si>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</si>
  <si>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</si>
  <si>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</si>
  <si>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</si>
  <si>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</si>
  <si>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</si>
  <si>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</si>
  <si>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</si>
  <si>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</si>
  <si>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</si>
  <si>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</si>
  <si>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</si>
  <si>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</si>
  <si>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</si>
  <si>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</si>
  <si>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</si>
  <si>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</si>
  <si>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</si>
  <si>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</si>
  <si>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</si>
  <si>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</si>
  <si>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</si>
  <si>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</si>
  <si>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</si>
  <si>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</si>
  <si>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</si>
  <si>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</si>
  <si>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</si>
  <si>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</si>
  <si>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</si>
  <si>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</si>
  <si>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</si>
  <si>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</si>
  <si>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</si>
  <si>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</si>
  <si>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</si>
  <si>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</si>
  <si>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</si>
  <si>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</si>
  <si>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</si>
  <si>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</si>
  <si>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</si>
  <si>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</si>
  <si>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</si>
  <si>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</si>
  <si>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</si>
  <si>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</si>
  <si>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</si>
  <si>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</si>
  <si>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</si>
  <si>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</si>
  <si>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</si>
  <si>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</si>
  <si>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</si>
  <si>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</si>
  <si>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</si>
  <si>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</si>
  <si>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</si>
  <si>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</si>
  <si>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</si>
  <si>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</si>
  <si>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</si>
  <si>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</si>
  <si>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</si>
  <si>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</si>
  <si>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</si>
  <si>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</si>
  <si>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</si>
  <si>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</si>
  <si>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</si>
  <si>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</si>
  <si>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</si>
  <si>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</si>
  <si>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</si>
  <si>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</si>
  <si>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</si>
  <si>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</si>
  <si>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</si>
  <si>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</si>
  <si>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</si>
  <si>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</si>
  <si>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</si>
  <si>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</si>
  <si>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</si>
  <si>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</si>
  <si>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</si>
  <si>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</si>
  <si>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</si>
  <si>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</si>
  <si>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</si>
  <si>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</si>
  <si>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</si>
  <si>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</si>
  <si>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</si>
  <si>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</si>
  <si>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</si>
  <si>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</si>
  <si>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</si>
  <si>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</si>
  <si>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</si>
  <si>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</si>
  <si>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</si>
  <si>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</si>
  <si>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</si>
  <si>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</si>
  <si>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</si>
  <si>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</si>
  <si>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</si>
  <si>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</si>
  <si>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</si>
  <si>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</si>
  <si>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</si>
  <si>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</si>
  <si>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</si>
  <si>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</si>
  <si>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</si>
  <si>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</si>
  <si>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</si>
  <si>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</si>
  <si>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</si>
  <si>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</si>
  <si>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</si>
  <si>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</si>
  <si>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</si>
  <si>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</si>
  <si>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</si>
  <si>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</si>
  <si>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</si>
  <si>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</si>
  <si>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</si>
  <si>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</si>
  <si>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</si>
  <si>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</si>
  <si>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</si>
  <si>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</si>
  <si>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</si>
  <si>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</si>
  <si>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</si>
  <si>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</si>
  <si>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</si>
  <si>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</si>
  <si>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</si>
  <si>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</si>
  <si>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</si>
  <si>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</si>
  <si>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</si>
  <si>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</si>
  <si>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</si>
  <si>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</si>
  <si>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</si>
  <si>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</si>
  <si>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</si>
  <si>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</si>
  <si>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</si>
  <si>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</si>
  <si>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</si>
  <si>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</si>
  <si>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</si>
  <si>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</si>
  <si>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</si>
  <si>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</si>
  <si>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</si>
  <si>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</si>
  <si>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</si>
  <si>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</si>
  <si>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</si>
  <si>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</si>
  <si>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</si>
  <si>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</si>
  <si>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</si>
  <si>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</si>
  <si>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</si>
  <si>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</si>
  <si>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</si>
  <si>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</si>
  <si>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</si>
  <si>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</si>
  <si>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</si>
  <si>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</si>
  <si>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</si>
  <si>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</si>
  <si>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</si>
  <si>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</si>
  <si>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</si>
  <si>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</si>
  <si>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</si>
  <si>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</si>
  <si>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</si>
  <si>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</si>
  <si>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</si>
  <si>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</si>
  <si>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</si>
  <si>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</si>
  <si>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</si>
  <si>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</si>
  <si>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</si>
  <si>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</si>
  <si>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</si>
  <si>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</si>
  <si>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</si>
  <si>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</si>
  <si>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</si>
  <si>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</si>
  <si>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</si>
  <si>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</si>
  <si>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</si>
  <si>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</si>
  <si>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</si>
  <si>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</si>
  <si>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</si>
  <si>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</si>
  <si>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</si>
  <si>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</si>
  <si>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</si>
  <si>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</si>
  <si>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</si>
  <si>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</si>
  <si>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</si>
  <si>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</si>
  <si>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</si>
  <si>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</si>
  <si>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</si>
  <si>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</si>
  <si>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</si>
  <si>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</si>
  <si>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</si>
  <si>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</si>
  <si>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</si>
  <si>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</si>
  <si>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</si>
  <si>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</si>
  <si>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</si>
  <si>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</si>
  <si>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</si>
  <si>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</si>
  <si>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</si>
  <si>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</si>
  <si>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</si>
  <si>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</si>
  <si>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</si>
  <si>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</si>
  <si>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</si>
  <si>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</si>
  <si>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</si>
  <si>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</si>
  <si>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</si>
  <si>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</si>
  <si>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</si>
  <si>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</si>
  <si>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</si>
  <si>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</si>
  <si>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</si>
  <si>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</si>
  <si>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</si>
  <si>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</si>
  <si>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</si>
  <si>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</si>
  <si>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</si>
  <si>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</si>
  <si>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</si>
  <si>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</si>
  <si>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</si>
  <si>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</si>
  <si>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</si>
  <si>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</si>
  <si>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</si>
  <si>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</si>
  <si>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</si>
  <si>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</si>
  <si>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</si>
  <si>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</si>
  <si>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</si>
  <si>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</si>
  <si>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</si>
  <si>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</si>
  <si>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</si>
  <si>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</si>
  <si>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</si>
  <si>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</si>
  <si>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</si>
  <si>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</si>
  <si>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</si>
  <si>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</si>
  <si>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</si>
  <si>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</si>
  <si>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</si>
  <si>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</si>
  <si>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</si>
  <si>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</si>
  <si>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</si>
  <si>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</si>
  <si>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</si>
  <si>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</si>
  <si>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</si>
  <si>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</si>
  <si>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</si>
  <si>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</si>
  <si>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</si>
  <si>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</si>
  <si>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</si>
  <si>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</si>
  <si>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</si>
  <si>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</si>
  <si>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</si>
  <si>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</si>
  <si>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</si>
  <si>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</si>
  <si>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</si>
  <si>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</si>
  <si>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</si>
  <si>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</si>
  <si>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</si>
  <si>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</si>
  <si>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</si>
  <si>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</si>
  <si>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</si>
  <si>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</si>
  <si>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</si>
  <si>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</si>
  <si>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</si>
  <si>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</si>
  <si>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</si>
  <si>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</si>
  <si>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</si>
  <si>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</si>
  <si>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</si>
  <si>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</si>
  <si>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</si>
  <si>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</si>
  <si>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</si>
  <si>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</si>
  <si>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</si>
  <si>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</si>
  <si>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</si>
  <si>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</si>
  <si>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</si>
  <si>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</si>
  <si>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</si>
  <si>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</si>
  <si>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</si>
  <si>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</si>
  <si>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</si>
  <si>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</si>
  <si>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</si>
  <si>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</si>
  <si>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</si>
  <si>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</si>
  <si>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</si>
  <si>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</si>
  <si>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</si>
  <si>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</si>
  <si>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</si>
  <si>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</si>
  <si>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</si>
  <si>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</si>
  <si>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</si>
  <si>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</si>
  <si>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</si>
  <si>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</si>
  <si>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</si>
  <si>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</si>
  <si>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</si>
  <si>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</si>
  <si>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</si>
  <si>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</si>
  <si>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</si>
  <si>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</si>
  <si>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</si>
  <si>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</si>
  <si>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</si>
  <si>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</si>
  <si>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</si>
  <si>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</si>
  <si>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</si>
  <si>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</si>
  <si>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</si>
  <si>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</si>
  <si>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</si>
  <si>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</si>
  <si>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</si>
  <si>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</si>
  <si>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</si>
  <si>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</si>
  <si>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</si>
  <si>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</si>
  <si>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</si>
  <si>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</si>
  <si>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</si>
  <si>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</si>
  <si>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</si>
  <si>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</si>
  <si>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</si>
  <si>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</si>
  <si>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</si>
  <si>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</si>
  <si>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</si>
  <si>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</si>
  <si>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</si>
  <si>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</si>
  <si>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</si>
  <si>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</si>
  <si>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</si>
  <si>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</si>
  <si>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</si>
  <si>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</si>
  <si>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</si>
  <si>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</si>
  <si>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</si>
  <si>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</si>
  <si>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</si>
  <si>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</si>
  <si>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</si>
  <si>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</si>
  <si>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</si>
  <si>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</si>
  <si>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</si>
  <si>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</si>
  <si>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</si>
  <si>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</si>
  <si>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</si>
  <si>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</si>
  <si>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</si>
  <si>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</si>
  <si>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</si>
  <si>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</si>
  <si>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</si>
  <si>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</si>
  <si>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</si>
  <si>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</si>
  <si>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</si>
  <si>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</si>
  <si>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</si>
  <si>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</si>
  <si>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</si>
  <si>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</si>
  <si>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</si>
  <si>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</si>
  <si>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</si>
  <si>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</si>
  <si>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</si>
  <si>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</si>
  <si>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</si>
  <si>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</si>
  <si>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</si>
  <si>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</si>
  <si>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</si>
  <si>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</si>
  <si>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</si>
  <si>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</si>
  <si>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</si>
  <si>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</si>
  <si>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</si>
  <si>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</si>
  <si>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</si>
  <si>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</si>
  <si>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</si>
  <si>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</si>
  <si>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</si>
  <si>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</si>
  <si>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</si>
  <si>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</si>
  <si>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</si>
  <si>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</si>
  <si>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</si>
  <si>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</si>
  <si>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</si>
  <si>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</si>
  <si>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</si>
  <si>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</si>
  <si>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</si>
  <si>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</si>
  <si>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</si>
  <si>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</si>
  <si>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</si>
  <si>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</si>
  <si>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</si>
  <si>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</si>
  <si>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</si>
  <si>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</si>
  <si>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</si>
  <si>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</si>
  <si>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</si>
  <si>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</si>
  <si>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</si>
  <si>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</si>
  <si>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</si>
  <si>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</si>
  <si>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</si>
  <si>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</si>
  <si>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</si>
  <si>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</si>
  <si>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</si>
  <si>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</si>
  <si>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</si>
  <si>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</si>
  <si>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</si>
  <si>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</si>
  <si>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</si>
  <si>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</si>
  <si>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</si>
  <si>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</si>
  <si>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</si>
  <si>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</si>
  <si>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</si>
  <si>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</si>
  <si>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</si>
  <si>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</si>
  <si>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</si>
  <si>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</si>
  <si>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</si>
  <si>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</si>
  <si>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</si>
  <si>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</si>
  <si>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</si>
  <si>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</si>
  <si>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</si>
  <si>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</si>
  <si>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</si>
  <si>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</si>
  <si>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</si>
  <si>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</si>
  <si>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</si>
  <si>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</si>
  <si>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</si>
  <si>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</si>
  <si>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</si>
  <si>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</si>
  <si>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</si>
  <si>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</si>
  <si>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</si>
  <si>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</si>
  <si>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</si>
  <si>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</si>
  <si>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</si>
  <si>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</si>
  <si>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</si>
  <si>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</si>
  <si>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</si>
  <si>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</si>
  <si>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</si>
  <si>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</si>
  <si>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</si>
  <si>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</si>
  <si>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</si>
  <si>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</si>
  <si>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</si>
  <si>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</si>
  <si>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</si>
  <si>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</si>
  <si>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</si>
  <si>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</si>
  <si>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</si>
  <si>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</si>
  <si>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</si>
  <si>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</si>
  <si>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</si>
  <si>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</si>
  <si>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</si>
  <si>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</si>
  <si>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</si>
  <si>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</si>
  <si>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</si>
  <si>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</si>
  <si>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</si>
  <si>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</si>
  <si>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</si>
  <si>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</si>
  <si>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</si>
  <si>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</si>
  <si>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</si>
  <si>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</si>
  <si>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</si>
  <si>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</si>
  <si>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</si>
  <si>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</si>
  <si>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</si>
  <si>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</si>
  <si>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</si>
  <si>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</si>
  <si>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</si>
  <si>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</si>
  <si>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</si>
  <si>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</si>
  <si>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</si>
  <si>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</si>
  <si>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</si>
  <si>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</si>
  <si>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</si>
  <si>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</si>
  <si>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</si>
  <si>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</si>
  <si>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</si>
  <si>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</si>
  <si>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</si>
  <si>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</si>
  <si>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</si>
  <si>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</si>
  <si>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</si>
  <si>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</si>
  <si>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</si>
  <si>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</si>
  <si>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</si>
  <si>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</si>
  <si>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</si>
  <si>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</si>
  <si>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</si>
  <si>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</si>
  <si>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</si>
  <si>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</si>
  <si>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</si>
  <si>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</si>
  <si>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</si>
  <si>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</si>
  <si>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</si>
  <si>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</si>
  <si>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</si>
  <si>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</si>
  <si>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</si>
  <si>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</si>
  <si>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</si>
  <si>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</si>
  <si>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</si>
  <si>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</si>
  <si>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</si>
  <si>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</si>
  <si>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</si>
  <si>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</si>
  <si>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</si>
  <si>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</si>
  <si>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</si>
  <si>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</si>
  <si>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</si>
  <si>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</si>
  <si>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</si>
  <si>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</si>
  <si>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</si>
  <si>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</si>
  <si>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</si>
  <si>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</si>
  <si>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</si>
  <si>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</si>
  <si>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</si>
  <si>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</si>
  <si>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</si>
  <si>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</si>
  <si>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</si>
  <si>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</si>
  <si>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</si>
  <si>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</si>
  <si>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</si>
  <si>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</si>
  <si>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</si>
  <si>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</si>
  <si>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</si>
  <si>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</si>
  <si>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</si>
  <si>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</si>
  <si>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</si>
  <si>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</si>
  <si>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</si>
  <si>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</si>
  <si>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</si>
  <si>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</si>
  <si>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</si>
  <si>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</si>
  <si>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</si>
  <si>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</si>
  <si>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</si>
  <si>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</si>
  <si>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</si>
  <si>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</si>
  <si>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</si>
  <si>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</si>
  <si>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</si>
  <si>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</si>
  <si>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</si>
  <si>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</si>
  <si>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</si>
  <si>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</si>
  <si>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</si>
  <si>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</si>
  <si>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</si>
  <si>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</si>
  <si>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</si>
  <si>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</si>
  <si>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</si>
  <si>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</si>
  <si>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</si>
  <si>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</si>
  <si>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</si>
  <si>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</si>
  <si>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</si>
  <si>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</si>
  <si>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</si>
  <si>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</si>
  <si>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</si>
  <si>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</si>
  <si>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</si>
  <si>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</si>
  <si>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</si>
  <si>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</si>
  <si>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</si>
  <si>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</si>
  <si>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</si>
  <si>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</si>
  <si>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</si>
  <si>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</si>
  <si>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</si>
  <si>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</si>
  <si>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</si>
  <si>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</si>
  <si>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</si>
  <si>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</si>
  <si>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</si>
  <si>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</si>
  <si>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</si>
  <si>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</si>
  <si>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</si>
  <si>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</si>
  <si>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</si>
  <si>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</si>
  <si>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</si>
  <si>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</si>
  <si>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</si>
  <si>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</si>
  <si>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</si>
  <si>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</si>
  <si>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</si>
  <si>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</si>
  <si>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</si>
  <si>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</si>
  <si>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</si>
  <si>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</si>
  <si>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</si>
  <si>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</si>
  <si>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</si>
  <si>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</si>
  <si>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</si>
  <si>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</si>
  <si>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</si>
  <si>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</si>
  <si>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</si>
  <si>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</si>
  <si>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</si>
  <si>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</si>
  <si>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</si>
  <si>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</si>
  <si>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</si>
  <si>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</si>
  <si>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</si>
  <si>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</si>
  <si>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</si>
  <si>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</si>
  <si>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</si>
  <si>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</si>
  <si>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</si>
  <si>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</si>
  <si>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</si>
  <si>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</si>
  <si>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</si>
  <si>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</si>
  <si>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</si>
  <si>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</si>
  <si>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</si>
  <si>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</si>
  <si>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</si>
  <si>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</si>
  <si>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</si>
  <si>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</si>
  <si>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</si>
  <si>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</si>
  <si>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</si>
  <si>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</si>
  <si>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</si>
  <si>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</si>
  <si>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</si>
  <si>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</si>
  <si>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</si>
  <si>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</si>
  <si>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</si>
  <si>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</si>
  <si>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</si>
  <si>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</si>
  <si>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</si>
  <si>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</si>
  <si>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</si>
  <si>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</si>
  <si>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</si>
  <si>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</si>
  <si>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</si>
  <si>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</si>
  <si>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</si>
  <si>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</si>
  <si>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</si>
  <si>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</si>
  <si>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</si>
  <si>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</si>
  <si>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</si>
  <si>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</si>
  <si>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</si>
  <si>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</si>
  <si>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</si>
  <si>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</si>
  <si>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</si>
  <si>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</si>
  <si>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</si>
  <si>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</si>
  <si>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</si>
  <si>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</si>
  <si>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</si>
  <si>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</si>
  <si>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</si>
  <si>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</si>
  <si>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</si>
  <si>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</si>
  <si>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</si>
  <si>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</si>
  <si>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</si>
  <si>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</si>
  <si>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</si>
  <si>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</si>
  <si>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</si>
  <si>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</si>
  <si>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</si>
  <si>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</si>
  <si>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</si>
  <si>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</si>
  <si>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</si>
  <si>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</si>
  <si>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</si>
  <si>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</si>
  <si>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</si>
  <si>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</si>
  <si>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</si>
  <si>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</si>
  <si>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</si>
  <si>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</si>
  <si>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</si>
  <si>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</si>
  <si>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</si>
  <si>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</si>
  <si>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</si>
  <si>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</si>
  <si>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</si>
  <si>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</si>
  <si>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</si>
  <si>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</si>
  <si>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</si>
  <si>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</si>
  <si>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</si>
  <si>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</si>
  <si>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</si>
  <si>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</si>
  <si>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</si>
  <si>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</si>
  <si>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</si>
  <si>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</si>
  <si>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</si>
  <si>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</si>
  <si>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</si>
  <si>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</si>
  <si>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</si>
  <si>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</si>
  <si>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</si>
  <si>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</si>
  <si>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</si>
  <si>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</si>
  <si>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</si>
  <si>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</si>
  <si>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</si>
  <si>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</si>
  <si>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</si>
  <si>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</si>
  <si>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</si>
  <si>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</si>
  <si>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</si>
  <si>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</si>
  <si>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</si>
  <si>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</si>
  <si>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</si>
  <si>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</si>
  <si>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</si>
  <si>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</si>
  <si>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</si>
  <si>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</si>
  <si>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</si>
  <si>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</si>
  <si>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</si>
  <si>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</si>
  <si>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</si>
  <si>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</si>
  <si>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</si>
  <si>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</si>
  <si>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</si>
  <si>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</si>
  <si>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</si>
  <si>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</si>
  <si>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</si>
  <si>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</si>
  <si>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</si>
  <si>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</si>
  <si>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</si>
  <si>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</si>
  <si>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</si>
  <si>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</si>
  <si>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</si>
  <si>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</si>
  <si>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</si>
  <si>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</si>
  <si>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</si>
  <si>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</si>
  <si>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</si>
  <si>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</si>
  <si>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</si>
  <si>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</si>
  <si>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</si>
  <si>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</si>
  <si>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</si>
  <si>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</si>
  <si>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</si>
  <si>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</si>
  <si>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</si>
  <si>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</si>
  <si>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</si>
  <si>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</si>
  <si>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</si>
  <si>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</si>
  <si>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</si>
  <si>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</si>
  <si>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</si>
  <si>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</si>
  <si>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</si>
  <si>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</si>
  <si>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</si>
  <si>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</si>
  <si>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</si>
  <si>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</si>
  <si>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</si>
  <si>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</si>
  <si>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</si>
  <si>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</si>
  <si>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</si>
  <si>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</si>
  <si>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</si>
  <si>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</si>
  <si>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</si>
  <si>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</si>
  <si>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</si>
  <si>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</si>
  <si>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</si>
  <si>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</si>
  <si>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</si>
  <si>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</si>
  <si>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</si>
  <si>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</si>
  <si>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</si>
  <si>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</si>
  <si>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</si>
  <si>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</si>
  <si>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</si>
  <si>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</si>
  <si>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</si>
  <si>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</si>
  <si>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</si>
  <si>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</si>
  <si>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</si>
  <si>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</si>
  <si>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</si>
  <si>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</si>
  <si>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</si>
  <si>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</si>
  <si>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</si>
  <si>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</si>
  <si>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</si>
  <si>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</si>
  <si>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</si>
  <si>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</si>
  <si>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</si>
  <si>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</si>
  <si>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</si>
  <si>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</si>
  <si>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</si>
  <si>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</si>
  <si>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</si>
  <si>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</si>
  <si>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</si>
  <si>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</si>
  <si>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</si>
  <si>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</si>
  <si>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</si>
  <si>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</si>
  <si>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</si>
  <si>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</si>
  <si>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</si>
  <si>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</si>
  <si>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</si>
  <si>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</si>
  <si>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</si>
  <si>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</si>
  <si>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</si>
  <si>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</si>
  <si>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</si>
  <si>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</si>
  <si>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</si>
  <si>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</si>
  <si>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</si>
  <si>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</si>
  <si>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</si>
  <si>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</si>
  <si>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</si>
  <si>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</si>
  <si>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</si>
  <si>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</si>
  <si>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</si>
  <si>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</si>
  <si>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</si>
  <si>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</si>
  <si>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</si>
  <si>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</si>
  <si>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</si>
  <si>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</si>
  <si>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</si>
  <si>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</si>
  <si>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</si>
  <si>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</si>
  <si>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</si>
  <si>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</si>
  <si>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</si>
  <si>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</si>
  <si>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</si>
  <si>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</si>
  <si>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</si>
  <si>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</si>
  <si>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</si>
  <si>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</si>
  <si>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</si>
  <si>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</si>
  <si>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</si>
  <si>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</si>
  <si>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</si>
  <si>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</si>
  <si>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</si>
  <si>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</si>
  <si>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</si>
  <si>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</si>
  <si>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</si>
  <si>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</si>
  <si>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</si>
  <si>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</si>
  <si>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</si>
  <si>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</si>
  <si>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</si>
  <si>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</si>
  <si>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</si>
  <si>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</si>
  <si>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</si>
  <si>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</si>
  <si>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</si>
  <si>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</si>
  <si>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</si>
  <si>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</si>
  <si>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</si>
  <si>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</si>
  <si>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</si>
  <si>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</si>
  <si>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</si>
  <si>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</si>
  <si>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</si>
  <si>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</si>
  <si>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</si>
  <si>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</si>
  <si>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</si>
  <si>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</si>
  <si>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</si>
  <si>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</si>
  <si>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</si>
  <si>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</si>
  <si>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</si>
  <si>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</si>
  <si>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</si>
  <si>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</si>
  <si>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</si>
  <si>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</si>
  <si>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</si>
  <si>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</si>
  <si>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</si>
  <si>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</si>
  <si>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</si>
  <si>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</si>
  <si>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</si>
  <si>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</si>
  <si>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</si>
  <si>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</si>
  <si>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</si>
  <si>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</si>
  <si>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</si>
  <si>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</si>
  <si>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</si>
  <si>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</si>
  <si>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</si>
  <si>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</si>
  <si>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</si>
  <si>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</si>
  <si>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</si>
  <si>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</si>
  <si>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</si>
  <si>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</si>
  <si>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</si>
  <si>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</si>
  <si>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</si>
  <si>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</si>
  <si>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</si>
  <si>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</si>
  <si>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</si>
  <si>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</si>
  <si>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</si>
  <si>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</si>
  <si>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</si>
  <si>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</si>
  <si>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</si>
  <si>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</si>
  <si>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</si>
  <si>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</si>
  <si>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</si>
  <si>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</si>
  <si>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</si>
  <si>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</si>
  <si>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</si>
  <si>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</si>
  <si>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</si>
  <si>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</si>
  <si>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</si>
  <si>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</si>
  <si>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</si>
  <si>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</si>
  <si>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</si>
  <si>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</si>
  <si>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</si>
  <si>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</si>
  <si>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</si>
  <si>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</si>
  <si>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</si>
  <si>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</si>
  <si>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</si>
  <si>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</si>
  <si>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</si>
  <si>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</si>
  <si>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</si>
  <si>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</si>
  <si>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</si>
  <si>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</si>
  <si>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</si>
  <si>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</si>
  <si>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</si>
  <si>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</si>
  <si>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</si>
  <si>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</si>
  <si>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</si>
  <si>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</si>
  <si>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</si>
  <si>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</si>
  <si>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</si>
  <si>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</si>
  <si>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</si>
  <si>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</si>
  <si>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</si>
  <si>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</si>
  <si>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</si>
  <si>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</si>
  <si>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</si>
  <si>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</si>
  <si>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</si>
  <si>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</si>
  <si>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</si>
  <si>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</si>
  <si>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</si>
  <si>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</si>
  <si>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</si>
  <si>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</si>
  <si>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</si>
  <si>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</si>
  <si>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</si>
  <si>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</si>
  <si>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</si>
  <si>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</si>
  <si>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</si>
  <si>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</si>
  <si>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</si>
  <si>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</si>
  <si>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</si>
  <si>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</si>
  <si>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</si>
  <si>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</si>
  <si>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</si>
  <si>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</si>
  <si>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</si>
  <si>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</si>
  <si>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</si>
  <si>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</si>
  <si>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</si>
  <si>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</si>
  <si>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</si>
  <si>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</si>
  <si>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</si>
  <si>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</si>
  <si>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</si>
  <si>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</si>
  <si>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</si>
  <si>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</si>
  <si>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</si>
  <si>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</si>
  <si>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</si>
  <si>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</si>
  <si>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</si>
  <si>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</si>
  <si>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</si>
  <si>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</si>
  <si>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</si>
  <si>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</si>
  <si>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</si>
  <si>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</si>
  <si>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</si>
  <si>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</si>
  <si>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</si>
  <si>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</si>
  <si>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</si>
  <si>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</si>
  <si>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</si>
  <si>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</si>
  <si>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</si>
  <si>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</si>
  <si>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</si>
  <si>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</si>
  <si>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</si>
  <si>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</si>
  <si>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</si>
  <si>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</si>
  <si>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</si>
  <si>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</si>
  <si>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</si>
  <si>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</si>
  <si>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</si>
  <si>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</si>
  <si>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</si>
  <si>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</si>
  <si>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</si>
  <si>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</si>
  <si>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</si>
  <si>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</si>
  <si>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</si>
  <si>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</si>
  <si>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</si>
  <si>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</si>
  <si>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</si>
  <si>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</si>
  <si>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</si>
  <si>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</si>
  <si>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</si>
  <si>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</si>
  <si>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</si>
  <si>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</si>
  <si>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</si>
  <si>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</si>
  <si>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</si>
  <si>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</si>
  <si>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</si>
  <si>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</si>
  <si>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</si>
  <si>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</si>
  <si>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</si>
  <si>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</si>
  <si>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</si>
  <si>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</si>
  <si>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</si>
  <si>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</si>
  <si>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</si>
  <si>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</si>
  <si>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</si>
  <si>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</si>
  <si>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</si>
  <si>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</si>
  <si>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</si>
  <si>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</si>
  <si>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</si>
  <si>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</si>
  <si>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</si>
  <si>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</si>
  <si>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</si>
  <si>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</si>
  <si>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</si>
  <si>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</si>
  <si>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</si>
  <si>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</si>
  <si>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</si>
  <si>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</si>
  <si>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</si>
  <si>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</si>
  <si>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</si>
  <si>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</si>
  <si>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</si>
  <si>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</si>
  <si>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</si>
  <si>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</si>
  <si>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</si>
  <si>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</si>
  <si>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</si>
  <si>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</si>
  <si>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</si>
  <si>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</si>
  <si>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</si>
  <si>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</si>
  <si>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</si>
  <si>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</si>
  <si>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</si>
  <si>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</si>
  <si>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</si>
  <si>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</si>
  <si>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</si>
  <si>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</si>
  <si>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</si>
  <si>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</si>
  <si>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</si>
  <si>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</si>
  <si>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</si>
  <si>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</si>
  <si>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</si>
  <si>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</si>
  <si>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</si>
  <si>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</si>
  <si>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</si>
  <si>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</si>
  <si>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</si>
  <si>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</si>
  <si>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</si>
  <si>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</si>
  <si>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</si>
  <si>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</si>
  <si>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</si>
  <si>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</si>
  <si>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</si>
  <si>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</si>
  <si>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</si>
  <si>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</si>
  <si>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</si>
  <si>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</si>
  <si>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</si>
  <si>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</si>
  <si>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</si>
  <si>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</si>
  <si>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</si>
  <si>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</si>
  <si>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</si>
  <si>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</si>
  <si>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</si>
  <si>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</si>
  <si>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</si>
  <si>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</si>
  <si>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</si>
  <si>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</si>
  <si>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</si>
  <si>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</si>
  <si>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</si>
  <si>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</si>
  <si>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</si>
  <si>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</si>
  <si>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</si>
  <si>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</si>
  <si>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</si>
  <si>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</si>
  <si>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</si>
  <si>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</si>
  <si>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</si>
  <si>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</si>
  <si>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</si>
  <si>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</si>
  <si>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</si>
  <si>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</si>
  <si>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</si>
  <si>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</si>
  <si>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</si>
  <si>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</si>
  <si>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</si>
  <si>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</si>
  <si>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</si>
  <si>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</si>
  <si>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</si>
  <si>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</si>
  <si>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</si>
  <si>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</si>
  <si>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</si>
  <si>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</si>
  <si>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</si>
  <si>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</si>
  <si>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</si>
  <si>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</si>
  <si>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</si>
  <si>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</si>
  <si>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</si>
  <si>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</si>
  <si>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</si>
  <si>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</si>
  <si>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</si>
  <si>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</si>
  <si>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</si>
  <si>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</si>
  <si>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</si>
  <si>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</si>
  <si>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</si>
  <si>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</si>
  <si>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</si>
  <si>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</si>
  <si>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</si>
  <si>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</si>
  <si>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</si>
  <si>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</si>
  <si>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</si>
  <si>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</si>
  <si>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</si>
  <si>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</si>
  <si>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</si>
  <si>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</si>
  <si>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</si>
  <si>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</si>
  <si>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</si>
  <si>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</si>
  <si>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</si>
  <si>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</si>
  <si>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</si>
  <si>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</si>
  <si>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</si>
  <si>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</si>
  <si>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</si>
  <si>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</si>
  <si>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</si>
  <si>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</si>
  <si>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</si>
  <si>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</si>
  <si>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</si>
  <si>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</si>
  <si>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</si>
  <si>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</si>
  <si>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</si>
  <si>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</si>
  <si>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</si>
  <si>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</si>
  <si>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</si>
  <si>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</si>
  <si>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</si>
  <si>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</si>
  <si>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</si>
  <si>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</si>
  <si>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</si>
  <si>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</si>
  <si>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</si>
  <si>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</si>
  <si>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</si>
  <si>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</si>
  <si>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</si>
  <si>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</si>
  <si>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</si>
  <si>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</si>
  <si>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</si>
  <si>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</si>
  <si>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</si>
  <si>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</si>
  <si>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</si>
  <si>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</si>
  <si>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</si>
  <si>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</si>
  <si>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</si>
  <si>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</si>
  <si>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</si>
  <si>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</si>
  <si>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</si>
  <si>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</si>
  <si>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</si>
  <si>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</si>
  <si>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</si>
  <si>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</si>
  <si>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</si>
  <si>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</si>
  <si>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</si>
  <si>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</si>
  <si>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</si>
  <si>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</si>
  <si>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</si>
  <si>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</si>
  <si>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</si>
  <si>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</si>
  <si>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</si>
  <si>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</si>
  <si>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</si>
  <si>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</si>
  <si>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</si>
  <si>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</si>
  <si>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</si>
  <si>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</si>
  <si>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</si>
  <si>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</si>
  <si>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</si>
  <si>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</si>
  <si>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</si>
  <si>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</si>
  <si>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</si>
  <si>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</si>
  <si>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</si>
  <si>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</si>
  <si>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</si>
  <si>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</si>
  <si>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</si>
  <si>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</si>
  <si>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</si>
  <si>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</si>
  <si>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</si>
  <si>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</si>
  <si>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</si>
  <si>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</si>
  <si>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</si>
  <si>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</si>
  <si>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</si>
  <si>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</si>
  <si>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</si>
  <si>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</si>
  <si>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</si>
  <si>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</si>
  <si>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</si>
  <si>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</si>
  <si>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</si>
  <si>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</si>
  <si>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</si>
  <si>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</si>
  <si>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</si>
  <si>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</si>
  <si>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</si>
  <si>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</si>
  <si>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</si>
  <si>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</si>
  <si>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</si>
  <si>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</si>
  <si>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</si>
  <si>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</si>
  <si>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</si>
  <si>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</si>
  <si>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</si>
  <si>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</si>
  <si>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</si>
  <si>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</si>
  <si>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</si>
  <si>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</si>
  <si>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</si>
  <si>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</si>
  <si>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</si>
  <si>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</si>
  <si>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</si>
  <si>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</si>
  <si>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</si>
  <si>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</si>
  <si>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</si>
  <si>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</si>
  <si>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</si>
  <si>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</si>
  <si>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</si>
  <si>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</si>
  <si>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</si>
  <si>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</si>
  <si>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</si>
  <si>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</si>
  <si>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</si>
  <si>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</si>
  <si>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</si>
  <si>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</si>
  <si>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</si>
  <si>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</si>
  <si>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</si>
  <si>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</si>
  <si>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</si>
  <si>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</si>
  <si>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</si>
  <si>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</si>
  <si>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</si>
  <si>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</si>
  <si>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</si>
  <si>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</si>
  <si>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</si>
  <si>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</si>
  <si>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</si>
  <si>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</si>
  <si>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</si>
  <si>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</si>
  <si>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</si>
  <si>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</si>
  <si>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</si>
  <si>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</si>
  <si>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</si>
  <si>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</si>
  <si>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</si>
  <si>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</si>
  <si>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</si>
  <si>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</si>
  <si>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</si>
  <si>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</si>
  <si>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</si>
  <si>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</si>
  <si>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</si>
  <si>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</si>
  <si>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</si>
  <si>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</si>
  <si>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</si>
  <si>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</si>
  <si>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</si>
  <si>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</si>
  <si>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</si>
  <si>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</si>
  <si>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</si>
  <si>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</si>
  <si>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</si>
  <si>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</si>
  <si>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</si>
  <si>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</si>
  <si>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</si>
  <si>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</si>
  <si>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</si>
  <si>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</si>
  <si>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</si>
  <si>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</si>
  <si>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</si>
  <si>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</si>
  <si>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</si>
  <si>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</si>
  <si>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</si>
  <si>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</si>
  <si>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</si>
  <si>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</si>
  <si>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</si>
  <si>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</si>
  <si>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</si>
  <si>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</si>
  <si>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</si>
  <si>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</si>
  <si>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</si>
  <si>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</si>
  <si>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</si>
  <si>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</si>
  <si>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</si>
  <si>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</si>
  <si>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</si>
  <si>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</si>
  <si>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</si>
  <si>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</si>
  <si>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</si>
  <si>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</si>
  <si>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</si>
  <si>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</si>
  <si>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</si>
  <si>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</si>
  <si>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</si>
  <si>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</si>
  <si>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</si>
  <si>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</si>
  <si>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</si>
  <si>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</si>
  <si>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</si>
  <si>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</si>
  <si>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</si>
  <si>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</si>
  <si>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</si>
  <si>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</si>
  <si>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</si>
  <si>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</si>
  <si>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</si>
  <si>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</si>
  <si>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</si>
  <si>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</si>
  <si>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</si>
  <si>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</si>
  <si>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</si>
  <si>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</si>
  <si>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</si>
  <si>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</si>
  <si>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</si>
  <si>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</si>
  <si>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</si>
  <si>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</si>
  <si>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</si>
  <si>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</si>
  <si>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</si>
  <si>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</si>
  <si>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</si>
  <si>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</si>
  <si>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</si>
  <si>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</si>
  <si>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</si>
  <si>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</si>
  <si>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</si>
  <si>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</si>
  <si>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</si>
  <si>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</si>
  <si>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</si>
  <si>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</si>
  <si>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</si>
  <si>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</si>
  <si>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</si>
  <si>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</si>
  <si>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</si>
  <si>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</si>
  <si>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</si>
  <si>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</si>
  <si>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</si>
  <si>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</si>
  <si>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</si>
  <si>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</si>
  <si>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</si>
  <si>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</si>
  <si>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</si>
  <si>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</si>
  <si>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</si>
  <si>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</si>
  <si>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</si>
  <si>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</si>
  <si>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</si>
  <si>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</si>
  <si>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</si>
  <si>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</si>
  <si>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</si>
  <si>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</si>
  <si>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</si>
  <si>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</si>
  <si>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</si>
  <si>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</si>
  <si>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</si>
  <si>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</si>
  <si>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</si>
  <si>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</si>
  <si>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</si>
  <si>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</si>
  <si>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</si>
  <si>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</si>
  <si>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</si>
  <si>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</si>
  <si>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</si>
  <si>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</si>
  <si>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</si>
  <si>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</si>
  <si>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</si>
  <si>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</si>
  <si>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</si>
  <si>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</si>
  <si>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</si>
  <si>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</si>
  <si>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</si>
  <si>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</si>
  <si>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</si>
  <si>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</si>
  <si>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</si>
  <si>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</si>
  <si>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</si>
  <si>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</si>
  <si>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</si>
  <si>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</si>
  <si>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</si>
  <si>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</si>
  <si>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</si>
  <si>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</si>
  <si>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</si>
  <si>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</si>
  <si>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</si>
  <si>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</si>
  <si>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</si>
  <si>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</si>
  <si>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</si>
  <si>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</si>
  <si>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</si>
  <si>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</si>
  <si>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</si>
  <si>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</si>
  <si>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</si>
  <si>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</si>
  <si>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</si>
  <si>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</si>
  <si>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</si>
  <si>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</si>
  <si>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</si>
  <si>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</si>
  <si>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</si>
  <si>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</si>
  <si>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</si>
  <si>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</si>
  <si>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</si>
  <si>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</si>
  <si>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</si>
  <si>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</si>
  <si>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</si>
  <si>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</si>
  <si>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</si>
  <si>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</si>
  <si>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</si>
  <si>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</si>
  <si>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</si>
  <si>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</si>
  <si>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</si>
  <si>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</si>
  <si>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</si>
  <si>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</si>
  <si>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</si>
  <si>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</si>
  <si>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</si>
  <si>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</si>
  <si>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</si>
  <si>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</si>
  <si>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</si>
  <si>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</si>
  <si>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</si>
  <si>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</si>
  <si>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</si>
  <si>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</si>
  <si>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</si>
  <si>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</si>
  <si>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</si>
  <si>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</si>
  <si>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</si>
  <si>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</si>
  <si>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</si>
  <si>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</si>
  <si>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</si>
  <si>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</si>
  <si>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</si>
  <si>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</si>
  <si>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</si>
  <si>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</si>
  <si>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</si>
  <si>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</si>
  <si>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</si>
  <si>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</si>
  <si>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</si>
  <si>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</si>
  <si>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</si>
  <si>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</si>
  <si>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</si>
  <si>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</si>
  <si>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</si>
  <si>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</si>
  <si>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</si>
  <si>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</si>
  <si>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</si>
  <si>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</si>
  <si>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</si>
  <si>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</si>
  <si>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</si>
  <si>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</si>
  <si>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</si>
  <si>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</si>
  <si>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</si>
  <si>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</si>
  <si>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</si>
  <si>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</si>
  <si>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</si>
  <si>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</si>
  <si>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</si>
  <si>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</si>
  <si>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</si>
  <si>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</si>
  <si>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</si>
  <si>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</si>
  <si>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</si>
  <si>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</si>
  <si>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</si>
  <si>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</si>
  <si>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</si>
  <si>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</si>
  <si>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</si>
  <si>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</si>
  <si>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</si>
  <si>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</si>
  <si>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</si>
  <si>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</si>
  <si>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</si>
  <si>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</si>
  <si>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</si>
  <si>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</si>
  <si>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</si>
  <si>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</si>
  <si>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</si>
  <si>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</si>
  <si>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</si>
  <si>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</si>
  <si>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</si>
  <si>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</si>
  <si>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</si>
  <si>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</si>
  <si>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</si>
  <si>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</si>
  <si>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</si>
  <si>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</si>
  <si>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</si>
  <si>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</si>
  <si>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</si>
  <si>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</si>
  <si>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</si>
  <si>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</si>
  <si>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</si>
  <si>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</si>
  <si>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</si>
  <si>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</si>
  <si>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</si>
  <si>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</si>
  <si>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</si>
  <si>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</si>
  <si>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</si>
  <si>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</si>
  <si>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</si>
  <si>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</si>
  <si>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</si>
  <si>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</si>
  <si>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</si>
  <si>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</si>
  <si>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</si>
  <si>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</si>
  <si>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</si>
  <si>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</si>
  <si>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</si>
  <si>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</si>
  <si>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</si>
  <si>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</si>
  <si>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</si>
  <si>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</si>
  <si>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</si>
  <si>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</si>
  <si>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</si>
  <si>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</si>
  <si>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</si>
  <si>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</si>
  <si>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</si>
  <si>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</si>
  <si>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</si>
  <si>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</si>
  <si>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</si>
  <si>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</si>
  <si>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</si>
  <si>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</si>
  <si>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</si>
  <si>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</si>
  <si>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</si>
  <si>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</si>
  <si>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</si>
  <si>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</si>
  <si>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</si>
  <si>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</si>
  <si>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</si>
  <si>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</si>
  <si>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</si>
  <si>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</si>
  <si>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</si>
  <si>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</si>
  <si>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</si>
  <si>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</si>
  <si>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</si>
  <si>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</si>
  <si>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</si>
  <si>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</si>
  <si>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</si>
  <si>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</si>
  <si>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</si>
  <si>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</si>
  <si>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</si>
  <si>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</si>
  <si>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</si>
  <si>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</si>
  <si>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</si>
  <si>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</si>
  <si>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</si>
  <si>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</si>
  <si>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</si>
  <si>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</si>
  <si>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</si>
  <si>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</si>
  <si>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</si>
  <si>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</si>
  <si>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</si>
  <si>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</si>
  <si>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</si>
  <si>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</si>
  <si>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</si>
  <si>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</si>
  <si>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</si>
  <si>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</si>
  <si>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</si>
  <si>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</si>
  <si>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</si>
  <si>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</si>
  <si>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</si>
  <si>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</si>
  <si>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</si>
  <si>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</si>
  <si>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</si>
  <si>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</si>
  <si>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</si>
  <si>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</si>
  <si>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</si>
  <si>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</si>
  <si>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</si>
  <si>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</si>
  <si>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</si>
  <si>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</si>
  <si>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</si>
  <si>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</si>
  <si>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</si>
  <si>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</si>
  <si>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</si>
  <si>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</si>
  <si>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</si>
  <si>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</si>
  <si>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</si>
  <si>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</si>
  <si>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</si>
  <si>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</si>
  <si>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</si>
  <si>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</si>
  <si>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</si>
  <si>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</si>
  <si>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</si>
  <si>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</si>
  <si>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</si>
  <si>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</si>
  <si>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</si>
  <si>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</si>
  <si>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</si>
  <si>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</si>
  <si>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</si>
  <si>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</si>
  <si>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</si>
  <si>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</si>
  <si>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</si>
  <si>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</si>
  <si>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</si>
  <si>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</si>
  <si>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</si>
  <si>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</si>
  <si>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</si>
  <si>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</si>
  <si>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</si>
  <si>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</si>
  <si>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</si>
  <si>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</si>
  <si>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</si>
  <si>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</si>
  <si>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</si>
  <si>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</si>
  <si>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</si>
  <si>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</si>
  <si>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</si>
  <si>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</si>
  <si>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</si>
  <si>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</si>
  <si>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</si>
  <si>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</si>
  <si>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</si>
  <si>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</si>
  <si>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</si>
  <si>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</si>
  <si>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</si>
  <si>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</si>
  <si>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</si>
  <si>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</si>
  <si>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</si>
  <si>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</si>
  <si>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</si>
  <si>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</si>
  <si>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</si>
  <si>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</si>
  <si>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</si>
  <si>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</si>
  <si>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</si>
  <si>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</si>
  <si>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</si>
  <si>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</si>
  <si>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</si>
  <si>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</si>
  <si>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</si>
  <si>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</si>
  <si>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</si>
  <si>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</si>
  <si>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</si>
  <si>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</si>
  <si>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</si>
  <si>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</si>
  <si>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</si>
  <si>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</si>
  <si>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</si>
  <si>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</si>
  <si>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</si>
  <si>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</si>
  <si>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</si>
  <si>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</si>
  <si>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</si>
  <si>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</si>
  <si>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</si>
  <si>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</si>
  <si>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</si>
  <si>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</si>
  <si>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</si>
  <si>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</si>
  <si>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</si>
  <si>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</si>
  <si>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</si>
  <si>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</si>
  <si>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</si>
  <si>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</si>
  <si>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</si>
  <si>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</si>
  <si>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</si>
  <si>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</si>
  <si>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</si>
  <si>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</si>
  <si>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</si>
  <si>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</si>
  <si>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</si>
  <si>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</si>
  <si>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</si>
  <si>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</si>
  <si>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</si>
  <si>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</si>
  <si>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</si>
  <si>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</si>
  <si>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</si>
  <si>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</si>
  <si>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</si>
  <si>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</si>
  <si>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</si>
  <si>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</si>
  <si>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</si>
  <si>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</si>
  <si>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</si>
  <si>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</si>
  <si>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</si>
  <si>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</si>
  <si>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</si>
  <si>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</si>
  <si>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</si>
  <si>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</si>
  <si>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</si>
  <si>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</si>
  <si>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</si>
  <si>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</si>
  <si>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</si>
  <si>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</si>
  <si>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</si>
  <si>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</si>
  <si>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</si>
  <si>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</si>
  <si>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</si>
  <si>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</si>
  <si>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</si>
  <si>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</si>
  <si>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</si>
  <si>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</si>
  <si>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</si>
  <si>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</si>
  <si>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</si>
  <si>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</si>
  <si>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</si>
  <si>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</si>
  <si>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</si>
  <si>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</si>
  <si>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</si>
  <si>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</si>
  <si>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</si>
  <si>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</si>
  <si>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</si>
  <si>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</si>
  <si>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</si>
  <si>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</si>
  <si>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</si>
  <si>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</si>
  <si>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</si>
  <si>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</si>
  <si>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</si>
  <si>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</si>
  <si>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</si>
  <si>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</si>
  <si>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</si>
  <si>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</si>
  <si>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</si>
  <si>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</si>
  <si>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</si>
  <si>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</si>
  <si>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</si>
  <si>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</si>
  <si>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</si>
  <si>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</si>
  <si>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</si>
  <si>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</si>
  <si>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</si>
  <si>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</si>
  <si>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</si>
  <si>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</si>
  <si>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</si>
  <si>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</si>
  <si>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</si>
  <si>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</si>
  <si>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</si>
  <si>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</si>
  <si>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</si>
  <si>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</si>
  <si>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</si>
  <si>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</si>
  <si>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</si>
  <si>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</si>
  <si>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</si>
  <si>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</si>
  <si>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</si>
  <si>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</si>
  <si>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</si>
  <si>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</si>
  <si>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</si>
  <si>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</si>
  <si>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</si>
  <si>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</si>
  <si>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</si>
  <si>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</si>
  <si>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</si>
  <si>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</si>
  <si>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</si>
  <si>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</si>
  <si>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</si>
  <si>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</si>
  <si>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</si>
  <si>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</si>
  <si>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</si>
  <si>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</si>
  <si>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</si>
  <si>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</si>
  <si>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</si>
  <si>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</si>
  <si>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</si>
  <si>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</si>
  <si>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</si>
  <si>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</si>
  <si>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</si>
  <si>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</si>
  <si>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</si>
  <si>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</si>
  <si>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</si>
  <si>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</si>
  <si>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</si>
  <si>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</si>
  <si>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</si>
  <si>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</si>
  <si>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</si>
  <si>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</si>
  <si>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</si>
  <si>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</si>
  <si>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</si>
  <si>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</si>
  <si>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</si>
  <si>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</si>
  <si>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</si>
  <si>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</si>
  <si>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</si>
  <si>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</si>
  <si>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</si>
  <si>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</si>
  <si>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</si>
  <si>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</si>
  <si>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</si>
  <si>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</si>
  <si>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</si>
  <si>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</si>
  <si>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</si>
  <si>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</si>
  <si>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</si>
  <si>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</si>
  <si>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</si>
  <si>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</si>
  <si>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</si>
  <si>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</si>
  <si>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</si>
  <si>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</si>
  <si>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</si>
  <si>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</si>
  <si>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</si>
  <si>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</si>
  <si>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</si>
  <si>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</si>
  <si>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</si>
  <si>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</si>
  <si>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</si>
  <si>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</si>
  <si>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</si>
  <si>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</si>
  <si>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</si>
  <si>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</si>
  <si>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</si>
  <si>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</si>
  <si>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</si>
  <si>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</si>
  <si>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</si>
  <si>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</si>
  <si>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</si>
  <si>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</si>
  <si>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</si>
  <si>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</si>
  <si>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</si>
  <si>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</si>
  <si>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</si>
  <si>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</si>
  <si>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</si>
  <si>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</si>
  <si>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</si>
  <si>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</si>
  <si>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</si>
  <si>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</si>
  <si>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</si>
  <si>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</si>
  <si>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</si>
  <si>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</si>
  <si>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</si>
  <si>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</si>
  <si>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</si>
  <si>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</si>
  <si>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</si>
  <si>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</si>
  <si>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</si>
  <si>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</si>
  <si>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</si>
  <si>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</si>
  <si>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</si>
  <si>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</si>
  <si>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</si>
  <si>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</si>
  <si>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</si>
  <si>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</si>
  <si>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</si>
  <si>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</si>
  <si>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</si>
  <si>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</si>
  <si>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</si>
  <si>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</si>
  <si>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</si>
  <si>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</si>
  <si>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</si>
  <si>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</si>
  <si>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</si>
  <si>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</si>
  <si>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</si>
  <si>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</si>
  <si>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</si>
  <si>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</si>
  <si>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</si>
  <si>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</si>
  <si>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</si>
  <si>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</si>
  <si>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</si>
  <si>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</si>
  <si>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</si>
  <si>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</si>
  <si>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</si>
  <si>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</si>
  <si>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</si>
  <si>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</si>
  <si>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</si>
  <si>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</si>
  <si>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</si>
  <si>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</si>
  <si>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</si>
  <si>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</si>
  <si>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</si>
  <si>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</si>
  <si>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</si>
  <si>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</si>
  <si>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</si>
  <si>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</si>
  <si>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</si>
  <si>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</si>
  <si>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</si>
  <si>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</si>
  <si>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</si>
  <si>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</si>
  <si>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</si>
  <si>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</si>
  <si>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</si>
  <si>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</si>
  <si>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</si>
  <si>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</si>
  <si>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</si>
  <si>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</si>
  <si>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</si>
  <si>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</si>
  <si>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</si>
  <si>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</si>
  <si>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</si>
  <si>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</si>
  <si>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</si>
  <si>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</si>
  <si>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</si>
  <si>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</si>
  <si>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</si>
  <si>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</si>
  <si>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</si>
  <si>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</si>
  <si>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</si>
  <si>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</si>
  <si>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</si>
  <si>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</si>
  <si>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</si>
  <si>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</si>
  <si>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</si>
  <si>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</si>
  <si>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</si>
  <si>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</si>
  <si>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</si>
  <si>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</si>
  <si>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</si>
  <si>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</si>
  <si>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</si>
  <si>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</si>
  <si>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</si>
  <si>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</si>
  <si>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</si>
  <si>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</si>
  <si>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</si>
  <si>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</si>
  <si>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</si>
  <si>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</si>
  <si>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</si>
  <si>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</si>
  <si>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</si>
  <si>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</si>
  <si>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</si>
  <si>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</si>
  <si>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</si>
  <si>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</si>
  <si>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</si>
  <si>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</si>
  <si>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</si>
  <si>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</si>
  <si>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</si>
  <si>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</si>
  <si>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</si>
  <si>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</si>
  <si>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</si>
  <si>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</si>
  <si>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</si>
  <si>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</si>
  <si>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</si>
  <si>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</si>
  <si>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</si>
  <si>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</si>
  <si>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</si>
  <si>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</si>
  <si>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</si>
  <si>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</si>
  <si>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</si>
  <si>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</si>
  <si>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</si>
  <si>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</si>
  <si>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</si>
  <si>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</si>
  <si>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</si>
  <si>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</si>
  <si>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</si>
  <si>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</si>
  <si>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</si>
  <si>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</si>
  <si>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</si>
  <si>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</si>
  <si>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</si>
  <si>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</si>
  <si>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</si>
  <si>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</si>
  <si>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</si>
  <si>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</si>
  <si>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</si>
  <si>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</si>
  <si>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</si>
  <si>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</si>
  <si>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</si>
  <si>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</si>
  <si>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</si>
  <si>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</si>
  <si>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</si>
  <si>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</si>
  <si>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</si>
  <si>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</si>
  <si>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</si>
  <si>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</si>
  <si>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</si>
  <si>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</si>
  <si>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</si>
  <si>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</si>
  <si>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</si>
  <si>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</si>
  <si>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</si>
  <si>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</si>
  <si>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</si>
  <si>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</si>
  <si>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</si>
  <si>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</si>
  <si>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</si>
  <si>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</si>
  <si>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</si>
  <si>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</si>
  <si>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</si>
  <si>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</si>
  <si>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</si>
  <si>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</si>
  <si>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</si>
  <si>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</si>
  <si>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</si>
  <si>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</si>
  <si>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</si>
  <si>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</si>
  <si>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</si>
  <si>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</si>
  <si>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</si>
  <si>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</si>
  <si>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</si>
  <si>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</si>
  <si>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</si>
  <si>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</si>
  <si>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</si>
  <si>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</si>
  <si>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</si>
  <si>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</si>
  <si>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</si>
  <si>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</si>
  <si>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</si>
  <si>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</si>
  <si>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</si>
  <si>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</si>
  <si>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</si>
  <si>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</si>
  <si>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</si>
  <si>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</si>
  <si>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</si>
  <si>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</si>
  <si>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</si>
  <si>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</si>
  <si>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</si>
  <si>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</si>
  <si>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</si>
  <si>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</si>
  <si>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</si>
  <si>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</si>
  <si>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</si>
  <si>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</si>
  <si>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</si>
  <si>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</si>
  <si>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</si>
  <si>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</si>
  <si>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</si>
  <si>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</si>
  <si>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</si>
  <si>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</si>
  <si>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</si>
  <si>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</si>
  <si>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</si>
  <si>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</si>
  <si>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</si>
  <si>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</si>
  <si>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</si>
  <si>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</si>
  <si>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</si>
  <si>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</si>
  <si>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</si>
  <si>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</si>
  <si>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</si>
  <si>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</si>
  <si>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</si>
  <si>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</si>
  <si>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</si>
  <si>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</si>
  <si>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</si>
  <si>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</si>
  <si>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</si>
  <si>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</si>
  <si>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</si>
  <si>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</si>
  <si>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</si>
  <si>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</si>
  <si>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</si>
  <si>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</si>
  <si>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</si>
  <si>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</si>
  <si>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</si>
  <si>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</si>
  <si>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</si>
  <si>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</si>
  <si>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</si>
  <si>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</si>
  <si>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</si>
  <si>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</si>
  <si>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</si>
  <si>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</si>
  <si>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</si>
  <si>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</si>
  <si>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</si>
  <si>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</si>
  <si>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</si>
  <si>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</si>
  <si>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</si>
  <si>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</si>
  <si>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</si>
  <si>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</si>
  <si>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</si>
  <si>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</si>
  <si>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</si>
  <si>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</si>
  <si>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</si>
  <si>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</si>
  <si>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</si>
  <si>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</si>
  <si>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</si>
  <si>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</si>
  <si>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</si>
  <si>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</si>
  <si>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</si>
  <si>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</si>
  <si>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</si>
  <si>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</si>
  <si>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</si>
  <si>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</si>
  <si>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</si>
  <si>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</si>
  <si>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</si>
  <si>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</si>
  <si>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</si>
  <si>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</si>
  <si>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</si>
  <si>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</si>
  <si>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</si>
  <si>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</si>
  <si>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</si>
  <si>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</si>
  <si>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</si>
  <si>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</si>
  <si>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</si>
  <si>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</si>
  <si>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</si>
  <si>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</si>
  <si>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</si>
  <si>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</si>
  <si>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</si>
  <si>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</si>
  <si>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</si>
  <si>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</si>
  <si>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</si>
  <si>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</si>
  <si>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</si>
  <si>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</si>
  <si>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</si>
  <si>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</si>
  <si>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</si>
  <si>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</si>
  <si>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</si>
  <si>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</si>
  <si>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</si>
  <si>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</si>
  <si>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</si>
  <si>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</si>
  <si>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</si>
  <si>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</si>
  <si>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</si>
  <si>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</si>
  <si>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</si>
  <si>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</si>
  <si>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</si>
  <si>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</si>
  <si>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</si>
  <si>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</si>
  <si>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</si>
  <si>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</si>
  <si>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</si>
  <si>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</si>
  <si>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</si>
  <si>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</si>
  <si>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</si>
  <si>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</si>
  <si>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</si>
  <si>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</si>
  <si>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</si>
  <si>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</si>
  <si>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</si>
  <si>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</si>
  <si>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</si>
  <si>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</si>
  <si>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</si>
  <si>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</si>
  <si>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</si>
  <si>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</si>
  <si>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</si>
  <si>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</si>
  <si>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</si>
  <si>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</si>
  <si>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</si>
  <si>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</si>
  <si>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</si>
  <si>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</si>
  <si>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</si>
  <si>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</si>
  <si>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</si>
  <si>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</si>
  <si>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</si>
  <si>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</si>
  <si>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</si>
  <si>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</si>
  <si>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</si>
  <si>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</si>
  <si>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</si>
  <si>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</si>
  <si>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</si>
  <si>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</si>
  <si>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</si>
  <si>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</si>
  <si>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</si>
  <si>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</si>
  <si>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</si>
  <si>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</si>
  <si>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</si>
  <si>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</si>
  <si>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</si>
  <si>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</si>
  <si>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</si>
  <si>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</si>
  <si>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</si>
  <si>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</si>
  <si>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</si>
  <si>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</si>
  <si>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</si>
  <si>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</si>
  <si>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</si>
  <si>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</si>
  <si>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</si>
  <si>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</si>
  <si>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</si>
  <si>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</si>
  <si>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</si>
  <si>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</si>
  <si>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</si>
  <si>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</si>
  <si>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</si>
  <si>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</si>
  <si>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</si>
  <si>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</si>
  <si>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</si>
  <si>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</si>
  <si>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</si>
  <si>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</si>
  <si>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</si>
  <si>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</si>
  <si>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</si>
  <si>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</si>
  <si>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</si>
  <si>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</si>
  <si>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</si>
  <si>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</si>
  <si>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</si>
  <si>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</si>
  <si>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</si>
  <si>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</si>
  <si>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</si>
  <si>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</si>
  <si>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</si>
  <si>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</si>
  <si>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</si>
  <si>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</si>
  <si>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</si>
  <si>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</si>
  <si>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</si>
  <si>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</si>
  <si>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</si>
  <si>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</si>
  <si>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</si>
  <si>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</si>
  <si>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</si>
  <si>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</si>
  <si>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</si>
  <si>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</si>
  <si>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</si>
  <si>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</si>
  <si>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</si>
  <si>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</si>
  <si>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</si>
  <si>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</si>
  <si>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</si>
  <si>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</si>
  <si>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</si>
  <si>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</si>
  <si>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</si>
  <si>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</si>
  <si>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</si>
  <si>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</si>
  <si>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</si>
  <si>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</si>
  <si>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</si>
  <si>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</si>
  <si>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</si>
  <si>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</si>
  <si>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</si>
  <si>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</si>
  <si>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</si>
  <si>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</si>
  <si>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</si>
  <si>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</si>
  <si>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</si>
  <si>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</si>
  <si>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</si>
  <si>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</si>
  <si>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</si>
  <si>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</si>
  <si>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</si>
  <si>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</si>
  <si>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</si>
  <si>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</si>
  <si>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</si>
  <si>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</si>
  <si>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</si>
  <si>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</si>
  <si>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</si>
  <si>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</si>
  <si>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</si>
  <si>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</si>
  <si>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</si>
  <si>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</si>
  <si>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</si>
  <si>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</si>
  <si>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</si>
  <si>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</si>
  <si>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</si>
  <si>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</si>
  <si>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</si>
  <si>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</si>
  <si>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</si>
  <si>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</si>
  <si>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</si>
  <si>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</si>
  <si>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</si>
  <si>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</si>
  <si>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</si>
  <si>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</si>
  <si>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</si>
  <si>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</si>
  <si>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</si>
  <si>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</si>
  <si>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</si>
  <si>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</si>
  <si>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</si>
  <si>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</si>
  <si>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</si>
  <si>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</si>
  <si>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</si>
  <si>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</si>
  <si>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</si>
  <si>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</si>
  <si>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</si>
  <si>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</si>
  <si>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</si>
  <si>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</si>
  <si>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</si>
  <si>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</si>
  <si>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</si>
  <si>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</si>
  <si>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</si>
  <si>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</si>
  <si>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</si>
  <si>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</si>
  <si>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</si>
  <si>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</si>
  <si>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</si>
  <si>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</si>
  <si>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</si>
  <si>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</si>
  <si>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</si>
  <si>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</si>
  <si>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</si>
  <si>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</si>
  <si>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</si>
  <si>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</si>
  <si>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</si>
  <si>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</si>
  <si>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</si>
  <si>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</si>
  <si>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</si>
  <si>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</si>
  <si>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</si>
  <si>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</si>
  <si>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</si>
  <si>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</si>
  <si>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</si>
  <si>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</si>
  <si>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</si>
  <si>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</si>
  <si>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</si>
  <si>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</si>
  <si>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</si>
  <si>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</si>
  <si>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</si>
  <si>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</si>
  <si>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</si>
  <si>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</si>
  <si>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</si>
  <si>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</si>
  <si>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</si>
  <si>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</si>
  <si>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</si>
  <si>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</si>
  <si>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</si>
  <si>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</si>
  <si>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</si>
  <si>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</si>
  <si>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</si>
  <si>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</si>
  <si>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</si>
  <si>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</si>
  <si>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</si>
  <si>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</si>
  <si>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</si>
  <si>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</si>
  <si>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</si>
  <si>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</si>
  <si>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</si>
  <si>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</si>
  <si>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</si>
  <si>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</si>
  <si>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</si>
  <si>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</si>
  <si>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</si>
  <si>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</si>
  <si>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</si>
  <si>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</si>
  <si>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</si>
  <si>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</si>
  <si>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</si>
  <si>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</si>
  <si>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</si>
  <si>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</si>
  <si>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</si>
  <si>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</si>
  <si>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</si>
  <si>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</si>
  <si>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</si>
  <si>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</si>
  <si>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</si>
  <si>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</si>
  <si>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</si>
  <si>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</si>
  <si>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</si>
  <si>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</si>
  <si>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</si>
  <si>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</si>
  <si>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</si>
  <si>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</si>
  <si>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</si>
  <si>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</si>
  <si>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</si>
  <si>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</si>
  <si>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</si>
  <si>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</si>
  <si>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</si>
  <si>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</si>
  <si>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</si>
  <si>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</si>
  <si>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</si>
  <si>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</si>
  <si>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</si>
  <si>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</si>
  <si>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</si>
  <si>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</si>
  <si>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</si>
  <si>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</si>
  <si>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</si>
  <si>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</si>
  <si>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</si>
  <si>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</si>
  <si>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</si>
  <si>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</si>
  <si>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</si>
  <si>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</si>
  <si>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</si>
  <si>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</si>
  <si>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</si>
  <si>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</si>
  <si>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</si>
  <si>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</si>
  <si>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</si>
  <si>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</si>
  <si>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</si>
  <si>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</si>
  <si>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</si>
  <si>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</si>
  <si>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</si>
  <si>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</si>
  <si>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</si>
  <si>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</si>
  <si>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</si>
  <si>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</si>
  <si>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</si>
  <si>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</si>
  <si>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</si>
  <si>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</si>
  <si>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</si>
  <si>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</si>
  <si>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</si>
  <si>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</si>
  <si>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</si>
  <si>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</si>
  <si>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</si>
  <si>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</si>
  <si>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</si>
  <si>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</si>
  <si>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</si>
  <si>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</si>
  <si>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</si>
  <si>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</si>
  <si>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</si>
  <si>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</si>
  <si>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</si>
  <si>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</si>
  <si>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</si>
  <si>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</si>
  <si>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</si>
  <si>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</si>
  <si>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</si>
  <si>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</si>
  <si>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</si>
  <si>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</si>
  <si>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</si>
  <si>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</si>
  <si>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</si>
  <si>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</si>
  <si>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</si>
  <si>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</si>
  <si>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</si>
  <si>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</si>
  <si>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</si>
  <si>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</si>
  <si>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</si>
  <si>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</si>
  <si>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</si>
  <si>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</si>
  <si>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</si>
  <si>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</si>
  <si>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</si>
  <si>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</si>
  <si>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</si>
  <si>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</si>
  <si>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</si>
  <si>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</si>
  <si>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</si>
  <si>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</si>
  <si>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</si>
  <si>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</si>
  <si>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</si>
  <si>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</si>
  <si>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</si>
  <si>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</si>
  <si>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</si>
  <si>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</si>
  <si>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</si>
  <si>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</si>
  <si>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</si>
  <si>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</si>
  <si>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</si>
  <si>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</si>
  <si>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</si>
  <si>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</si>
  <si>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</si>
  <si>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</si>
  <si>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</si>
  <si>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</si>
  <si>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</si>
  <si>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</si>
  <si>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</si>
  <si>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</si>
  <si>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</si>
  <si>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</si>
  <si>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</si>
  <si>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</si>
  <si>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</si>
  <si>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</si>
  <si>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</si>
  <si>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</si>
  <si>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</si>
  <si>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</si>
  <si>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</si>
  <si>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</si>
  <si>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</si>
  <si>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</si>
  <si>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</si>
  <si>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</si>
  <si>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</si>
  <si>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</si>
  <si>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</si>
  <si>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</si>
  <si>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</si>
  <si>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</si>
  <si>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</si>
  <si>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</si>
  <si>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</si>
  <si>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</si>
  <si>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</si>
  <si>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</si>
  <si>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</si>
  <si>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</si>
  <si>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</si>
  <si>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</si>
  <si>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</si>
  <si>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</si>
  <si>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</si>
  <si>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</si>
  <si>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</si>
  <si>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</si>
  <si>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</si>
  <si>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</si>
  <si>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</si>
  <si>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</si>
  <si>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</si>
  <si>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</si>
  <si>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</si>
  <si>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</si>
  <si>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</si>
  <si>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</si>
  <si>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</si>
  <si>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</si>
  <si>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</si>
  <si>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</si>
  <si>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</si>
  <si>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</si>
  <si>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</si>
  <si>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</si>
  <si>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</si>
  <si>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</si>
  <si>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</si>
  <si>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</si>
  <si>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</si>
  <si>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</si>
  <si>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</si>
  <si>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</si>
  <si>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</si>
  <si>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</si>
  <si>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</si>
  <si>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</si>
  <si>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</si>
  <si>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</si>
  <si>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</si>
  <si>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</si>
  <si>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</si>
  <si>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</si>
  <si>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</si>
  <si>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</si>
  <si>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</si>
  <si>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</si>
  <si>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</si>
  <si>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</si>
  <si>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</si>
  <si>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</si>
  <si>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</si>
  <si>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</si>
  <si>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</si>
  <si>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</si>
  <si>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</si>
  <si>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</si>
  <si>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</si>
  <si>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</si>
  <si>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</si>
  <si>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</si>
  <si>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</si>
  <si>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</si>
  <si>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</si>
  <si>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</si>
  <si>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</si>
  <si>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</si>
  <si>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</si>
  <si>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</si>
  <si>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</si>
  <si>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</si>
  <si>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</si>
  <si>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</si>
  <si>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</si>
  <si>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</si>
  <si>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</si>
  <si>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</si>
  <si>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</si>
  <si>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</si>
  <si>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</si>
  <si>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</si>
  <si>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</si>
  <si>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</si>
  <si>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</si>
  <si>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</si>
  <si>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</si>
  <si>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</si>
  <si>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</si>
  <si>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</si>
  <si>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</si>
  <si>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</si>
  <si>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</si>
  <si>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</si>
  <si>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</si>
  <si>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</si>
  <si>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</si>
  <si>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</si>
  <si>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</si>
  <si>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</si>
  <si>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</si>
  <si>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</si>
  <si>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</si>
  <si>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</si>
  <si>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</si>
  <si>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</si>
  <si>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</si>
  <si>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</si>
  <si>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</si>
  <si>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</si>
  <si>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</si>
  <si>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</si>
  <si>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</si>
  <si>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</si>
  <si>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</si>
  <si>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</si>
  <si>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</si>
  <si>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</si>
  <si>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</si>
  <si>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</si>
  <si>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</si>
  <si>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</si>
  <si>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</si>
  <si>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</si>
  <si>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</si>
  <si>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</si>
  <si>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</si>
  <si>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</si>
  <si>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</si>
  <si>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</si>
  <si>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</si>
  <si>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</si>
  <si>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</si>
  <si>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</si>
  <si>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</si>
  <si>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</si>
  <si>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</si>
  <si>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</si>
  <si>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</si>
  <si>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</si>
  <si>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</si>
  <si>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</si>
  <si>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</si>
  <si>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</si>
  <si>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</si>
  <si>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</si>
  <si>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</si>
  <si>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</si>
  <si>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</si>
  <si>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</si>
  <si>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</si>
  <si>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</si>
  <si>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</si>
  <si>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</si>
  <si>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</si>
  <si>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</si>
  <si>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</si>
  <si>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</si>
  <si>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</si>
  <si>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</si>
  <si>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</si>
  <si>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</si>
  <si>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</si>
  <si>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</si>
  <si>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</si>
  <si>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</si>
  <si>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</si>
  <si>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</si>
  <si>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</si>
  <si>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</si>
  <si>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</si>
  <si>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</si>
  <si>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</si>
  <si>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</si>
  <si>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</si>
  <si>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</si>
  <si>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</si>
  <si>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</si>
  <si>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</si>
  <si>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</si>
  <si>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</si>
  <si>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</si>
  <si>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</si>
  <si>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</si>
  <si>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</si>
  <si>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</si>
  <si>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</si>
  <si>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</si>
  <si>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</si>
  <si>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</si>
  <si>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</si>
  <si>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</si>
  <si>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</si>
  <si>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</si>
  <si>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</si>
  <si>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</si>
  <si>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</si>
  <si>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</si>
  <si>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</si>
  <si>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</si>
  <si>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</si>
  <si>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</si>
  <si>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</si>
  <si>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</si>
  <si>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</si>
  <si>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</si>
  <si>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</si>
  <si>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</si>
  <si>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</si>
  <si>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</si>
  <si>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</si>
  <si>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</si>
  <si>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</si>
  <si>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</si>
  <si>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</si>
  <si>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</si>
  <si>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</si>
  <si>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</si>
  <si>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</si>
  <si>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</si>
  <si>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</si>
  <si>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</si>
  <si>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</si>
  <si>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</si>
  <si>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</si>
  <si>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</si>
  <si>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</si>
  <si>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</si>
  <si>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</si>
  <si>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</si>
  <si>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</si>
  <si>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</si>
  <si>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</si>
  <si>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</si>
  <si>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</si>
  <si>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</si>
  <si>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</si>
  <si>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</si>
  <si>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</si>
  <si>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</si>
  <si>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</si>
  <si>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</si>
  <si>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</si>
  <si>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</si>
  <si>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</si>
  <si>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</si>
  <si>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</si>
  <si>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</si>
  <si>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</si>
  <si>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</si>
  <si>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</si>
  <si>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</si>
  <si>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</si>
  <si>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</si>
  <si>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</si>
  <si>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</si>
  <si>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</si>
  <si>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</si>
  <si>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</si>
  <si>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</si>
  <si>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</si>
  <si>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</si>
  <si>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</si>
  <si>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</si>
  <si>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</si>
  <si>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</si>
  <si>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</si>
  <si>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</si>
  <si>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</si>
  <si>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</si>
  <si>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</si>
  <si>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</si>
  <si>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</si>
  <si>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</si>
  <si>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</si>
  <si>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</si>
  <si>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</si>
  <si>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</si>
  <si>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</si>
  <si>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</si>
  <si>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</si>
  <si>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</si>
  <si>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</si>
  <si>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</si>
  <si>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</si>
  <si>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</si>
  <si>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</si>
  <si>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</si>
  <si>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</si>
  <si>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</si>
  <si>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</si>
  <si>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</si>
  <si>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</si>
  <si>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</si>
  <si>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</si>
  <si>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</si>
  <si>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</si>
  <si>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</si>
  <si>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</si>
  <si>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</si>
  <si>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</si>
  <si>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</si>
  <si>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</si>
  <si>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</si>
  <si>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</si>
  <si>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</si>
  <si>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</si>
  <si>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</si>
  <si>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</si>
  <si>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</si>
  <si>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</si>
  <si>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</si>
  <si>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</si>
  <si>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</si>
  <si>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</si>
  <si>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</si>
  <si>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</si>
  <si>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</si>
  <si>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</si>
  <si>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</si>
  <si>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</si>
  <si>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</si>
  <si>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</si>
  <si>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</si>
  <si>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</si>
  <si>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</si>
  <si>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</si>
  <si>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</si>
  <si>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</si>
  <si>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</si>
  <si>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</si>
  <si>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</si>
  <si>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</si>
  <si>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</si>
  <si>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</si>
  <si>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</si>
  <si>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</si>
  <si>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</si>
  <si>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</si>
  <si>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</si>
  <si>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</si>
  <si>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</si>
  <si>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</si>
  <si>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</si>
  <si>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</si>
  <si>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</si>
  <si>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</si>
  <si>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</si>
  <si>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</si>
  <si>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</si>
  <si>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</si>
  <si>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</si>
  <si>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</si>
  <si>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</si>
  <si>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</si>
  <si>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</si>
  <si>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</si>
  <si>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</si>
  <si>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</si>
  <si>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</si>
  <si>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</si>
  <si>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</si>
  <si>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</si>
  <si>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</si>
  <si>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</si>
  <si>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</si>
  <si>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</si>
  <si>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</si>
  <si>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</si>
  <si>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</si>
  <si>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</si>
  <si>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</si>
  <si>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</si>
  <si>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</si>
  <si>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</si>
  <si>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</si>
  <si>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</si>
  <si>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</si>
  <si>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</si>
  <si>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</si>
  <si>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</si>
  <si>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</si>
  <si>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</si>
  <si>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</si>
  <si>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</si>
  <si>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</si>
  <si>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</si>
  <si>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</si>
  <si>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</si>
  <si>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</si>
  <si>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</si>
  <si>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</si>
  <si>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</si>
  <si>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</si>
  <si>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</si>
  <si>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</si>
  <si>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</si>
  <si>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</si>
  <si>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</si>
  <si>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</si>
  <si>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</si>
  <si>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</si>
  <si>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</si>
  <si>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</si>
  <si>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</si>
  <si>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</si>
  <si>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</si>
  <si>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</si>
  <si>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</si>
  <si>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</si>
  <si>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</si>
  <si>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</si>
  <si>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</si>
  <si>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</si>
  <si>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</si>
  <si>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</si>
  <si>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</si>
  <si>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</si>
  <si>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</si>
  <si>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</si>
  <si>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</si>
  <si>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</si>
  <si>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</si>
  <si>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</si>
  <si>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</si>
  <si>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</si>
  <si>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</si>
  <si>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</si>
  <si>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</si>
  <si>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</si>
  <si>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</si>
  <si>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</si>
  <si>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</si>
  <si>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</si>
  <si>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</si>
  <si>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</si>
  <si>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</si>
  <si>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</si>
  <si>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</si>
  <si>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</si>
  <si>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</si>
  <si>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</si>
  <si>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</si>
  <si>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</si>
  <si>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</si>
  <si>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</si>
  <si>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</si>
  <si>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</si>
  <si>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</si>
  <si>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</si>
  <si>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</si>
  <si>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</si>
  <si>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</si>
  <si>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</si>
  <si>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</si>
  <si>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</si>
  <si>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</si>
  <si>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</si>
  <si>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</si>
  <si>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</si>
  <si>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</si>
  <si>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</si>
  <si>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</si>
  <si>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</si>
  <si>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</si>
  <si>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</si>
  <si>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</si>
  <si>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</si>
  <si>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</si>
  <si>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</si>
  <si>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</si>
  <si>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</si>
  <si>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</si>
  <si>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</si>
  <si>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</si>
  <si>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</si>
  <si>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</si>
  <si>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</si>
  <si>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</si>
  <si>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</si>
  <si>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</si>
  <si>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</si>
  <si>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</si>
  <si>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</si>
  <si>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</si>
  <si>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</si>
  <si>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</si>
  <si>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</si>
  <si>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</si>
  <si>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</si>
  <si>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</si>
  <si>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</si>
  <si>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</si>
  <si>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</si>
  <si>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</si>
  <si>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</si>
  <si>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</si>
  <si>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</si>
  <si>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</si>
  <si>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</si>
  <si>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</si>
  <si>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</si>
  <si>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</si>
  <si>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</si>
  <si>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</si>
  <si>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</si>
  <si>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</si>
  <si>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</si>
  <si>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</si>
  <si>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</si>
  <si>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</si>
  <si>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</si>
  <si>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</si>
  <si>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</si>
  <si>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</si>
  <si>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</si>
  <si>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</si>
  <si>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</si>
  <si>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</si>
  <si>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</si>
  <si>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</si>
  <si>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</si>
  <si>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</si>
  <si>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</si>
  <si>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</si>
  <si>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</si>
  <si>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</si>
  <si>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</si>
  <si>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</si>
  <si>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</si>
  <si>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</si>
  <si>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</si>
  <si>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</si>
  <si>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</si>
  <si>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</si>
  <si>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</si>
  <si>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</si>
  <si>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</si>
  <si>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</si>
  <si>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</si>
  <si>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</si>
  <si>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</si>
  <si>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</si>
  <si>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</si>
  <si>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</si>
  <si>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</si>
  <si>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</si>
  <si>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</si>
  <si>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</si>
  <si>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</si>
  <si>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</si>
  <si>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</si>
  <si>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</si>
  <si>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</si>
  <si>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</si>
  <si>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</si>
  <si>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</si>
  <si>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</si>
  <si>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</si>
  <si>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</si>
  <si>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</si>
  <si>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</si>
  <si>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</si>
  <si>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</si>
  <si>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</si>
  <si>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</si>
  <si>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</si>
  <si>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</si>
  <si>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</si>
  <si>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</si>
  <si>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</si>
  <si>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</si>
  <si>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</si>
  <si>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</si>
  <si>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</si>
  <si>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</si>
  <si>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</si>
  <si>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</si>
  <si>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</si>
  <si>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</si>
  <si>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</si>
  <si>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</si>
  <si>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</si>
  <si>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</si>
  <si>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</si>
  <si>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</si>
  <si>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</si>
  <si>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</si>
  <si>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</si>
  <si>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</si>
  <si>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</si>
  <si>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</si>
  <si>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</si>
  <si>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</si>
  <si>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</si>
  <si>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</si>
  <si>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</si>
  <si>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</si>
  <si>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</si>
  <si>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</si>
  <si>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</si>
  <si>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</si>
  <si>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</si>
  <si>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</si>
  <si>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</si>
  <si>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</si>
  <si>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</si>
  <si>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</si>
  <si>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</si>
  <si>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</si>
  <si>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</si>
  <si>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</si>
  <si>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</si>
  <si>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</si>
  <si>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</si>
  <si>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</si>
  <si>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</si>
  <si>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</si>
  <si>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</si>
  <si>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</si>
  <si>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</si>
  <si>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</si>
  <si>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</si>
  <si>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</si>
  <si>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</si>
  <si>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</si>
  <si>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</si>
  <si>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</si>
  <si>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</si>
  <si>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</si>
  <si>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</si>
  <si>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</si>
  <si>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</si>
  <si>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</si>
  <si>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</si>
  <si>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</si>
  <si>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</si>
  <si>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</si>
  <si>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</si>
  <si>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</si>
  <si>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</si>
  <si>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</si>
  <si>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</si>
  <si>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</si>
  <si>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</si>
  <si>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</si>
  <si>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</si>
  <si>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</si>
  <si>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</si>
  <si>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</si>
  <si>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</si>
  <si>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</si>
  <si>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</si>
  <si>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</si>
  <si>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</si>
  <si>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</si>
  <si>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</si>
  <si>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</si>
  <si>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</si>
  <si>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</si>
  <si>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</si>
  <si>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</si>
  <si>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</si>
  <si>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</si>
  <si>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</si>
  <si>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</si>
  <si>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</si>
  <si>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</si>
  <si>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</si>
  <si>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</si>
  <si>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</si>
  <si>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</si>
  <si>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</si>
  <si>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</si>
  <si>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</si>
  <si>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</si>
  <si>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</si>
  <si>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</si>
  <si>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</si>
  <si>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</si>
  <si>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</si>
  <si>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</si>
  <si>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</si>
  <si>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</si>
  <si>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</si>
  <si>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</si>
  <si>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</si>
  <si>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</si>
  <si>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</si>
  <si>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</si>
  <si>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</si>
  <si>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</si>
  <si>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</si>
  <si>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</si>
  <si>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</si>
  <si>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</si>
  <si>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</si>
  <si>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</si>
  <si>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</si>
  <si>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</si>
  <si>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</si>
  <si>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</si>
  <si>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</si>
  <si>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</si>
  <si>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</si>
  <si>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</si>
  <si>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</si>
  <si>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</si>
  <si>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</si>
  <si>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</si>
  <si>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</si>
  <si>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</si>
  <si>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</si>
  <si>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</si>
  <si>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</si>
  <si>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</si>
  <si>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</si>
  <si>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</si>
  <si>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</si>
  <si>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</si>
  <si>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</si>
  <si>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</si>
  <si>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</si>
  <si>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</si>
  <si>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</si>
  <si>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</si>
  <si>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</si>
  <si>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</si>
  <si>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</si>
  <si>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</si>
  <si>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</si>
  <si>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</si>
  <si>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</si>
  <si>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</si>
  <si>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</si>
  <si>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</si>
  <si>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</si>
  <si>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</si>
  <si>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</si>
  <si>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</si>
  <si>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</si>
  <si>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</si>
  <si>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</si>
  <si>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</si>
  <si>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</si>
  <si>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</si>
  <si>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</si>
  <si>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</si>
  <si>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</si>
  <si>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</si>
  <si>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</si>
  <si>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</si>
  <si>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</si>
  <si>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</si>
  <si>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</si>
  <si>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</si>
  <si>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</si>
  <si>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</si>
  <si>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</si>
  <si>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</si>
  <si>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</si>
  <si>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</si>
  <si>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</si>
  <si>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</si>
  <si>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</si>
  <si>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</si>
  <si>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</si>
  <si>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</si>
  <si>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</si>
  <si>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</si>
  <si>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</si>
  <si>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</si>
  <si>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</si>
  <si>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</si>
  <si>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</si>
  <si>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</si>
  <si>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</si>
  <si>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</si>
  <si>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</si>
  <si>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</si>
  <si>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</si>
  <si>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</si>
  <si>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</si>
  <si>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</si>
  <si>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</si>
  <si>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</si>
  <si>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</si>
  <si>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</si>
  <si>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</si>
  <si>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</si>
  <si>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</si>
  <si>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</si>
  <si>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</si>
  <si>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</si>
  <si>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</si>
  <si>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</si>
  <si>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</si>
  <si>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</si>
  <si>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</si>
  <si>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</si>
  <si>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</si>
  <si>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</si>
  <si>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</si>
  <si>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</si>
  <si>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</si>
  <si>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</si>
  <si>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</si>
  <si>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</si>
  <si>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</si>
  <si>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</si>
  <si>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</si>
  <si>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</si>
  <si>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</si>
  <si>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</si>
  <si>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</si>
  <si>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</si>
  <si>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</si>
  <si>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</si>
  <si>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</si>
  <si>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</si>
  <si>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</si>
  <si>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</si>
  <si>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</si>
  <si>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</si>
  <si>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</si>
  <si>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</si>
  <si>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</si>
  <si>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</si>
  <si>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</si>
  <si>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</si>
  <si>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</si>
  <si>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</si>
  <si>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</si>
  <si>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</si>
  <si>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</si>
  <si>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</si>
  <si>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</si>
  <si>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</si>
  <si>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</si>
  <si>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</si>
  <si>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</si>
  <si>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</si>
  <si>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</si>
  <si>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</si>
  <si>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</si>
  <si>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</si>
  <si>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</si>
  <si>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</si>
  <si>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</si>
  <si>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</si>
  <si>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</si>
  <si>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</si>
  <si>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</si>
  <si>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</si>
  <si>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</si>
  <si>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</si>
  <si>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</si>
  <si>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</si>
  <si>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</si>
  <si>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</si>
  <si>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</si>
  <si>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</si>
  <si>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</si>
  <si>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</si>
  <si>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</si>
  <si>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</si>
  <si>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</si>
  <si>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</si>
  <si>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</si>
  <si>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</si>
  <si>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</si>
  <si>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</si>
  <si>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</si>
  <si>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</si>
  <si>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</si>
  <si>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</si>
  <si>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</si>
  <si>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</si>
  <si>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</si>
  <si>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</si>
  <si>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</si>
  <si>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</si>
  <si>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</si>
  <si>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</si>
  <si>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</si>
  <si>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</si>
  <si>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</si>
  <si>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</si>
  <si>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</si>
  <si>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</si>
  <si>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</si>
  <si>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</si>
  <si>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</si>
  <si>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</si>
  <si>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</si>
  <si>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</si>
  <si>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</si>
  <si>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</si>
  <si>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</si>
  <si>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</si>
  <si>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</si>
  <si>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</si>
  <si>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</si>
  <si>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</si>
  <si>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</si>
  <si>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</si>
  <si>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</si>
  <si>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</si>
  <si>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</si>
  <si>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</si>
  <si>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</si>
  <si>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</si>
  <si>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</si>
  <si>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</si>
  <si>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</si>
  <si>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</si>
  <si>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</si>
  <si>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</si>
  <si>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</si>
  <si>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</si>
  <si>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</si>
  <si>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</si>
  <si>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</si>
  <si>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</si>
  <si>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</si>
  <si>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</si>
  <si>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</si>
  <si>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</si>
  <si>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</si>
  <si>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</si>
  <si>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</si>
  <si>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</si>
  <si>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</si>
  <si>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</si>
  <si>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</si>
  <si>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</si>
  <si>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</si>
  <si>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</si>
  <si>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</si>
  <si>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</si>
  <si>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</si>
  <si>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</si>
  <si>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</si>
  <si>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</si>
  <si>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</si>
  <si>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</si>
  <si>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</si>
  <si>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</si>
  <si>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</si>
  <si>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</si>
  <si>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</si>
  <si>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</si>
  <si>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</si>
  <si>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</si>
  <si>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</si>
  <si>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</si>
  <si>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</si>
  <si>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</si>
  <si>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</si>
  <si>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</si>
  <si>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</si>
  <si>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</si>
  <si>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</si>
  <si>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</si>
  <si>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</si>
  <si>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</si>
  <si>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</si>
  <si>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</si>
  <si>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</si>
  <si>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</si>
  <si>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</si>
  <si>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</si>
  <si>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</si>
  <si>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</si>
  <si>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</si>
  <si>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</si>
  <si>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</si>
  <si>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</si>
  <si>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</si>
  <si>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</si>
  <si>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</si>
  <si>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</si>
  <si>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</si>
  <si>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</si>
  <si>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</si>
  <si>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</si>
  <si>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</si>
  <si>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</si>
  <si>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</si>
  <si>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</si>
  <si>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</si>
  <si>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</si>
  <si>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</si>
  <si>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</si>
  <si>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</si>
  <si>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</si>
  <si>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</si>
  <si>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</si>
  <si>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</si>
  <si>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</si>
  <si>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</si>
  <si>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</si>
  <si>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</si>
  <si>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</si>
  <si>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</si>
  <si>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</si>
  <si>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</si>
  <si>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</si>
  <si>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</si>
  <si>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</si>
  <si>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</si>
  <si>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</si>
  <si>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</si>
  <si>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</si>
  <si>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</si>
  <si>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</si>
  <si>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</si>
  <si>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</si>
  <si>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</si>
  <si>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</si>
  <si>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</si>
  <si>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</si>
  <si>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</si>
  <si>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</si>
  <si>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</si>
  <si>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</si>
  <si>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</si>
  <si>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</si>
  <si>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</si>
  <si>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</si>
  <si>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</si>
  <si>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</si>
  <si>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</si>
  <si>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</si>
  <si>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</si>
  <si>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</si>
  <si>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</si>
  <si>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</si>
  <si>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</si>
  <si>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</si>
  <si>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</si>
  <si>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</si>
  <si>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</si>
  <si>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</si>
  <si>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</si>
  <si>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</si>
  <si>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</si>
  <si>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</si>
  <si>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</si>
  <si>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</si>
  <si>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</si>
  <si>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</si>
  <si>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</si>
  <si>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</si>
  <si>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</si>
  <si>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</si>
  <si>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</si>
  <si>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</si>
  <si>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</si>
  <si>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</si>
  <si>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</si>
  <si>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</si>
  <si>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</si>
  <si>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</si>
  <si>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</si>
  <si>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</si>
  <si>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</si>
  <si>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</si>
  <si>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</si>
  <si>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</si>
  <si>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</si>
  <si>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</si>
  <si>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</si>
  <si>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</si>
  <si>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</si>
  <si>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</si>
  <si>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</si>
  <si>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</si>
  <si>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</si>
  <si>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</si>
  <si>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</si>
  <si>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</si>
  <si>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</si>
  <si>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</si>
  <si>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</si>
  <si>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</si>
  <si>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</si>
  <si>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</si>
  <si>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</si>
  <si>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</si>
  <si>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</si>
  <si>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</si>
  <si>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</si>
  <si>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</si>
  <si>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</si>
  <si>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</si>
  <si>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</si>
  <si>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</si>
  <si>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</si>
  <si>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</si>
  <si>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</si>
  <si>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</si>
  <si>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</si>
  <si>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</si>
  <si>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</si>
  <si>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</si>
  <si>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</si>
  <si>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</si>
  <si>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</si>
  <si>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</si>
  <si>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</si>
  <si>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</si>
  <si>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</si>
  <si>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</si>
  <si>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</si>
  <si>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</si>
  <si>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</si>
  <si>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</si>
  <si>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</si>
  <si>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</si>
  <si>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</si>
  <si>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</si>
  <si>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</si>
  <si>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</si>
  <si>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</si>
  <si>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</si>
  <si>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</si>
  <si>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</si>
  <si>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</si>
  <si>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</si>
  <si>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</si>
  <si>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</si>
  <si>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</si>
  <si>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</si>
  <si>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</si>
  <si>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</si>
  <si>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</si>
  <si>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</si>
  <si>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</si>
  <si>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</si>
  <si>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</si>
  <si>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</si>
  <si>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</si>
  <si>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</si>
  <si>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</si>
  <si>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</si>
  <si>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</si>
  <si>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</si>
  <si>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</si>
  <si>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</si>
  <si>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</si>
  <si>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</si>
  <si>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</si>
  <si>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</si>
  <si>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</si>
  <si>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</si>
  <si>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</si>
  <si>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</si>
  <si>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</si>
  <si>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</si>
  <si>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</si>
  <si>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</si>
  <si>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</si>
  <si>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</si>
  <si>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</si>
  <si>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</si>
  <si>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</si>
  <si>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</si>
  <si>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</si>
  <si>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</si>
  <si>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</si>
  <si>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</si>
  <si>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</si>
  <si>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</si>
  <si>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</si>
  <si>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</si>
  <si>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</si>
  <si>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</si>
  <si>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</si>
  <si>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</si>
  <si>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</si>
  <si>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</si>
  <si>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</si>
  <si>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</si>
  <si>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</si>
  <si>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</si>
  <si>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</si>
  <si>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</si>
  <si>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</si>
  <si>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</si>
  <si>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</si>
  <si>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</si>
  <si>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</si>
  <si>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</si>
  <si>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</si>
  <si>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</si>
  <si>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</si>
  <si>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</si>
  <si>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</si>
  <si>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</si>
  <si>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</si>
  <si>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</si>
  <si>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</si>
  <si>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</si>
  <si>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</si>
  <si>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</si>
  <si>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</si>
  <si>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</si>
  <si>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</si>
  <si>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</si>
  <si>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</si>
  <si>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</si>
  <si>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</si>
  <si>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</si>
  <si>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</si>
  <si>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</si>
  <si>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</si>
  <si>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</si>
  <si>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</si>
  <si>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</si>
  <si>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</si>
  <si>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</si>
  <si>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</si>
  <si>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</si>
  <si>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</si>
  <si>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</si>
  <si>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</si>
  <si>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</si>
  <si>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</si>
  <si>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</si>
  <si>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</si>
  <si>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</si>
  <si>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</si>
  <si>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</si>
  <si>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</si>
  <si>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</si>
  <si>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</si>
  <si>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</si>
  <si>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</si>
  <si>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</si>
  <si>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</si>
  <si>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</si>
  <si>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</si>
  <si>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</si>
  <si>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</si>
  <si>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</si>
  <si>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</si>
  <si>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</si>
  <si>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</si>
  <si>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</si>
  <si>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</si>
  <si>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</si>
  <si>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</si>
  <si>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</si>
  <si>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</si>
  <si>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</si>
  <si>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</si>
  <si>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</si>
  <si>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</si>
  <si>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</si>
  <si>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</si>
  <si>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</si>
  <si>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</si>
  <si>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</si>
  <si>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</si>
  <si>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</si>
  <si>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</si>
  <si>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</si>
  <si>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</si>
  <si>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</si>
  <si>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</si>
  <si>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</si>
  <si>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</si>
  <si>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</si>
  <si>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</si>
  <si>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</si>
  <si>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</si>
  <si>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</si>
  <si>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</si>
  <si>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</si>
  <si>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</si>
  <si>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</si>
  <si>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</si>
  <si>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</si>
  <si>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</si>
  <si>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</si>
  <si>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</si>
  <si>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</si>
  <si>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</si>
  <si>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</si>
  <si>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</si>
  <si>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</si>
  <si>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</si>
  <si>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</si>
  <si>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</si>
  <si>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</si>
  <si>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</si>
  <si>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</si>
  <si>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</si>
  <si>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</si>
  <si>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</si>
  <si>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</si>
  <si>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</si>
  <si>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</si>
  <si>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</si>
  <si>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</si>
  <si>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</si>
  <si>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</si>
  <si>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</si>
  <si>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</si>
  <si>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</si>
  <si>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</si>
  <si>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</si>
  <si>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</si>
  <si>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</si>
  <si>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</si>
  <si>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</si>
  <si>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</si>
  <si>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</si>
  <si>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</si>
  <si>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</si>
  <si>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</si>
  <si>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</si>
  <si>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</si>
  <si>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</si>
  <si>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</si>
  <si>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</si>
  <si>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</si>
  <si>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</si>
  <si>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</si>
  <si>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</si>
  <si>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</si>
  <si>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</si>
  <si>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</si>
  <si>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</si>
  <si>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</si>
  <si>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</si>
  <si>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</si>
  <si>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</si>
  <si>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</si>
  <si>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</si>
  <si>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</si>
  <si>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</si>
  <si>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</si>
  <si>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</si>
  <si>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</si>
  <si>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</si>
  <si>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</si>
  <si>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</si>
  <si>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</si>
  <si>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</si>
  <si>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</si>
  <si>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</si>
  <si>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</si>
  <si>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</si>
  <si>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</si>
  <si>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</si>
  <si>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</si>
  <si>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</si>
  <si>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</si>
  <si>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</si>
  <si>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</si>
  <si>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</si>
  <si>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</si>
  <si>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</si>
  <si>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</si>
  <si>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</si>
  <si>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</si>
  <si>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</si>
  <si>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</si>
  <si>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</si>
  <si>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</si>
  <si>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</si>
  <si>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</si>
  <si>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</si>
  <si>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</si>
  <si>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</si>
  <si>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</si>
  <si>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</si>
  <si>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</si>
  <si>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</si>
  <si>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</si>
  <si>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</si>
  <si>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</si>
  <si>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</si>
  <si>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</si>
  <si>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</si>
  <si>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</si>
  <si>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</si>
  <si>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</si>
  <si>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</si>
  <si>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</si>
  <si>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</si>
  <si>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</si>
  <si>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</si>
  <si>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</si>
  <si>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</si>
  <si>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</si>
  <si>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</si>
  <si>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</si>
  <si>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</si>
  <si>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</si>
  <si>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</si>
  <si>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</si>
  <si>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</si>
  <si>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</si>
  <si>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</si>
  <si>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</si>
  <si>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</si>
  <si>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</si>
  <si>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</si>
  <si>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</si>
  <si>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</si>
  <si>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</si>
  <si>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</si>
  <si>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</si>
  <si>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</si>
  <si>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</si>
  <si>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</si>
  <si>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</si>
  <si>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</si>
  <si>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</si>
  <si>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</si>
  <si>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</si>
  <si>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</si>
  <si>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</si>
  <si>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</si>
  <si>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</si>
  <si>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</si>
  <si>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</si>
  <si>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</si>
  <si>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</si>
  <si>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</si>
  <si>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</si>
  <si>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</si>
  <si>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</si>
  <si>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</si>
  <si>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</si>
  <si>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</si>
  <si>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</si>
  <si>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</si>
  <si>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</si>
  <si>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</si>
  <si>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</si>
  <si>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</si>
  <si>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</si>
  <si>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</si>
  <si>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</si>
  <si>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</si>
  <si>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</si>
  <si>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</si>
  <si>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</si>
  <si>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</si>
  <si>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</si>
  <si>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</si>
  <si>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</si>
  <si>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</si>
  <si>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</si>
  <si>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</si>
  <si>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</si>
  <si>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</si>
  <si>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</si>
  <si>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</si>
  <si>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</si>
  <si>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</si>
  <si>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</si>
  <si>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</si>
  <si>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</si>
  <si>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</si>
  <si>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</si>
  <si>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</si>
  <si>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</si>
  <si>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</si>
  <si>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</si>
  <si>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</si>
  <si>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</si>
  <si>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</si>
  <si>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</si>
  <si>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</si>
  <si>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</si>
  <si>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</si>
  <si>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</si>
  <si>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</si>
  <si>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</si>
  <si>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</si>
  <si>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</si>
  <si>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</si>
  <si>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</si>
  <si>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</si>
  <si>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</si>
  <si>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</si>
  <si>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</si>
  <si>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</si>
  <si>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</si>
  <si>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</si>
  <si>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</si>
  <si>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</si>
  <si>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</si>
  <si>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</si>
  <si>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</si>
  <si>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</si>
  <si>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</si>
  <si>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</si>
  <si>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</si>
  <si>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</si>
  <si>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</si>
  <si>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</si>
  <si>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</si>
  <si>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</si>
  <si>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</si>
  <si>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</si>
  <si>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</si>
  <si>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</si>
  <si>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</si>
  <si>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</si>
  <si>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</si>
  <si>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</si>
  <si>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</si>
  <si>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</si>
  <si>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</si>
  <si>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</si>
  <si>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</si>
  <si>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</si>
  <si>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</si>
  <si>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</si>
  <si>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</si>
  <si>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</si>
  <si>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</si>
  <si>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</si>
  <si>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</si>
  <si>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</si>
  <si>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</si>
  <si>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</si>
  <si>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</si>
  <si>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</si>
  <si>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</si>
  <si>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</si>
  <si>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</si>
  <si>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</si>
  <si>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</si>
  <si>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</si>
  <si>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</si>
  <si>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</si>
  <si>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</si>
  <si>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</si>
  <si>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</si>
  <si>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</si>
  <si>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</si>
  <si>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</si>
  <si>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</si>
  <si>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</si>
  <si>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</si>
  <si>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</si>
  <si>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</si>
  <si>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</si>
  <si>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</si>
  <si>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</si>
  <si>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</si>
  <si>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</si>
  <si>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</si>
  <si>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</si>
  <si>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</si>
  <si>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</si>
  <si>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</si>
  <si>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</si>
  <si>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</si>
  <si>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</si>
  <si>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</si>
  <si>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</si>
  <si>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</si>
  <si>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</si>
  <si>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</si>
  <si>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</si>
  <si>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</si>
  <si>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</si>
  <si>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</si>
  <si>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</si>
  <si>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</si>
  <si>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</si>
  <si>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</si>
  <si>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</si>
  <si>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</si>
  <si>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</si>
  <si>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</si>
  <si>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</si>
  <si>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</si>
  <si>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</si>
  <si>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</si>
  <si>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</si>
  <si>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</si>
  <si>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</si>
  <si>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</si>
  <si>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</si>
  <si>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</si>
  <si>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</si>
  <si>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</si>
  <si>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</si>
  <si>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</si>
  <si>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</si>
  <si>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</si>
  <si>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</si>
  <si>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</si>
  <si>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</si>
  <si>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</si>
  <si>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</si>
  <si>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</si>
  <si>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</si>
  <si>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</si>
  <si>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</si>
  <si>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</si>
  <si>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</si>
  <si>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</si>
  <si>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</si>
  <si>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</si>
  <si>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</si>
  <si>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</si>
  <si>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</si>
  <si>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</si>
  <si>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</si>
  <si>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</si>
  <si>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</si>
  <si>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</si>
  <si>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</si>
  <si>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</si>
  <si>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</si>
  <si>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</si>
  <si>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</si>
  <si>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</si>
  <si>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</si>
  <si>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</si>
  <si>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</si>
  <si>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</si>
  <si>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</si>
  <si>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</si>
  <si>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</si>
  <si>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</si>
  <si>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</si>
  <si>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</si>
  <si>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</si>
  <si>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</si>
  <si>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</si>
  <si>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</si>
  <si>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</si>
  <si>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</si>
  <si>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</si>
  <si>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</si>
  <si>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</si>
  <si>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</si>
  <si>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</si>
  <si>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</si>
  <si>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</si>
  <si>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</si>
  <si>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</si>
  <si>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</si>
  <si>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</si>
  <si>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</si>
  <si>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</si>
  <si>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</si>
  <si>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</si>
  <si>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</si>
  <si>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</si>
  <si>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</si>
  <si>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</si>
  <si>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</si>
  <si>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</si>
  <si>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</si>
  <si>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</si>
  <si>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</si>
  <si>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</si>
  <si>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</si>
  <si>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</si>
  <si>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</si>
  <si>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</si>
  <si>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</si>
  <si>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</si>
  <si>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</si>
  <si>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</si>
  <si>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</si>
  <si>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</si>
  <si>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</si>
  <si>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</si>
  <si>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</si>
  <si>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</si>
  <si>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</si>
  <si>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</si>
  <si>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</si>
  <si>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</si>
  <si>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</si>
  <si>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</si>
  <si>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</si>
  <si>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</si>
  <si>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</si>
  <si>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</si>
  <si>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</si>
  <si>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</si>
  <si>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</si>
  <si>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</si>
  <si>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</si>
  <si>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</si>
  <si>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</si>
  <si>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</si>
  <si>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</si>
  <si>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</si>
  <si>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</si>
  <si>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</si>
  <si>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</si>
  <si>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</si>
  <si>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</si>
  <si>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</si>
  <si>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</si>
  <si>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</si>
  <si>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</si>
  <si>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</si>
  <si>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</si>
  <si>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</si>
  <si>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</si>
  <si>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</si>
  <si>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</si>
  <si>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</si>
  <si>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</si>
  <si>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</si>
  <si>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</si>
  <si>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</si>
  <si>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</si>
  <si>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</si>
  <si>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</si>
  <si>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</si>
  <si>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</si>
  <si>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</si>
  <si>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</si>
  <si>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</si>
  <si>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</si>
  <si>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</si>
  <si>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</si>
  <si>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</si>
  <si>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</si>
  <si>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</si>
  <si>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</si>
  <si>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</si>
  <si>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</si>
  <si>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</si>
  <si>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</si>
  <si>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</si>
  <si>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</si>
  <si>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</si>
  <si>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</si>
  <si>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</si>
  <si>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</si>
  <si>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</si>
  <si>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</si>
  <si>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</si>
  <si>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</si>
  <si>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</si>
  <si>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</si>
  <si>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</si>
  <si>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</si>
  <si>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</si>
  <si>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</si>
  <si>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</si>
  <si>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</si>
  <si>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</si>
  <si>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</si>
  <si>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</si>
  <si>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</si>
  <si>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</si>
  <si>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</si>
  <si>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</si>
  <si>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</si>
  <si>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</si>
  <si>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</si>
  <si>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</si>
  <si>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</si>
  <si>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</si>
  <si>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</si>
  <si>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</si>
  <si>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</si>
  <si>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</si>
  <si>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</si>
  <si>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</si>
  <si>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</si>
  <si>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</si>
  <si>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</si>
  <si>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</si>
  <si>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</si>
  <si>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</si>
  <si>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</si>
  <si>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</si>
  <si>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</si>
  <si>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</si>
  <si>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</si>
  <si>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</si>
  <si>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</si>
  <si>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</si>
  <si>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</si>
  <si>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</si>
  <si>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</si>
  <si>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</si>
  <si>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</si>
  <si>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</si>
  <si>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</si>
  <si>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</si>
  <si>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</si>
  <si>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</si>
  <si>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</si>
  <si>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</si>
  <si>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</si>
  <si>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</si>
  <si>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</si>
  <si>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</si>
  <si>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</si>
  <si>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</si>
  <si>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</si>
  <si>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</si>
  <si>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</si>
  <si>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</si>
  <si>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</si>
  <si>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</si>
  <si>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</si>
  <si>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</si>
  <si>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</si>
  <si>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</si>
  <si>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</si>
  <si>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</si>
  <si>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</si>
  <si>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</si>
  <si>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</si>
  <si>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</si>
  <si>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</si>
  <si>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</si>
  <si>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</si>
  <si>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</si>
  <si>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</si>
  <si>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</si>
  <si>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</si>
  <si>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</si>
  <si>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</si>
  <si>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</si>
  <si>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</si>
  <si>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</si>
  <si>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</si>
  <si>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</si>
  <si>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</si>
  <si>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</si>
  <si>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</si>
  <si>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</si>
  <si>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</si>
  <si>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</si>
  <si>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</si>
  <si>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</si>
  <si>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</si>
  <si>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</si>
  <si>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</si>
  <si>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</si>
  <si>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</si>
  <si>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</si>
  <si>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</si>
  <si>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</si>
  <si>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</si>
  <si>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</si>
  <si>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</si>
  <si>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</si>
  <si>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</si>
  <si>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</si>
  <si>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</si>
  <si>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</si>
  <si>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</si>
  <si>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</si>
  <si>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</si>
  <si>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</si>
  <si>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</si>
  <si>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</si>
  <si>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</si>
  <si>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</si>
  <si>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</si>
  <si>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</si>
  <si>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</si>
  <si>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</si>
  <si>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</si>
  <si>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</si>
  <si>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</si>
  <si>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</si>
  <si>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</si>
  <si>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</si>
  <si>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</si>
  <si>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</si>
  <si>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</si>
  <si>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</si>
  <si>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</si>
  <si>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</si>
  <si>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</si>
  <si>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</si>
  <si>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</si>
  <si>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</si>
  <si>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</si>
  <si>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</si>
  <si>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</si>
  <si>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</si>
  <si>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</si>
  <si>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</si>
  <si>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</si>
  <si>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</si>
  <si>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</si>
  <si>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</si>
  <si>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</si>
  <si>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</si>
  <si>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</si>
  <si>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</si>
  <si>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</si>
  <si>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</si>
  <si>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</si>
  <si>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</si>
  <si>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</si>
  <si>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</si>
  <si>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</si>
  <si>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</si>
  <si>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</si>
  <si>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</si>
  <si>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</si>
  <si>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</si>
  <si>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</si>
  <si>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</si>
  <si>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</si>
  <si>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</si>
  <si>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</si>
  <si>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</si>
  <si>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</si>
  <si>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</si>
  <si>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</si>
  <si>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</si>
  <si>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</si>
  <si>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</si>
  <si>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</si>
  <si>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</si>
  <si>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</si>
  <si>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</si>
  <si>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</si>
  <si>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</si>
  <si>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</si>
  <si>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</si>
  <si>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</si>
  <si>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</si>
  <si>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</si>
  <si>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</si>
  <si>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</si>
  <si>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</si>
  <si>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</si>
  <si>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</si>
  <si>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</si>
  <si>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</si>
  <si>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</si>
  <si>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</si>
  <si>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</si>
  <si>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</si>
  <si>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</si>
  <si>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</si>
  <si>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</si>
  <si>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</si>
  <si>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</si>
  <si>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</si>
  <si>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</si>
  <si>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</si>
  <si>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</si>
  <si>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</si>
  <si>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</si>
  <si>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</si>
  <si>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</si>
  <si>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</si>
  <si>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</si>
  <si>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</si>
  <si>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</si>
  <si>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</si>
  <si>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</si>
  <si>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</si>
  <si>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</si>
  <si>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</si>
  <si>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</si>
  <si>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</si>
  <si>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</si>
  <si>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</si>
  <si>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</si>
  <si>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</si>
  <si>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</si>
  <si>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</si>
  <si>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</si>
  <si>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</si>
  <si>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</si>
  <si>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</si>
  <si>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</si>
  <si>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</si>
  <si>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</si>
  <si>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</si>
  <si>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</si>
  <si>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</si>
  <si>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</si>
  <si>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</si>
  <si>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</si>
  <si>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</si>
  <si>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</si>
  <si>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</si>
  <si>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</si>
  <si>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</si>
  <si>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</si>
  <si>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</si>
  <si>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</si>
  <si>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</si>
  <si>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</si>
  <si>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</si>
  <si>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</si>
  <si>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</si>
  <si>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</si>
  <si>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</si>
  <si>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</si>
  <si>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</si>
  <si>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</si>
  <si>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</si>
  <si>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</si>
  <si>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</si>
  <si>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</si>
  <si>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</si>
  <si>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</si>
  <si>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</si>
  <si>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</si>
  <si>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</si>
  <si>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</si>
  <si>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</si>
  <si>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</si>
  <si>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</si>
  <si>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</si>
  <si>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</si>
  <si>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</si>
  <si>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</si>
  <si>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</si>
  <si>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</si>
  <si>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</si>
  <si>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</si>
  <si>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</si>
  <si>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</si>
  <si>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</si>
  <si>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</si>
  <si>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</si>
  <si>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</si>
  <si>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</si>
  <si>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</si>
  <si>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</si>
  <si>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</si>
  <si>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</si>
  <si>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</si>
  <si>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</si>
  <si>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</si>
  <si>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</si>
  <si>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</si>
  <si>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</si>
  <si>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</si>
  <si>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</si>
  <si>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</si>
  <si>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</si>
  <si>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</si>
  <si>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</si>
  <si>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</si>
  <si>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</si>
  <si>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</si>
  <si>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</si>
  <si>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</si>
  <si>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</si>
  <si>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</si>
  <si>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</si>
  <si>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</si>
  <si>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</si>
  <si>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</si>
  <si>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</si>
  <si>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</si>
  <si>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</si>
  <si>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</si>
  <si>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</si>
  <si>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</si>
  <si>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</si>
  <si>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</si>
  <si>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</si>
  <si>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</si>
  <si>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</si>
  <si>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</si>
  <si>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</si>
  <si>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</si>
  <si>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</si>
  <si>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</si>
  <si>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</si>
  <si>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</si>
  <si>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</si>
  <si>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</si>
  <si>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</si>
  <si>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</si>
  <si>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</si>
  <si>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</si>
  <si>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</si>
  <si>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</si>
  <si>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</si>
  <si>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</si>
  <si>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</si>
  <si>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</si>
  <si>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</si>
  <si>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</si>
  <si>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</si>
  <si>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</si>
  <si>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</si>
  <si>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</si>
  <si>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</si>
  <si>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</si>
  <si>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</si>
  <si>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</si>
  <si>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</si>
  <si>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</si>
  <si>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</si>
  <si>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</si>
  <si>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</si>
  <si>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</si>
  <si>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</si>
  <si>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</si>
  <si>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</si>
  <si>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</si>
  <si>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</si>
  <si>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</si>
  <si>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</si>
  <si>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</si>
  <si>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</si>
  <si>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</si>
  <si>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</si>
  <si>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</si>
  <si>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</si>
  <si>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</si>
  <si>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</si>
  <si>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</si>
  <si>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</si>
  <si>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</si>
  <si>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</si>
  <si>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</si>
  <si>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</si>
  <si>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</si>
  <si>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</si>
  <si>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</si>
  <si>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</si>
  <si>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</si>
  <si>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</si>
  <si>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</si>
  <si>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</si>
  <si>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</si>
  <si>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</si>
  <si>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</si>
  <si>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</si>
  <si>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</si>
  <si>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</si>
  <si>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</si>
  <si>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</si>
  <si>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</si>
  <si>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</si>
  <si>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</si>
  <si>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</si>
  <si>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</si>
  <si>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</si>
  <si>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</si>
  <si>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</si>
  <si>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</si>
  <si>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</si>
  <si>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</si>
  <si>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</si>
  <si>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</si>
  <si>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</si>
  <si>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</si>
  <si>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</si>
  <si>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</si>
  <si>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</si>
  <si>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</si>
  <si>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</si>
  <si>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</si>
  <si>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</si>
  <si>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</si>
  <si>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</si>
  <si>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</si>
  <si>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</si>
  <si>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</si>
  <si>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</si>
  <si>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</si>
  <si>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</si>
  <si>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</si>
  <si>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</si>
  <si>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</si>
  <si>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</si>
  <si>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</si>
  <si>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</si>
  <si>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</si>
  <si>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</si>
  <si>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</si>
  <si>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</si>
  <si>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</si>
  <si>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</si>
  <si>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</si>
  <si>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</si>
  <si>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</si>
  <si>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</si>
  <si>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</si>
  <si>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</si>
  <si>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</si>
  <si>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</si>
  <si>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</si>
  <si>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</si>
  <si>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</si>
  <si>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</si>
  <si>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</si>
  <si>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</si>
  <si>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</si>
  <si>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</si>
  <si>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</si>
  <si>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</si>
  <si>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</si>
  <si>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</si>
  <si>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</si>
  <si>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</si>
  <si>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</si>
  <si>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</si>
  <si>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</si>
  <si>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</si>
  <si>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</si>
  <si>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</si>
  <si>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</si>
  <si>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</si>
  <si>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</si>
  <si>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</si>
  <si>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</si>
  <si>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</si>
  <si>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</si>
  <si>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</si>
  <si>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</si>
  <si>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</si>
  <si>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</si>
  <si>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</si>
  <si>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</si>
  <si>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</si>
  <si>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</si>
  <si>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</si>
  <si>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</si>
  <si>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</si>
  <si>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</si>
  <si>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</si>
  <si>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</si>
  <si>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</si>
  <si>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</si>
  <si>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</si>
  <si>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</si>
  <si>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</si>
  <si>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</si>
  <si>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</si>
  <si>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</si>
  <si>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</si>
  <si>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</si>
  <si>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</si>
  <si>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</si>
  <si>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</si>
  <si>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</si>
  <si>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</si>
  <si>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</si>
  <si>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</si>
  <si>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</si>
  <si>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</si>
  <si>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</si>
  <si>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</si>
  <si>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</si>
  <si>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</si>
  <si>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</si>
  <si>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</si>
  <si>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</si>
  <si>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</si>
  <si>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</si>
  <si>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</si>
  <si>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</si>
  <si>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</si>
  <si>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</si>
  <si>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</si>
  <si>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</si>
  <si>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</si>
  <si>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</si>
  <si>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</si>
  <si>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</si>
  <si>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</si>
  <si>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</si>
  <si>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</si>
  <si>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</si>
  <si>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</si>
  <si>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</si>
  <si>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</si>
  <si>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</si>
  <si>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</si>
  <si>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</si>
  <si>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</si>
  <si>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</si>
  <si>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</si>
  <si>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</si>
  <si>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</si>
  <si>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</si>
  <si>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</si>
  <si>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</si>
  <si>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</si>
  <si>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</si>
  <si>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</si>
  <si>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</si>
  <si>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</si>
  <si>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</si>
  <si>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</si>
  <si>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</si>
  <si>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</si>
  <si>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</si>
  <si>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</si>
  <si>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</si>
  <si>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</si>
  <si>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</si>
  <si>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</si>
  <si>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</si>
  <si>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</si>
  <si>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</si>
  <si>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</si>
  <si>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</si>
  <si>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</si>
  <si>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</si>
  <si>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</si>
  <si>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</si>
  <si>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</si>
  <si>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</si>
  <si>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</si>
  <si>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</si>
  <si>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</si>
  <si>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</si>
  <si>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</si>
  <si>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</si>
  <si>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</si>
  <si>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</si>
  <si>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</si>
  <si>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</si>
  <si>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</si>
  <si>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</si>
  <si>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</si>
  <si>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</si>
  <si>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</si>
  <si>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</si>
  <si>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</si>
  <si>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</si>
  <si>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</si>
  <si>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</si>
  <si>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</si>
  <si>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</si>
  <si>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</si>
  <si>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</si>
  <si>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</si>
  <si>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</si>
  <si>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</si>
  <si>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</si>
  <si>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</si>
  <si>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</si>
  <si>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</si>
  <si>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</si>
  <si>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</si>
  <si>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</si>
  <si>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</si>
  <si>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</si>
  <si>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</si>
  <si>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</si>
  <si>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</si>
  <si>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</si>
  <si>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</si>
  <si>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</si>
  <si>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</si>
  <si>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</si>
  <si>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</si>
  <si>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</si>
  <si>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</si>
  <si>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</si>
  <si>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</si>
  <si>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</si>
  <si>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</si>
  <si>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</si>
  <si>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</si>
  <si>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</si>
  <si>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</si>
  <si>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</si>
  <si>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</si>
  <si>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</si>
  <si>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</si>
  <si>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</si>
  <si>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</si>
  <si>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</si>
  <si>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</si>
  <si>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</si>
  <si>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</si>
  <si>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</si>
  <si>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</si>
  <si>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</si>
  <si>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</si>
  <si>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</si>
  <si>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</si>
  <si>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</si>
  <si>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</si>
  <si>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</si>
  <si>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</si>
  <si>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</si>
  <si>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</si>
  <si>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</si>
  <si>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</si>
  <si>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</si>
  <si>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</si>
  <si>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</si>
  <si>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</si>
  <si>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</si>
  <si>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</si>
  <si>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</si>
  <si>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</si>
  <si>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</si>
  <si>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</si>
  <si>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</si>
  <si>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</si>
  <si>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</si>
  <si>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</si>
  <si>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</si>
  <si>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</si>
  <si>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</si>
  <si>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</si>
  <si>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</si>
  <si>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</si>
  <si>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</si>
  <si>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</si>
  <si>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</si>
  <si>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</si>
  <si>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</si>
  <si>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</si>
  <si>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</si>
  <si>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</si>
  <si>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</si>
  <si>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</si>
  <si>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</si>
  <si>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</si>
  <si>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</si>
  <si>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</si>
  <si>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</si>
  <si>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</si>
  <si>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</si>
  <si>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</si>
  <si>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</si>
  <si>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</si>
  <si>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</si>
  <si>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</si>
  <si>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</si>
  <si>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</si>
  <si>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</si>
  <si>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</si>
  <si>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</si>
  <si>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</si>
  <si>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</si>
  <si>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</si>
  <si>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</si>
  <si>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</si>
  <si>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</si>
  <si>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</si>
  <si>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</si>
  <si>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</si>
  <si>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</si>
  <si>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</si>
  <si>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</si>
  <si>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</si>
  <si>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</si>
  <si>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</si>
  <si>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</si>
  <si>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</si>
  <si>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</si>
  <si>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</si>
  <si>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</si>
  <si>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</si>
  <si>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</si>
  <si>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</si>
  <si>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</si>
  <si>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</si>
  <si>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</si>
  <si>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</si>
  <si>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</si>
  <si>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</si>
  <si>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</si>
  <si>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</si>
  <si>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</si>
  <si>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</si>
  <si>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</si>
  <si>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</si>
  <si>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</si>
  <si>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</si>
  <si>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</si>
  <si>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</si>
  <si>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</si>
  <si>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</si>
  <si>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</si>
  <si>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</si>
  <si>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</si>
  <si>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</si>
  <si>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</si>
  <si>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</si>
  <si>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</si>
  <si>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</si>
  <si>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</si>
  <si>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</si>
  <si>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</si>
  <si>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</si>
  <si>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</si>
  <si>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</si>
  <si>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</si>
  <si>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</si>
  <si>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</si>
  <si>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</si>
  <si>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</si>
  <si>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</si>
  <si>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</si>
  <si>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</si>
  <si>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</si>
  <si>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</si>
  <si>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</si>
  <si>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</si>
  <si>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</si>
  <si>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</si>
  <si>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</si>
  <si>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</si>
  <si>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</si>
  <si>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</si>
  <si>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</si>
  <si>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</si>
  <si>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</si>
  <si>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</si>
  <si>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</si>
  <si>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</si>
  <si>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</si>
  <si>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</si>
  <si>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</si>
  <si>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</si>
  <si>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</si>
  <si>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</si>
  <si>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</si>
  <si>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</si>
  <si>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</si>
  <si>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</si>
  <si>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</si>
  <si>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</si>
  <si>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</si>
  <si>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</si>
  <si>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</si>
  <si>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</si>
  <si>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</si>
  <si>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</si>
  <si>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</si>
  <si>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</si>
  <si>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</si>
  <si>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</si>
  <si>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</si>
  <si>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</si>
  <si>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</si>
  <si>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</si>
  <si>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</si>
  <si>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</si>
  <si>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</si>
  <si>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</si>
  <si>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</si>
  <si>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</si>
  <si>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</si>
  <si>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</si>
  <si>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</si>
  <si>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</si>
  <si>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</si>
  <si>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</si>
  <si>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</si>
  <si>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</si>
  <si>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</si>
  <si>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</si>
  <si>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</si>
  <si>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</si>
  <si>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</si>
  <si>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</si>
  <si>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</si>
  <si>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</si>
  <si>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</si>
  <si>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</si>
  <si>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</si>
  <si>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</si>
  <si>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</si>
  <si>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</si>
  <si>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</si>
  <si>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</si>
  <si>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</si>
  <si>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</si>
  <si>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</si>
  <si>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</si>
  <si>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</si>
  <si>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</si>
  <si>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</si>
  <si>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</si>
  <si>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</si>
  <si>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</si>
  <si>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</si>
  <si>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</si>
  <si>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</si>
  <si>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</si>
  <si>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</si>
  <si>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</si>
  <si>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</si>
  <si>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</si>
  <si>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</si>
  <si>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</si>
  <si>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</si>
  <si>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</si>
  <si>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</si>
  <si>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</si>
  <si>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</si>
  <si>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</si>
  <si>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</si>
  <si>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</si>
  <si>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</si>
  <si>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</si>
  <si>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</si>
  <si>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</si>
  <si>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</si>
  <si>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</si>
  <si>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</si>
  <si>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</si>
  <si>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</si>
  <si>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</si>
  <si>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</si>
  <si>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</si>
  <si>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</si>
  <si>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</si>
  <si>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</si>
  <si>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</si>
  <si>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</si>
  <si>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</si>
  <si>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</si>
  <si>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</si>
  <si>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</si>
  <si>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</si>
  <si>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</si>
  <si>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</si>
  <si>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</si>
  <si>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</si>
  <si>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</si>
  <si>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</si>
  <si>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</si>
  <si>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</si>
  <si>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</si>
  <si>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</si>
  <si>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</si>
  <si>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</si>
  <si>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</si>
  <si>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</si>
  <si>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</si>
  <si>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</si>
  <si>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</si>
  <si>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</si>
  <si>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</si>
  <si>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</si>
  <si>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</si>
  <si>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</si>
  <si>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</si>
  <si>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</si>
  <si>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</si>
  <si>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</si>
  <si>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</si>
  <si>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</si>
  <si>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</si>
  <si>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</si>
  <si>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</si>
  <si>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</si>
  <si>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</si>
  <si>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</si>
  <si>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</si>
  <si>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</si>
  <si>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</si>
  <si>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</si>
  <si>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</si>
  <si>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</si>
  <si>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</si>
  <si>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</si>
  <si>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</si>
  <si>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</si>
  <si>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</si>
  <si>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</si>
  <si>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</si>
  <si>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</si>
  <si>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</si>
  <si>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</si>
  <si>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</si>
  <si>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</si>
  <si>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</si>
  <si>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</si>
  <si>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</si>
  <si>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</si>
  <si>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</si>
  <si>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</si>
  <si>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</si>
  <si>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</si>
  <si>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</si>
  <si>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</si>
  <si>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</si>
  <si>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</si>
  <si>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</si>
  <si>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</si>
  <si>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</si>
  <si>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</si>
  <si>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</si>
  <si>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</si>
  <si>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</si>
  <si>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</si>
  <si>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</si>
  <si>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</si>
  <si>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</si>
  <si>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</si>
  <si>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</si>
  <si>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</si>
  <si>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</si>
  <si>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</si>
  <si>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</si>
  <si>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</si>
  <si>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</si>
  <si>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</si>
  <si>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</si>
  <si>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</si>
  <si>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</si>
  <si>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</si>
  <si>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</si>
  <si>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</si>
  <si>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</si>
  <si>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</si>
  <si>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</si>
  <si>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</si>
  <si>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</si>
  <si>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</si>
  <si>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</si>
  <si>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</si>
  <si>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</si>
  <si>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</si>
  <si>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</si>
  <si>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</si>
  <si>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</si>
  <si>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</si>
  <si>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</si>
  <si>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</si>
  <si>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</si>
  <si>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</si>
  <si>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</si>
  <si>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</si>
  <si>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</si>
  <si>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</si>
  <si>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</si>
  <si>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</si>
  <si>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</si>
  <si>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</si>
  <si>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</si>
  <si>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</si>
  <si>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</si>
  <si>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</si>
  <si>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</si>
  <si>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</si>
  <si>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</si>
  <si>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</si>
  <si>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</si>
  <si>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</si>
  <si>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</si>
  <si>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</si>
  <si>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</si>
  <si>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</si>
  <si>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</si>
  <si>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</si>
  <si>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</si>
  <si>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</si>
  <si>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</si>
  <si>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</si>
  <si>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</si>
  <si>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</si>
  <si>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</si>
  <si>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</si>
  <si>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</si>
  <si>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</si>
  <si>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</si>
  <si>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</si>
  <si>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</si>
  <si>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</si>
  <si>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</si>
  <si>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</si>
  <si>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</si>
  <si>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</si>
  <si>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</si>
  <si>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</si>
  <si>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</si>
  <si>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</si>
  <si>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</si>
  <si>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</si>
  <si>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</si>
  <si>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</si>
  <si>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</si>
  <si>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</si>
  <si>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</si>
  <si>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</si>
  <si>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</si>
  <si>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</si>
  <si>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</si>
  <si>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</si>
  <si>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</si>
  <si>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</si>
  <si>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</si>
  <si>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</si>
  <si>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</si>
  <si>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</si>
  <si>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</si>
  <si>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</si>
  <si>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</si>
  <si>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</si>
  <si>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</si>
  <si>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</si>
  <si>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</si>
  <si>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</si>
  <si>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</si>
  <si>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</si>
  <si>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</si>
  <si>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</si>
  <si>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</si>
  <si>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</si>
  <si>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</si>
  <si>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</si>
  <si>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</si>
  <si>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</si>
  <si>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</si>
  <si>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</si>
  <si>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</si>
  <si>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</si>
  <si>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</si>
  <si>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</si>
  <si>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</si>
  <si>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</si>
  <si>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</si>
  <si>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</si>
  <si>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</si>
  <si>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</si>
  <si>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</si>
  <si>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</si>
  <si>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</si>
  <si>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</si>
  <si>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</si>
  <si>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</si>
  <si>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</si>
  <si>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</si>
  <si>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</si>
  <si>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</si>
  <si>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</si>
  <si>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</si>
  <si>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</si>
  <si>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</si>
  <si>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</si>
  <si>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</si>
  <si>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</si>
  <si>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</si>
  <si>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</si>
  <si>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</si>
  <si>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</si>
  <si>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</si>
  <si>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</si>
  <si>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</si>
  <si>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</si>
  <si>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</si>
  <si>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</si>
  <si>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</si>
  <si>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</si>
  <si>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</si>
  <si>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</si>
  <si>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</si>
  <si>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</si>
  <si>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</si>
  <si>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</si>
  <si>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</si>
  <si>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</si>
  <si>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</si>
  <si>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</si>
  <si>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</si>
  <si>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</si>
  <si>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</si>
  <si>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</si>
  <si>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</si>
  <si>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</si>
  <si>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</si>
  <si>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</si>
  <si>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</si>
  <si>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</si>
  <si>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</si>
  <si>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</si>
  <si>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</si>
  <si>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</si>
  <si>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</si>
  <si>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</si>
  <si>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</si>
  <si>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</si>
  <si>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</si>
  <si>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</si>
  <si>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</si>
  <si>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</si>
  <si>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</si>
  <si>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</si>
  <si>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</si>
  <si>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</si>
  <si>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</si>
  <si>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</si>
  <si>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</si>
  <si>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</si>
  <si>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</si>
  <si>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</si>
  <si>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</si>
  <si>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</si>
  <si>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</si>
  <si>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</si>
  <si>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</si>
  <si>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</si>
  <si>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</si>
  <si>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</si>
  <si>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</si>
  <si>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</si>
  <si>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</si>
  <si>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</si>
  <si>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</si>
  <si>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</si>
  <si>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</si>
  <si>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</si>
  <si>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</si>
  <si>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</si>
  <si>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</si>
  <si>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</si>
  <si>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</si>
  <si>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</si>
  <si>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</si>
  <si>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</si>
  <si>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</si>
  <si>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</si>
  <si>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</si>
  <si>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</si>
  <si>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</si>
  <si>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</si>
  <si>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</si>
  <si>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</si>
  <si>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</si>
  <si>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</si>
  <si>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</si>
  <si>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</si>
  <si>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</si>
  <si>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</si>
  <si>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</si>
  <si>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</si>
  <si>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</si>
  <si>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</si>
  <si>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</si>
  <si>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</si>
  <si>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</si>
  <si>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</si>
  <si>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</si>
  <si>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</si>
  <si>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</si>
  <si>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</si>
  <si>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</si>
  <si>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</si>
  <si>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</si>
  <si>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</si>
  <si>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</si>
  <si>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</si>
  <si>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</si>
  <si>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</si>
  <si>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</si>
  <si>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</si>
  <si>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</si>
  <si>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</si>
  <si>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</si>
  <si>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</si>
  <si>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</si>
  <si>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</si>
  <si>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</si>
  <si>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</si>
  <si>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</si>
  <si>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</si>
  <si>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</si>
  <si>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</si>
  <si>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</si>
  <si>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</si>
  <si>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</si>
  <si>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</si>
  <si>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</si>
  <si>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</si>
  <si>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</si>
  <si>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</si>
  <si>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</si>
  <si>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</si>
  <si>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</si>
  <si>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</si>
  <si>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</si>
  <si>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</si>
  <si>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</si>
  <si>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</si>
  <si>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</si>
  <si>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</si>
  <si>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</si>
  <si>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</si>
  <si>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</si>
  <si>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</si>
  <si>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</si>
  <si>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</si>
  <si>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</si>
  <si>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</si>
  <si>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</si>
  <si>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</si>
  <si>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</si>
  <si>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</si>
  <si>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</si>
  <si>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</si>
  <si>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</si>
  <si>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</si>
  <si>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</si>
  <si>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</si>
  <si>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</si>
  <si>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</si>
  <si>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</si>
  <si>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</si>
  <si>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</si>
  <si>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</si>
  <si>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</si>
  <si>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</si>
  <si>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</si>
  <si>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</si>
  <si>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</si>
  <si>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</si>
  <si>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</si>
  <si>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</si>
  <si>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</si>
  <si>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</si>
  <si>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</si>
  <si>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</si>
  <si>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</si>
  <si>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</si>
  <si>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</si>
  <si>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</si>
  <si>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</si>
  <si>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</si>
  <si>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</si>
  <si>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</si>
  <si>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</si>
  <si>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</si>
  <si>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</si>
  <si>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</si>
  <si>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</si>
  <si>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</si>
  <si>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</si>
  <si>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</si>
  <si>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</si>
  <si>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</si>
  <si>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</si>
  <si>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</si>
  <si>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</si>
  <si>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</si>
  <si>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</si>
  <si>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</si>
  <si>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</si>
  <si>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</si>
  <si>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</si>
  <si>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</si>
  <si>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</si>
  <si>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</si>
  <si>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</si>
  <si>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</si>
  <si>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</si>
  <si>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</si>
  <si>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</si>
  <si>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</si>
  <si>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</si>
  <si>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</si>
  <si>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</si>
  <si>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</si>
  <si>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</si>
  <si>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</si>
  <si>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</si>
  <si>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</si>
  <si>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</si>
  <si>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</si>
  <si>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</si>
  <si>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</si>
  <si>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</si>
  <si>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</si>
  <si>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</si>
  <si>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</si>
  <si>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</si>
  <si>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</si>
  <si>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</si>
  <si>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</si>
  <si>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</si>
  <si>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</si>
  <si>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</si>
  <si>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</si>
  <si>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</si>
  <si>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</si>
  <si>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</si>
  <si>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</si>
  <si>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</si>
  <si>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</si>
  <si>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</si>
  <si>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JUAN DE LOS PALOTES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</si>
  <si>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</si>
  <si>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</si>
  <si>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</si>
  <si>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</si>
  <si>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</si>
  <si>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</si>
  <si>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33-26903939-2</t>
  </si>
  <si>
    <t>Calle supuestamente Pública s/n - 7º piso, dpto. 7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</si>
  <si>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</si>
  <si>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</si>
  <si>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</si>
  <si>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</si>
  <si>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</si>
  <si>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</si>
  <si>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</si>
  <si>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</si>
  <si>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</si>
  <si>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</si>
  <si>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</si>
  <si>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</si>
  <si>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</si>
  <si>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</si>
  <si>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</si>
  <si>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</si>
  <si>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</si>
  <si>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</si>
  <si>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</si>
  <si>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</si>
  <si>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</si>
  <si>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</si>
  <si>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</si>
  <si>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</si>
  <si>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</si>
  <si>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</si>
  <si>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</si>
  <si>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</si>
  <si>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</si>
  <si>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</si>
  <si>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</si>
  <si>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</si>
  <si>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</si>
  <si>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</si>
  <si>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</si>
  <si>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</si>
  <si>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</si>
  <si>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</si>
  <si>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</si>
  <si>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</si>
  <si>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</si>
  <si>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</si>
  <si>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</si>
  <si>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</si>
  <si>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</si>
  <si>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</si>
  <si>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</si>
  <si>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</si>
  <si>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</si>
  <si>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</si>
  <si>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</si>
  <si>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</si>
  <si>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</si>
  <si>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</si>
  <si>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</si>
  <si>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</si>
  <si>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</si>
  <si>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</si>
  <si>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</si>
  <si>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</si>
  <si>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</si>
  <si>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</si>
  <si>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</si>
  <si>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</si>
  <si>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</si>
  <si>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</si>
  <si>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</si>
  <si>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</si>
  <si>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</si>
  <si>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</si>
  <si>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</si>
  <si>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</si>
  <si>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</si>
  <si>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</si>
  <si>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</si>
  <si>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</si>
  <si>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</si>
  <si>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</si>
  <si>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</si>
  <si>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</si>
  <si>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</si>
  <si>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</si>
  <si>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</si>
  <si>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</si>
  <si>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</si>
  <si>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</si>
  <si>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</si>
  <si>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</si>
  <si>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</si>
  <si>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</si>
  <si>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</si>
  <si>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</si>
  <si>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</si>
  <si>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</si>
  <si>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</si>
  <si>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</si>
  <si>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</si>
  <si>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</si>
  <si>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</si>
  <si>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</si>
  <si>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</si>
  <si>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</si>
  <si>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</si>
  <si>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</si>
  <si>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</si>
  <si>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</si>
  <si>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</si>
  <si>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</si>
  <si>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</si>
  <si>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</si>
  <si>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</si>
  <si>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</si>
  <si>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</si>
  <si>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</si>
  <si>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</si>
  <si>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</si>
  <si>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</si>
  <si>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</si>
  <si>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</si>
  <si>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</si>
  <si>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</si>
  <si>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</si>
  <si>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</si>
  <si>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</si>
  <si>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</si>
  <si>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</si>
  <si>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</si>
  <si>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</si>
  <si>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</si>
  <si>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</si>
  <si>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</si>
  <si>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</si>
  <si>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</si>
  <si>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</si>
  <si>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</si>
  <si>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</si>
  <si>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</si>
  <si>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</si>
  <si>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</si>
  <si>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</si>
  <si>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</si>
  <si>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</si>
  <si>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</si>
  <si>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</si>
  <si>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</si>
  <si>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</si>
  <si>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</si>
  <si>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</si>
  <si>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</si>
  <si>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</si>
  <si>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</si>
  <si>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</si>
  <si>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</si>
  <si>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</si>
  <si>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</si>
  <si>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</si>
  <si>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</si>
  <si>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</si>
  <si>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</si>
  <si>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</si>
  <si>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</si>
  <si>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</si>
  <si>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</si>
  <si>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</si>
  <si>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</si>
  <si>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</si>
  <si>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</si>
  <si>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</si>
  <si>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</si>
  <si>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</si>
  <si>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</si>
  <si>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</si>
  <si>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</si>
  <si>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</si>
  <si>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</si>
  <si>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</si>
  <si>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</si>
  <si>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</si>
  <si>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</si>
  <si>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</si>
  <si>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</si>
  <si>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</si>
  <si>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</si>
  <si>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</si>
  <si>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</si>
  <si>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</si>
  <si>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</si>
  <si>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</si>
  <si>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</si>
  <si>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</si>
  <si>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</si>
  <si>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</si>
  <si>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</si>
  <si>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</si>
  <si>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</si>
  <si>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</si>
  <si>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</si>
  <si>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</si>
  <si>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</si>
  <si>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</si>
  <si>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</si>
  <si>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</si>
  <si>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</si>
  <si>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</si>
  <si>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</si>
  <si>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</si>
  <si>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</si>
  <si>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</si>
  <si>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</si>
  <si>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</si>
  <si>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</si>
  <si>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</si>
  <si>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</si>
  <si>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</si>
  <si>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</si>
  <si>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</si>
  <si>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</si>
  <si>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</si>
  <si>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</si>
  <si>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</si>
  <si>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</si>
  <si>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</si>
  <si>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</si>
  <si>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</si>
  <si>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</si>
  <si>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</si>
  <si>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</si>
  <si>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</si>
  <si>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</si>
  <si>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</si>
  <si>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</si>
  <si>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</si>
  <si>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</si>
  <si>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</si>
  <si>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</si>
  <si>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</si>
  <si>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</si>
  <si>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</si>
  <si>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</si>
  <si>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</si>
  <si>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</si>
  <si>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</si>
  <si>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</si>
  <si>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</si>
  <si>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</si>
  <si>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</si>
  <si>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</si>
  <si>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</si>
  <si>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</si>
  <si>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</si>
  <si>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</si>
  <si>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</si>
  <si>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</si>
  <si>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</si>
  <si>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</si>
  <si>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</si>
  <si>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</si>
  <si>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</si>
  <si>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</si>
  <si>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</si>
  <si>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</si>
  <si>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</si>
  <si>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</si>
  <si>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</si>
  <si>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</si>
  <si>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</si>
  <si>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</si>
  <si>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</si>
  <si>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</si>
  <si>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</si>
  <si>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</si>
  <si>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</si>
  <si>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</si>
  <si>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</si>
  <si>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</si>
  <si>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</si>
  <si>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</si>
  <si>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</si>
  <si>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</si>
  <si>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</si>
  <si>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</si>
  <si>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</si>
  <si>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</si>
  <si>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</si>
  <si>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</si>
  <si>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</si>
  <si>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</si>
  <si>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</si>
  <si>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</si>
  <si>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</si>
  <si>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</si>
  <si>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</si>
  <si>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</si>
  <si>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</si>
  <si>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</si>
  <si>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</si>
  <si>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</si>
  <si>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</si>
  <si>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</si>
  <si>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</si>
  <si>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</si>
  <si>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</si>
  <si>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</si>
  <si>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</si>
  <si>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</si>
  <si>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</si>
  <si>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</si>
  <si>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</si>
  <si>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</si>
  <si>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</si>
  <si>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</si>
  <si>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</si>
  <si>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</si>
  <si>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</si>
  <si>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</si>
  <si>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</si>
  <si>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</si>
  <si>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</si>
  <si>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</si>
  <si>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</si>
  <si>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</si>
  <si>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</si>
  <si>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</si>
  <si>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</si>
  <si>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</si>
  <si>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</si>
  <si>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</si>
  <si>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</si>
  <si>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</si>
  <si>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</si>
  <si>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</si>
  <si>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</si>
  <si>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</si>
  <si>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</si>
  <si>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</si>
  <si>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</si>
  <si>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</si>
  <si>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</si>
  <si>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</si>
  <si>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</si>
  <si>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</si>
  <si>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</si>
  <si>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</si>
  <si>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</si>
  <si>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</si>
  <si>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</si>
  <si>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</si>
  <si>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</si>
  <si>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</si>
  <si>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</si>
  <si>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</si>
  <si>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</si>
  <si>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</si>
  <si>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</si>
  <si>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</si>
  <si>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</si>
  <si>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</si>
  <si>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</si>
  <si>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</si>
  <si>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</si>
  <si>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</si>
  <si>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</si>
  <si>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</si>
  <si>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</si>
  <si>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</si>
  <si>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</si>
  <si>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</si>
  <si>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</si>
  <si>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</si>
  <si>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</si>
  <si>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</si>
  <si>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</si>
  <si>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</si>
  <si>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</si>
  <si>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</si>
  <si>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</si>
  <si>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</si>
  <si>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</si>
  <si>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</si>
  <si>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</si>
  <si>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</si>
  <si>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</si>
  <si>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</si>
  <si>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</si>
  <si>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</si>
  <si>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</si>
  <si>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</si>
  <si>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</si>
  <si>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</si>
  <si>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</si>
  <si>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</si>
  <si>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</si>
  <si>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</si>
  <si>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</si>
  <si>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</si>
  <si>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</si>
  <si>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</si>
  <si>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</si>
  <si>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</si>
  <si>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</si>
  <si>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</si>
  <si>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</si>
  <si>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</si>
  <si>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</si>
  <si>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</si>
  <si>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</si>
  <si>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</si>
  <si>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</si>
  <si>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</si>
  <si>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</si>
  <si>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</si>
  <si>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</si>
  <si>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</si>
  <si>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</si>
  <si>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</si>
  <si>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</si>
  <si>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</si>
  <si>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</si>
  <si>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</si>
  <si>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</si>
  <si>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</si>
  <si>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</si>
  <si>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</si>
  <si>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</si>
  <si>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</si>
  <si>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</si>
  <si>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</si>
  <si>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</si>
  <si>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</si>
  <si>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</si>
  <si>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</si>
  <si>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</si>
  <si>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</si>
  <si>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</si>
  <si>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</si>
  <si>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</si>
  <si>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</si>
  <si>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</si>
  <si>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</si>
  <si>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</si>
  <si>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</si>
  <si>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</si>
  <si>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</si>
  <si>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</si>
  <si>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</si>
  <si>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</si>
  <si>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</si>
  <si>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</si>
  <si>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</si>
  <si>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</si>
  <si>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</si>
  <si>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</si>
  <si>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</si>
  <si>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</si>
  <si>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</si>
  <si>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</si>
  <si>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</si>
  <si>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</si>
  <si>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</si>
  <si>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</si>
  <si>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</si>
  <si>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</si>
  <si>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</si>
  <si>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</si>
  <si>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</si>
  <si>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</si>
  <si>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</si>
  <si>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</si>
  <si>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</si>
  <si>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</si>
  <si>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</si>
  <si>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</si>
  <si>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</si>
  <si>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</si>
  <si>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</si>
  <si>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</si>
  <si>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</si>
  <si>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</si>
  <si>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</si>
  <si>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</si>
  <si>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</si>
  <si>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</si>
  <si>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</si>
  <si>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</si>
  <si>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</si>
  <si>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</si>
  <si>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</si>
  <si>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</si>
  <si>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</si>
  <si>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</si>
  <si>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</si>
  <si>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</si>
  <si>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</si>
  <si>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</si>
  <si>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</si>
  <si>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</si>
  <si>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</si>
  <si>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</si>
  <si>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</si>
  <si>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</si>
  <si>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</si>
  <si>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</si>
  <si>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</si>
  <si>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</si>
  <si>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</si>
  <si>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</si>
  <si>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</si>
  <si>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</si>
  <si>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</si>
  <si>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</si>
  <si>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Baez, Mirta Noemi</t>
  </si>
  <si>
    <t>SEBASTIAN ALVAREZ</t>
  </si>
  <si>
    <t>Jones, Jessica Valeria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</si>
</sst>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sz val="11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i/>
      <sz val="11"/>
      <name val="Calibri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3" fillId="0" borderId="0" applyNumberFormat="0" applyFill="0" applyBorder="0" applyAlignment="0" applyProtection="0"/>
  </cellStyleXfs>
  <cellXfs count="283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0" borderId="11" xfId="1" applyFont="1" applyFill="1" applyBorder="1" applyAlignment="1">
      <alignment horizontal="center"/>
    </xf>
    <xf numFmtId="0" fontId="5" fillId="0" borderId="11" xfId="1" applyFont="1" applyFill="1" applyBorder="1"/>
    <xf numFmtId="0" fontId="5" fillId="0" borderId="11" xfId="1" applyFont="1" applyFill="1" applyBorder="1" applyAlignment="1">
      <alignment horizontal="left"/>
    </xf>
    <xf numFmtId="0" fontId="5" fillId="3" borderId="11" xfId="1" applyFont="1" applyFill="1" applyBorder="1" applyAlignment="1">
      <alignment horizontal="center"/>
    </xf>
    <xf numFmtId="0" fontId="5" fillId="3" borderId="11" xfId="1" applyFont="1" applyFill="1" applyBorder="1"/>
    <xf numFmtId="0" fontId="5" fillId="3" borderId="11" xfId="1" applyFont="1" applyFill="1" applyBorder="1" applyAlignment="1">
      <alignment horizontal="left"/>
    </xf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8" fillId="0" borderId="11" xfId="1" applyFont="1" applyFill="1" applyBorder="1" applyAlignment="1">
      <alignment horizontal="center"/>
    </xf>
    <xf numFmtId="0" fontId="8" fillId="3" borderId="11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0" borderId="0" xfId="0" applyFont="1"/>
    <xf numFmtId="0" fontId="12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3" fillId="0" borderId="11" xfId="2" applyBorder="1" applyAlignment="1">
      <alignment horizontal="left"/>
    </xf>
    <xf numFmtId="0" fontId="5" fillId="0" borderId="14" xfId="1" applyFont="1" applyFill="1" applyBorder="1" applyAlignment="1">
      <alignment horizontal="center"/>
    </xf>
    <xf numFmtId="0" fontId="5" fillId="0" borderId="15" xfId="1" applyFont="1" applyFill="1" applyBorder="1" applyAlignment="1">
      <alignment horizontal="center"/>
    </xf>
    <xf numFmtId="0" fontId="5" fillId="0" borderId="16" xfId="1" applyFont="1" applyFill="1" applyBorder="1" applyAlignment="1">
      <alignment horizontal="left"/>
    </xf>
    <xf numFmtId="0" fontId="14" fillId="5" borderId="17" xfId="1" applyFont="1" applyFill="1" applyBorder="1" applyAlignment="1">
      <alignment horizontal="left"/>
    </xf>
    <xf numFmtId="0" fontId="12" fillId="6" borderId="11" xfId="0" applyFont="1" applyFill="1" applyBorder="1"/>
    <xf numFmtId="0" fontId="0" fillId="0" borderId="18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36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9" fillId="0" borderId="0" xfId="0" applyFont="1" applyBorder="1" applyAlignment="1">
      <alignment horizontal="right" wrapText="1"/>
    </xf>
    <xf numFmtId="0" fontId="19" fillId="0" borderId="4" xfId="0" applyFont="1" applyBorder="1" applyAlignment="1">
      <alignment horizontal="right" wrapText="1"/>
    </xf>
    <xf numFmtId="0" fontId="19" fillId="0" borderId="0" xfId="0" applyFont="1" applyBorder="1" applyAlignment="1">
      <alignment horizontal="right"/>
    </xf>
    <xf numFmtId="0" fontId="19" fillId="0" borderId="4" xfId="0" applyFont="1" applyBorder="1" applyAlignment="1">
      <alignment horizontal="right"/>
    </xf>
    <xf numFmtId="1" fontId="21" fillId="0" borderId="0" xfId="0" applyNumberFormat="1" applyFont="1" applyBorder="1" applyAlignment="1">
      <alignment horizontal="center" vertical="center" wrapText="1"/>
    </xf>
    <xf numFmtId="1" fontId="21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right" vertical="center" wrapText="1"/>
    </xf>
    <xf numFmtId="0" fontId="12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8" fillId="0" borderId="21" xfId="0" applyNumberFormat="1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3" fillId="0" borderId="4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0" borderId="31" xfId="0" applyFont="1" applyBorder="1" applyAlignment="1">
      <alignment horizontal="left" wrapText="1"/>
    </xf>
    <xf numFmtId="0" fontId="15" fillId="0" borderId="25" xfId="0" applyFont="1" applyFill="1" applyBorder="1" applyAlignment="1">
      <alignment vertical="center" textRotation="90" wrapText="1"/>
    </xf>
    <xf numFmtId="0" fontId="15" fillId="7" borderId="12" xfId="0" applyFont="1" applyFill="1" applyBorder="1" applyAlignment="1">
      <alignment vertical="center" textRotation="90" wrapText="1"/>
    </xf>
    <xf numFmtId="0" fontId="0" fillId="7" borderId="6" xfId="0" applyFill="1" applyBorder="1"/>
    <xf numFmtId="0" fontId="15" fillId="7" borderId="13" xfId="0" applyFont="1" applyFill="1" applyBorder="1" applyAlignment="1">
      <alignment vertical="center" textRotation="90" wrapText="1"/>
    </xf>
    <xf numFmtId="0" fontId="0" fillId="7" borderId="5" xfId="0" applyFill="1" applyBorder="1"/>
    <xf numFmtId="0" fontId="24" fillId="9" borderId="21" xfId="0" applyFont="1" applyFill="1" applyBorder="1" applyAlignment="1">
      <alignment vertical="center" wrapText="1"/>
    </xf>
    <xf numFmtId="0" fontId="18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0" fillId="7" borderId="23" xfId="0" applyFill="1" applyBorder="1" applyAlignment="1">
      <alignment wrapText="1"/>
    </xf>
    <xf numFmtId="0" fontId="0" fillId="7" borderId="24" xfId="0" applyFill="1" applyBorder="1" applyAlignment="1">
      <alignment wrapText="1"/>
    </xf>
    <xf numFmtId="0" fontId="22" fillId="0" borderId="3" xfId="0" applyFont="1" applyBorder="1" applyAlignment="1">
      <alignment horizontal="left" vertical="center" wrapText="1"/>
    </xf>
    <xf numFmtId="0" fontId="29" fillId="9" borderId="12" xfId="0" applyFont="1" applyFill="1" applyBorder="1" applyAlignment="1">
      <alignment vertical="center" textRotation="90" wrapText="1"/>
    </xf>
    <xf numFmtId="0" fontId="29" fillId="9" borderId="13" xfId="0" applyFont="1" applyFill="1" applyBorder="1" applyAlignment="1">
      <alignment vertical="center" textRotation="90" wrapText="1"/>
    </xf>
    <xf numFmtId="0" fontId="24" fillId="0" borderId="2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wrapText="1"/>
    </xf>
    <xf numFmtId="0" fontId="23" fillId="9" borderId="0" xfId="0" applyFont="1" applyFill="1" applyBorder="1" applyAlignment="1">
      <alignment vertical="center" wrapText="1"/>
    </xf>
    <xf numFmtId="0" fontId="0" fillId="9" borderId="21" xfId="0" applyFill="1" applyBorder="1" applyAlignment="1">
      <alignment wrapText="1"/>
    </xf>
    <xf numFmtId="0" fontId="0" fillId="9" borderId="24" xfId="0" applyFill="1" applyBorder="1" applyAlignment="1">
      <alignment wrapText="1"/>
    </xf>
    <xf numFmtId="0" fontId="0" fillId="9" borderId="23" xfId="0" applyFill="1" applyBorder="1" applyAlignment="1">
      <alignment wrapText="1"/>
    </xf>
    <xf numFmtId="0" fontId="0" fillId="0" borderId="18" xfId="0" applyBorder="1" applyAlignment="1" applyProtection="1">
      <alignment wrapText="1"/>
    </xf>
    <xf numFmtId="0" fontId="0" fillId="0" borderId="36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9" fillId="0" borderId="0" xfId="0" applyFont="1" applyBorder="1" applyAlignment="1" applyProtection="1">
      <alignment horizontal="right" wrapText="1"/>
    </xf>
    <xf numFmtId="0" fontId="19" fillId="0" borderId="0" xfId="0" applyFont="1" applyBorder="1" applyAlignment="1" applyProtection="1">
      <alignment horizontal="right"/>
    </xf>
    <xf numFmtId="0" fontId="19" fillId="0" borderId="4" xfId="0" applyFont="1" applyBorder="1" applyAlignment="1" applyProtection="1">
      <alignment horizontal="right" wrapText="1"/>
    </xf>
    <xf numFmtId="0" fontId="19" fillId="0" borderId="4" xfId="0" applyFont="1" applyBorder="1" applyAlignment="1" applyProtection="1">
      <alignment horizontal="right"/>
    </xf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5" fillId="0" borderId="33" xfId="0" applyFont="1" applyBorder="1" applyAlignment="1" applyProtection="1">
      <alignment horizontal="left" wrapText="1"/>
    </xf>
    <xf numFmtId="0" fontId="15" fillId="0" borderId="35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8" fillId="0" borderId="1" xfId="0" applyFont="1" applyBorder="1" applyAlignment="1" applyProtection="1">
      <alignment horizontal="right" vertical="center"/>
    </xf>
    <xf numFmtId="3" fontId="18" fillId="0" borderId="1" xfId="0" applyNumberFormat="1" applyFont="1" applyBorder="1" applyAlignment="1" applyProtection="1">
      <alignment horizontal="center" vertical="center" wrapText="1"/>
    </xf>
    <xf numFmtId="3" fontId="18" fillId="0" borderId="32" xfId="0" applyNumberFormat="1" applyFont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horizontal="right" vertical="center"/>
    </xf>
    <xf numFmtId="3" fontId="18" fillId="0" borderId="21" xfId="0" applyNumberFormat="1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2" fillId="0" borderId="0" xfId="0" applyFont="1" applyBorder="1" applyAlignment="1" applyProtection="1">
      <alignment vertical="center" wrapText="1"/>
    </xf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5" fillId="0" borderId="0" xfId="0" applyFont="1" applyBorder="1" applyAlignment="1">
      <alignment horizontal="right"/>
    </xf>
    <xf numFmtId="0" fontId="36" fillId="0" borderId="4" xfId="0" applyFont="1" applyBorder="1" applyProtection="1">
      <protection locked="0"/>
    </xf>
    <xf numFmtId="0" fontId="35" fillId="0" borderId="0" xfId="0" applyFont="1" applyAlignment="1">
      <alignment horizontal="right"/>
    </xf>
    <xf numFmtId="0" fontId="35" fillId="0" borderId="0" xfId="0" applyFont="1"/>
    <xf numFmtId="0" fontId="35" fillId="8" borderId="11" xfId="0" applyFont="1" applyFill="1" applyBorder="1" applyAlignment="1">
      <alignment horizontal="center"/>
    </xf>
    <xf numFmtId="0" fontId="35" fillId="8" borderId="10" xfId="0" applyFont="1" applyFill="1" applyBorder="1" applyAlignment="1">
      <alignment horizontal="center"/>
    </xf>
    <xf numFmtId="0" fontId="38" fillId="0" borderId="15" xfId="0" applyFont="1" applyBorder="1" applyProtection="1">
      <protection locked="0"/>
    </xf>
    <xf numFmtId="0" fontId="35" fillId="0" borderId="11" xfId="0" applyFont="1" applyBorder="1"/>
    <xf numFmtId="0" fontId="38" fillId="0" borderId="6" xfId="0" applyFont="1" applyBorder="1" applyProtection="1">
      <protection locked="0"/>
    </xf>
    <xf numFmtId="0" fontId="35" fillId="0" borderId="16" xfId="0" applyFont="1" applyBorder="1"/>
    <xf numFmtId="0" fontId="39" fillId="0" borderId="0" xfId="0" applyFont="1" applyAlignment="1">
      <alignment horizontal="left"/>
    </xf>
    <xf numFmtId="0" fontId="39" fillId="0" borderId="0" xfId="0" applyFont="1"/>
    <xf numFmtId="0" fontId="35" fillId="8" borderId="14" xfId="0" applyFont="1" applyFill="1" applyBorder="1" applyAlignment="1">
      <alignment horizontal="center"/>
    </xf>
    <xf numFmtId="0" fontId="35" fillId="0" borderId="11" xfId="0" applyFont="1" applyBorder="1" applyProtection="1">
      <protection locked="0" hidden="1"/>
    </xf>
    <xf numFmtId="0" fontId="38" fillId="0" borderId="11" xfId="0" applyFont="1" applyBorder="1" applyAlignment="1" applyProtection="1">
      <alignment horizontal="right"/>
      <protection locked="0" hidden="1"/>
    </xf>
    <xf numFmtId="0" fontId="35" fillId="0" borderId="16" xfId="0" applyFont="1" applyBorder="1" applyProtection="1">
      <protection locked="0" hidden="1"/>
    </xf>
    <xf numFmtId="0" fontId="38" fillId="0" borderId="16" xfId="0" applyFont="1" applyBorder="1" applyAlignment="1" applyProtection="1">
      <alignment horizontal="right"/>
      <protection locked="0" hidden="1"/>
    </xf>
    <xf numFmtId="0" fontId="38" fillId="0" borderId="14" xfId="0" applyFont="1" applyBorder="1" applyAlignment="1" applyProtection="1">
      <alignment horizontal="right"/>
      <protection locked="0" hidden="1"/>
    </xf>
    <xf numFmtId="0" fontId="38" fillId="0" borderId="12" xfId="0" applyFont="1" applyBorder="1" applyAlignment="1" applyProtection="1">
      <alignment horizontal="right"/>
      <protection locked="0" hidden="1"/>
    </xf>
    <xf numFmtId="0" fontId="39" fillId="0" borderId="0" xfId="0" applyFont="1" applyAlignment="1" applyProtection="1">
      <alignment horizontal="left"/>
      <protection locked="0"/>
    </xf>
    <xf numFmtId="1" fontId="37" fillId="0" borderId="34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wrapText="1"/>
    </xf>
    <xf numFmtId="1" fontId="12" fillId="0" borderId="0" xfId="0" applyNumberFormat="1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right" vertical="center"/>
    </xf>
    <xf numFmtId="0" fontId="28" fillId="0" borderId="34" xfId="0" applyFont="1" applyBorder="1" applyAlignment="1" applyProtection="1">
      <alignment horizontal="left" wrapText="1"/>
    </xf>
    <xf numFmtId="0" fontId="0" fillId="0" borderId="30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5" fillId="0" borderId="0" xfId="0" applyFont="1" applyBorder="1" applyAlignment="1" applyProtection="1">
      <alignment wrapText="1"/>
    </xf>
    <xf numFmtId="0" fontId="15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6" fillId="0" borderId="4" xfId="0" applyNumberFormat="1" applyFont="1" applyBorder="1" applyAlignment="1" applyProtection="1">
      <alignment horizontal="center"/>
    </xf>
    <xf numFmtId="0" fontId="36" fillId="0" borderId="4" xfId="0" applyFont="1" applyBorder="1" applyAlignment="1" applyProtection="1">
      <alignment horizontal="center"/>
    </xf>
    <xf numFmtId="0" fontId="12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37" fillId="0" borderId="34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 vertical="top" wrapText="1"/>
      <protection locked="0"/>
    </xf>
    <xf numFmtId="0" fontId="37" fillId="0" borderId="4" xfId="0" applyFont="1" applyBorder="1" applyAlignment="1" applyProtection="1">
      <alignment horizontal="left" vertical="top" wrapText="1"/>
      <protection locked="0"/>
    </xf>
    <xf numFmtId="1" fontId="26" fillId="0" borderId="0" xfId="0" applyNumberFormat="1" applyFont="1" applyBorder="1" applyAlignment="1" applyProtection="1">
      <alignment horizontal="left" vertical="center" wrapText="1"/>
    </xf>
    <xf numFmtId="0" fontId="15" fillId="0" borderId="30" xfId="0" applyFont="1" applyBorder="1" applyAlignment="1" applyProtection="1">
      <alignment wrapText="1"/>
    </xf>
    <xf numFmtId="0" fontId="15" fillId="0" borderId="18" xfId="0" applyFont="1" applyBorder="1" applyAlignment="1" applyProtection="1">
      <alignment wrapText="1"/>
    </xf>
    <xf numFmtId="0" fontId="19" fillId="0" borderId="13" xfId="0" applyFont="1" applyBorder="1" applyAlignment="1" applyProtection="1">
      <alignment wrapText="1"/>
    </xf>
    <xf numFmtId="0" fontId="19" fillId="0" borderId="4" xfId="0" applyFont="1" applyBorder="1" applyAlignment="1" applyProtection="1">
      <alignment wrapText="1"/>
    </xf>
    <xf numFmtId="0" fontId="34" fillId="0" borderId="0" xfId="0" applyFont="1" applyBorder="1" applyAlignment="1" applyProtection="1">
      <alignment horizontal="left" vertical="center" wrapText="1"/>
    </xf>
    <xf numFmtId="0" fontId="34" fillId="0" borderId="0" xfId="0" applyFont="1" applyBorder="1" applyAlignment="1" applyProtection="1">
      <alignment horizontal="right" vertical="center" wrapText="1"/>
    </xf>
    <xf numFmtId="0" fontId="16" fillId="0" borderId="27" xfId="0" applyFont="1" applyBorder="1" applyAlignment="1" applyProtection="1">
      <alignment vertical="center" textRotation="90" wrapText="1"/>
    </xf>
    <xf numFmtId="0" fontId="16" fillId="0" borderId="28" xfId="0" applyFont="1" applyBorder="1" applyAlignment="1" applyProtection="1">
      <alignment vertical="center" textRotation="90" wrapText="1"/>
    </xf>
    <xf numFmtId="0" fontId="16" fillId="0" borderId="29" xfId="0" applyFont="1" applyBorder="1" applyAlignment="1" applyProtection="1">
      <alignment vertical="center" textRotation="90" wrapText="1"/>
    </xf>
    <xf numFmtId="0" fontId="19" fillId="0" borderId="2" xfId="0" applyFont="1" applyBorder="1" applyAlignment="1" applyProtection="1">
      <alignment wrapText="1"/>
    </xf>
    <xf numFmtId="0" fontId="19" fillId="0" borderId="0" xfId="0" applyFont="1" applyBorder="1" applyAlignment="1" applyProtection="1">
      <alignment wrapText="1"/>
    </xf>
    <xf numFmtId="0" fontId="15" fillId="0" borderId="37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15" fillId="0" borderId="38" xfId="0" applyFont="1" applyBorder="1" applyAlignment="1" applyProtection="1">
      <alignment vertical="center" textRotation="90" wrapText="1"/>
    </xf>
    <xf numFmtId="0" fontId="33" fillId="0" borderId="31" xfId="0" applyFont="1" applyBorder="1" applyAlignment="1" applyProtection="1">
      <alignment horizontal="center" vertical="center" wrapText="1"/>
    </xf>
    <xf numFmtId="0" fontId="33" fillId="0" borderId="1" xfId="0" applyFont="1" applyBorder="1" applyAlignment="1" applyProtection="1">
      <alignment horizontal="center" vertical="center" wrapText="1"/>
    </xf>
    <xf numFmtId="0" fontId="33" fillId="0" borderId="32" xfId="0" applyFont="1" applyBorder="1" applyAlignment="1" applyProtection="1">
      <alignment horizontal="center" vertical="center" wrapText="1"/>
    </xf>
    <xf numFmtId="0" fontId="33" fillId="0" borderId="20" xfId="0" applyFont="1" applyBorder="1" applyAlignment="1" applyProtection="1">
      <alignment horizontal="center" vertical="center" wrapText="1"/>
    </xf>
    <xf numFmtId="0" fontId="33" fillId="0" borderId="0" xfId="0" applyFont="1" applyBorder="1" applyAlignment="1" applyProtection="1">
      <alignment horizontal="center" vertical="center" wrapText="1"/>
    </xf>
    <xf numFmtId="0" fontId="33" fillId="0" borderId="21" xfId="0" applyFont="1" applyBorder="1" applyAlignment="1" applyProtection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</xf>
    <xf numFmtId="0" fontId="33" fillId="0" borderId="26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5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horizontal="center" vertical="center" wrapText="1"/>
    </xf>
    <xf numFmtId="0" fontId="31" fillId="9" borderId="0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5" fillId="7" borderId="31" xfId="0" applyFont="1" applyFill="1" applyBorder="1" applyAlignment="1">
      <alignment horizontal="center" vertical="center" textRotation="90" wrapText="1"/>
    </xf>
    <xf numFmtId="0" fontId="15" fillId="7" borderId="20" xfId="0" applyFont="1" applyFill="1" applyBorder="1" applyAlignment="1">
      <alignment horizontal="center" vertical="center" textRotation="90" wrapText="1"/>
    </xf>
    <xf numFmtId="0" fontId="15" fillId="7" borderId="22" xfId="0" applyFont="1" applyFill="1" applyBorder="1" applyAlignment="1">
      <alignment horizontal="center" vertical="center" textRotation="90" wrapText="1"/>
    </xf>
    <xf numFmtId="0" fontId="12" fillId="0" borderId="1" xfId="0" applyFont="1" applyBorder="1" applyAlignment="1">
      <alignment horizontal="right" vertical="center"/>
    </xf>
    <xf numFmtId="1" fontId="12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1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28" fillId="0" borderId="34" xfId="0" applyFont="1" applyBorder="1" applyAlignment="1">
      <alignment horizontal="left" wrapText="1"/>
    </xf>
    <xf numFmtId="0" fontId="15" fillId="0" borderId="2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7" fillId="7" borderId="2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right" vertical="center"/>
    </xf>
    <xf numFmtId="0" fontId="20" fillId="0" borderId="2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16" fillId="0" borderId="27" xfId="0" applyFont="1" applyBorder="1" applyAlignment="1">
      <alignment vertical="center" textRotation="90" wrapText="1"/>
    </xf>
    <xf numFmtId="0" fontId="16" fillId="0" borderId="28" xfId="0" applyFont="1" applyBorder="1" applyAlignment="1">
      <alignment vertical="center" textRotation="90" wrapText="1"/>
    </xf>
    <xf numFmtId="0" fontId="16" fillId="0" borderId="29" xfId="0" applyFont="1" applyBorder="1" applyAlignment="1">
      <alignment vertical="center" textRotation="90" wrapText="1"/>
    </xf>
    <xf numFmtId="0" fontId="15" fillId="0" borderId="30" xfId="0" applyFont="1" applyBorder="1" applyAlignment="1">
      <alignment wrapText="1"/>
    </xf>
    <xf numFmtId="0" fontId="15" fillId="0" borderId="18" xfId="0" applyFont="1" applyBorder="1" applyAlignment="1">
      <alignment wrapText="1"/>
    </xf>
    <xf numFmtId="0" fontId="0" fillId="0" borderId="30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3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9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9" fillId="0" borderId="13" xfId="0" applyFont="1" applyBorder="1" applyAlignment="1">
      <alignment wrapText="1"/>
    </xf>
    <xf numFmtId="0" fontId="19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9" fillId="9" borderId="31" xfId="0" applyFont="1" applyFill="1" applyBorder="1" applyAlignment="1">
      <alignment horizontal="center" vertical="center" textRotation="90" wrapText="1"/>
    </xf>
    <xf numFmtId="0" fontId="29" fillId="9" borderId="20" xfId="0" applyFont="1" applyFill="1" applyBorder="1" applyAlignment="1">
      <alignment horizontal="center" vertical="center" textRotation="90" wrapText="1"/>
    </xf>
    <xf numFmtId="0" fontId="29" fillId="9" borderId="22" xfId="0" applyFont="1" applyFill="1" applyBorder="1" applyAlignment="1">
      <alignment horizontal="center" vertical="center" textRotation="90" wrapText="1"/>
    </xf>
    <xf numFmtId="0" fontId="32" fillId="9" borderId="1" xfId="0" applyFont="1" applyFill="1" applyBorder="1" applyAlignment="1">
      <alignment horizontal="center" vertical="center" wrapText="1"/>
    </xf>
    <xf numFmtId="0" fontId="32" fillId="9" borderId="6" xfId="0" applyFont="1" applyFill="1" applyBorder="1" applyAlignment="1">
      <alignment horizontal="center" vertical="center" wrapText="1"/>
    </xf>
    <xf numFmtId="0" fontId="32" fillId="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horizontal="center" vertical="center" wrapText="1"/>
    </xf>
    <xf numFmtId="0" fontId="30" fillId="9" borderId="31" xfId="0" applyFont="1" applyFill="1" applyBorder="1" applyAlignment="1">
      <alignment horizontal="center" vertical="center" wrapText="1"/>
    </xf>
    <xf numFmtId="0" fontId="30" fillId="9" borderId="1" xfId="0" applyFont="1" applyFill="1" applyBorder="1" applyAlignment="1">
      <alignment horizontal="center" vertical="center" wrapText="1"/>
    </xf>
    <xf numFmtId="0" fontId="30" fillId="9" borderId="32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0" fontId="30" fillId="9" borderId="0" xfId="0" applyFont="1" applyFill="1" applyBorder="1" applyAlignment="1">
      <alignment horizontal="center" vertical="center" wrapText="1"/>
    </xf>
    <xf numFmtId="0" fontId="30" fillId="9" borderId="21" xfId="0" applyFont="1" applyFill="1" applyBorder="1" applyAlignment="1">
      <alignment horizontal="center" vertical="center" wrapText="1"/>
    </xf>
    <xf numFmtId="0" fontId="30" fillId="9" borderId="25" xfId="0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vertical="center" wrapText="1"/>
    </xf>
    <xf numFmtId="0" fontId="30" fillId="9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left" wrapText="1"/>
    </xf>
    <xf numFmtId="0" fontId="3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horizontal="right"/>
    </xf>
    <xf numFmtId="0" fontId="12" fillId="0" borderId="36" xfId="0" applyFont="1" applyBorder="1" applyAlignment="1">
      <alignment horizontal="right"/>
    </xf>
    <xf numFmtId="0" fontId="5" fillId="0" borderId="0" xfId="1" applyFont="1" applyFill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shrinkToFit="1"/>
    </xf>
    <xf numFmtId="0" fontId="25" fillId="0" borderId="1" xfId="0" applyFont="1" applyBorder="1" applyAlignment="1">
      <alignment horizontal="left" vertical="center" shrinkToFit="1"/>
    </xf>
    <xf numFmtId="0" fontId="25" fillId="0" borderId="2" xfId="0" applyFont="1" applyBorder="1" applyAlignment="1">
      <alignment horizontal="left" vertical="center" shrinkToFit="1"/>
    </xf>
    <xf numFmtId="0" fontId="25" fillId="0" borderId="0" xfId="0" applyFont="1" applyBorder="1" applyAlignment="1">
      <alignment horizontal="left" vertical="center" shrinkToFit="1"/>
    </xf>
    <xf numFmtId="0" fontId="26" fillId="0" borderId="0" xfId="0" applyFont="1" applyBorder="1" applyAlignment="1" applyProtection="1">
      <alignment horizontal="left" vertical="center" shrinkToFit="1"/>
    </xf>
  </cellXfs>
  <cellStyles count="3">
    <cellStyle name="Hipervínculo" xfId="2" builtinId="8"/>
    <cellStyle name="Normal" xfId="0" builtinId="0"/>
    <cellStyle name="Normal 2" xfId="1"/>
  </cellStyles>
  <dxfs count="42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1" dataDxfId="39" headerRowBorderDxfId="40" tableBorderDxfId="38" totalsRowBorderDxfId="37">
  <tableColumns count="5">
    <tableColumn id="1" name="CODIGO" dataDxfId="36"/>
    <tableColumn id="2" name="DETALLE" dataDxfId="35">
      <calculatedColumnFormula>IFERROR(VLOOKUP(Tabla2[[#This Row],[CODIGO]],Lince!$A$2:$E10000,3,FALSE),"")</calculatedColumnFormula>
    </tableColumn>
    <tableColumn id="5" name="COLOR" dataDxfId="34"/>
    <tableColumn id="3" name="TALLE" dataDxfId="33"/>
    <tableColumn id="4" name="CANT" dataDxfId="3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1" headerRowBorderDxfId="30" tableBorderDxfId="29" totalsRowBorderDxfId="28">
  <tableColumns count="5">
    <tableColumn id="1" name="CODIGO" dataDxfId="27"/>
    <tableColumn id="2" name="DETALLE" dataDxfId="26">
      <calculatedColumnFormula>IFERROR(VLOOKUP(Tabla24[[#This Row],[CODIGO]],Lince!$A$2:$E10000,3,FALSE),"")</calculatedColumnFormula>
    </tableColumn>
    <tableColumn id="5" name="COLOR" dataDxfId="25"/>
    <tableColumn id="3" name="TALLE" dataDxfId="24"/>
    <tableColumn id="4" name="CANT" dataDxfId="2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2" headerRowBorderDxfId="21" tableBorderDxfId="20" totalsRowBorderDxfId="19">
  <tableColumns count="5">
    <tableColumn id="1" name="CODIGO" dataDxfId="18"/>
    <tableColumn id="2" name="DETALLE" dataDxfId="17">
      <calculatedColumnFormula>IFERROR(VLOOKUP(Tabla245[[#This Row],[CODIGO]],Lince!$A$2:$E10000,3,FALSE),"")</calculatedColumnFormula>
    </tableColumn>
    <tableColumn id="5" name="COLOR" dataDxfId="16"/>
    <tableColumn id="3" name="TALLE" dataDxfId="15"/>
    <tableColumn id="4" name="CANT" dataDxfId="14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N212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zoomScale="120" zoomScaleNormal="120" workbookViewId="0">
      <selection activeCell="C14" sqref="C14:T1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14089</v>
      </c>
      <c r="X1" s="116" t="s">
        <v>14624</v>
      </c>
      <c r="Y1" s="116"/>
      <c r="Z1" s="154">
        <f ca="1">TODAY()</f>
        <v>44692</v>
      </c>
      <c r="AA1" s="155"/>
    </row>
    <row r="2" spans="1:27" ht="14.1" customHeight="1" x14ac:dyDescent="0.2">
      <c r="A2" s="169" t="s">
        <v>2776</v>
      </c>
      <c r="B2" s="163" t="str">
        <f>+Datos!B4</f>
        <v>RERDA S.A.</v>
      </c>
      <c r="C2" s="164"/>
      <c r="D2" s="164"/>
      <c r="E2" s="164"/>
      <c r="F2" s="164"/>
      <c r="G2" s="164"/>
      <c r="H2" s="164"/>
      <c r="I2" s="86"/>
      <c r="J2" s="86"/>
      <c r="K2" s="86"/>
      <c r="L2" s="86"/>
      <c r="M2" s="86"/>
      <c r="N2" s="86"/>
      <c r="O2" s="87"/>
      <c r="P2" s="141"/>
      <c r="Q2" s="142"/>
      <c r="R2" s="142"/>
      <c r="S2" s="142"/>
      <c r="T2" s="142"/>
      <c r="U2" s="143"/>
      <c r="W2" s="117" t="s">
        <v>14100</v>
      </c>
      <c r="X2" s="159" t="s">
        <v>14623</v>
      </c>
      <c r="Y2" s="159"/>
      <c r="Z2" s="159"/>
      <c r="AA2" s="159"/>
    </row>
    <row r="3" spans="1:27" ht="14.1" customHeight="1" x14ac:dyDescent="0.2">
      <c r="A3" s="170"/>
      <c r="B3" s="152" t="str">
        <f>+Datos!B6</f>
        <v>San Martín</v>
      </c>
      <c r="C3" s="153"/>
      <c r="D3" s="153"/>
      <c r="E3" s="153"/>
      <c r="F3" s="153"/>
      <c r="G3" s="153">
        <f>+Datos!B7</f>
        <v>1665</v>
      </c>
      <c r="H3" s="153"/>
      <c r="I3" s="153"/>
      <c r="J3" s="88"/>
      <c r="K3" s="18"/>
      <c r="L3" s="89"/>
      <c r="M3" s="150" t="str">
        <f>+Datos!B8</f>
        <v>Mendoza</v>
      </c>
      <c r="N3" s="150"/>
      <c r="O3" s="151"/>
      <c r="P3" s="144"/>
      <c r="Q3" s="145"/>
      <c r="R3" s="145"/>
      <c r="S3" s="145"/>
      <c r="T3" s="145"/>
      <c r="U3" s="146"/>
      <c r="W3" s="117" t="s">
        <v>14095</v>
      </c>
      <c r="X3" s="160"/>
      <c r="Y3" s="160"/>
      <c r="Z3" s="160"/>
      <c r="AA3" s="160"/>
    </row>
    <row r="4" spans="1:27" ht="14.1" customHeight="1" x14ac:dyDescent="0.2">
      <c r="A4" s="170"/>
      <c r="B4" s="188" t="str">
        <f>+Datos!B9</f>
        <v>Mendoza</v>
      </c>
      <c r="C4" s="150"/>
      <c r="D4" s="150"/>
      <c r="E4" s="150"/>
      <c r="F4" s="150"/>
      <c r="G4" s="150">
        <f>+Datos!B10</f>
        <v>5500</v>
      </c>
      <c r="H4" s="150"/>
      <c r="I4" s="150"/>
      <c r="J4" s="88"/>
      <c r="K4" s="88"/>
      <c r="L4" s="88"/>
      <c r="M4" s="88"/>
      <c r="N4" s="88"/>
      <c r="O4" s="90"/>
      <c r="P4" s="144"/>
      <c r="Q4" s="145"/>
      <c r="R4" s="145"/>
      <c r="S4" s="145"/>
      <c r="T4" s="145"/>
      <c r="U4" s="146"/>
      <c r="W4" s="118"/>
      <c r="X4" s="161"/>
      <c r="Y4" s="161"/>
      <c r="Z4" s="161"/>
      <c r="AA4" s="161"/>
    </row>
    <row r="5" spans="1:27" ht="14.1" customHeight="1" x14ac:dyDescent="0.2">
      <c r="A5" s="170"/>
      <c r="B5" s="172" t="str">
        <f>+Datos!B11</f>
        <v>ventas@rerda.com</v>
      </c>
      <c r="C5" s="173"/>
      <c r="D5" s="173"/>
      <c r="E5" s="173"/>
      <c r="F5" s="173"/>
      <c r="G5" s="173"/>
      <c r="H5" s="173"/>
      <c r="I5" s="91"/>
      <c r="J5" s="91"/>
      <c r="K5" s="92" t="s">
        <v>14091</v>
      </c>
      <c r="L5" s="189">
        <f>+Datos!B5</f>
        <v>30535195869</v>
      </c>
      <c r="M5" s="189"/>
      <c r="N5" s="189"/>
      <c r="O5" s="190"/>
      <c r="P5" s="144"/>
      <c r="Q5" s="145"/>
      <c r="R5" s="145"/>
      <c r="S5" s="145"/>
      <c r="T5" s="145"/>
      <c r="U5" s="146"/>
      <c r="W5" s="117" t="s">
        <v>14094</v>
      </c>
      <c r="X5" s="135">
        <v>9100</v>
      </c>
      <c r="Y5" s="135"/>
      <c r="Z5" s="135"/>
      <c r="AA5" s="135"/>
    </row>
    <row r="6" spans="1:27" ht="14.1" customHeight="1" x14ac:dyDescent="0.2">
      <c r="A6" s="171"/>
      <c r="B6" s="165" t="str">
        <f>+Datos!B12</f>
        <v>0261-4256567 | +549 2615117948</v>
      </c>
      <c r="C6" s="166"/>
      <c r="D6" s="166"/>
      <c r="E6" s="166"/>
      <c r="F6" s="166"/>
      <c r="G6" s="166"/>
      <c r="H6" s="166"/>
      <c r="I6" s="93"/>
      <c r="J6" s="93"/>
      <c r="K6" s="94" t="s">
        <v>14092</v>
      </c>
      <c r="L6" s="186">
        <f>+Datos!B3</f>
        <v>20355</v>
      </c>
      <c r="M6" s="186"/>
      <c r="N6" s="186"/>
      <c r="O6" s="187"/>
      <c r="P6" s="147"/>
      <c r="Q6" s="148"/>
      <c r="R6" s="148"/>
      <c r="S6" s="148"/>
      <c r="T6" s="148"/>
      <c r="U6" s="149"/>
      <c r="W6" s="117" t="s">
        <v>14105</v>
      </c>
      <c r="X6" s="135">
        <v>27363801</v>
      </c>
      <c r="Y6" s="135"/>
      <c r="Z6" s="135"/>
      <c r="AA6" s="135"/>
    </row>
    <row r="7" spans="1:27" ht="14.1" customHeight="1" x14ac:dyDescent="0.2">
      <c r="A7" s="95"/>
      <c r="B7" s="140" t="s">
        <v>14107</v>
      </c>
      <c r="C7" s="140"/>
      <c r="D7" s="140" t="str">
        <f>+X1</f>
        <v>SEBASTIAN ALVAREZ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96"/>
      <c r="W7" s="117" t="s">
        <v>14096</v>
      </c>
      <c r="X7" s="135">
        <v>2804370943</v>
      </c>
      <c r="Y7" s="135"/>
      <c r="Z7" s="135"/>
      <c r="AA7" s="135"/>
    </row>
    <row r="8" spans="1:27" ht="14.1" customHeight="1" x14ac:dyDescent="0.2">
      <c r="A8" s="177" t="s">
        <v>2785</v>
      </c>
      <c r="B8" s="178"/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9"/>
      <c r="W8" s="117" t="s">
        <v>14098</v>
      </c>
      <c r="X8" s="159" t="s">
        <v>566</v>
      </c>
      <c r="Y8" s="159"/>
      <c r="Z8" s="159"/>
      <c r="AA8" s="159"/>
    </row>
    <row r="9" spans="1:27" ht="14.1" customHeight="1" x14ac:dyDescent="0.2">
      <c r="A9" s="180"/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2"/>
      <c r="W9" s="117" t="s">
        <v>14097</v>
      </c>
      <c r="X9" s="159" t="s">
        <v>523</v>
      </c>
      <c r="Y9" s="159"/>
      <c r="Z9" s="159"/>
      <c r="AA9" s="159"/>
    </row>
    <row r="10" spans="1:27" ht="14.1" customHeight="1" x14ac:dyDescent="0.2">
      <c r="A10" s="183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5"/>
      <c r="W10" s="118"/>
      <c r="X10" s="118"/>
      <c r="Y10" s="118"/>
      <c r="Z10" s="118"/>
      <c r="AA10" s="118"/>
    </row>
    <row r="11" spans="1:27" ht="14.1" customHeight="1" x14ac:dyDescent="0.2">
      <c r="A11" s="97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98"/>
      <c r="W11" s="119" t="s">
        <v>2863</v>
      </c>
      <c r="X11" s="119" t="s">
        <v>14088</v>
      </c>
      <c r="Y11" s="120" t="s">
        <v>14117</v>
      </c>
      <c r="Z11" s="119" t="s">
        <v>12579</v>
      </c>
      <c r="AA11" s="119" t="s">
        <v>14101</v>
      </c>
    </row>
    <row r="12" spans="1:27" ht="14.1" customHeight="1" x14ac:dyDescent="0.2">
      <c r="A12" s="174" t="s">
        <v>2781</v>
      </c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100"/>
      <c r="M12" s="100"/>
      <c r="N12" s="100"/>
      <c r="O12" s="100"/>
      <c r="P12" s="100"/>
      <c r="Q12" s="101"/>
      <c r="R12" s="101"/>
      <c r="S12" s="101"/>
      <c r="T12" s="101"/>
      <c r="U12" s="102"/>
      <c r="W12" s="121">
        <v>4120800</v>
      </c>
      <c r="X12" s="122" t="str">
        <f>IFERROR(VLOOKUP(Tabla2[[#This Row],[CODIGO]],Lince!$A$2:$E10000,3,FALSE),"")</f>
        <v>CAMISA MC BAT CEL SOLAPA 34/44 RER</v>
      </c>
      <c r="Y12" s="128"/>
      <c r="Z12" s="129" t="s">
        <v>2805</v>
      </c>
      <c r="AA12" s="129">
        <v>1</v>
      </c>
    </row>
    <row r="13" spans="1:27" ht="14.1" customHeight="1" x14ac:dyDescent="0.2">
      <c r="A13" s="175"/>
      <c r="B13" s="103"/>
      <c r="C13" s="103"/>
      <c r="D13" s="103"/>
      <c r="E13" s="103"/>
      <c r="F13" s="103"/>
      <c r="G13" s="103"/>
      <c r="H13" s="103"/>
      <c r="I13" s="103"/>
      <c r="J13" s="104"/>
      <c r="K13" s="104"/>
      <c r="L13" s="139" t="s">
        <v>14106</v>
      </c>
      <c r="M13" s="139"/>
      <c r="N13" s="139"/>
      <c r="O13" s="139"/>
      <c r="P13" s="137">
        <f>+X6</f>
        <v>27363801</v>
      </c>
      <c r="Q13" s="138"/>
      <c r="R13" s="138"/>
      <c r="S13" s="138"/>
      <c r="T13" s="138"/>
      <c r="U13" s="105"/>
      <c r="W13" s="121">
        <v>5101171</v>
      </c>
      <c r="X13" s="122" t="str">
        <f>IFERROR(VLOOKUP(Tabla2[[#This Row],[CODIGO]],Lince!$A$2:$E10001,3,FALSE),"")</f>
        <v>CAMP POLAR AMERICANA NEGRA RER</v>
      </c>
      <c r="Y13" s="128"/>
      <c r="Z13" s="129" t="s">
        <v>14153</v>
      </c>
      <c r="AA13" s="129">
        <v>1</v>
      </c>
    </row>
    <row r="14" spans="1:27" ht="14.1" customHeight="1" x14ac:dyDescent="0.2">
      <c r="A14" s="175"/>
      <c r="B14" s="106"/>
      <c r="C14" s="282" t="str">
        <f>+X2</f>
        <v>Baez, Mirta Noemi</v>
      </c>
      <c r="D14" s="282"/>
      <c r="E14" s="282"/>
      <c r="F14" s="282"/>
      <c r="G14" s="282"/>
      <c r="H14" s="282"/>
      <c r="I14" s="282"/>
      <c r="J14" s="282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96"/>
      <c r="W14" s="121">
        <v>4120800</v>
      </c>
      <c r="X14" s="122" t="str">
        <f>IFERROR(VLOOKUP(Tabla2[[#This Row],[CODIGO]],Lince!$A$2:$E10002,3,FALSE),"")</f>
        <v>CAMISA MC BAT CEL SOLAPA 34/44 RER</v>
      </c>
      <c r="Y14" s="128" t="s">
        <v>14173</v>
      </c>
      <c r="Z14" s="129" t="s">
        <v>2805</v>
      </c>
      <c r="AA14" s="129">
        <v>1</v>
      </c>
    </row>
    <row r="15" spans="1:27" ht="14.1" customHeight="1" x14ac:dyDescent="0.2">
      <c r="A15" s="175"/>
      <c r="B15" s="106"/>
      <c r="C15" s="282"/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96"/>
      <c r="W15" s="121">
        <v>5101171</v>
      </c>
      <c r="X15" s="122" t="str">
        <f>IFERROR(VLOOKUP(Tabla2[[#This Row],[CODIGO]],Lince!$A$2:$E10003,3,FALSE),"")</f>
        <v>CAMP POLAR AMERICANA NEGRA RER</v>
      </c>
      <c r="Y15" s="128"/>
      <c r="Z15" s="129" t="s">
        <v>14153</v>
      </c>
      <c r="AA15" s="129">
        <v>1</v>
      </c>
    </row>
    <row r="16" spans="1:27" ht="14.1" customHeight="1" x14ac:dyDescent="0.2">
      <c r="A16" s="175"/>
      <c r="B16" s="99"/>
      <c r="C16" s="136">
        <f>+X3</f>
        <v>0</v>
      </c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136"/>
      <c r="U16" s="96"/>
      <c r="W16" s="121">
        <v>1120710</v>
      </c>
      <c r="X16" s="122" t="str">
        <f>IFERROR(VLOOKUP(Tabla2[[#This Row],[CODIGO]],Lince!$A$2:$E10004,3,FALSE),"")</f>
        <v>BOMB CLAS RIP AZUL DAMA/SPANDE 34/48 RER</v>
      </c>
      <c r="Y16" s="128"/>
      <c r="Z16" s="129"/>
      <c r="AA16" s="129"/>
    </row>
    <row r="17" spans="1:27" ht="14.1" customHeight="1" x14ac:dyDescent="0.2">
      <c r="A17" s="175"/>
      <c r="B17" s="99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96"/>
      <c r="W17" s="121"/>
      <c r="X17" s="122" t="str">
        <f>IFERROR(VLOOKUP(Tabla2[[#This Row],[CODIGO]],Lince!$A$2:$E10005,3,FALSE),"")</f>
        <v/>
      </c>
      <c r="Y17" s="128"/>
      <c r="Z17" s="129"/>
      <c r="AA17" s="129"/>
    </row>
    <row r="18" spans="1:27" ht="14.1" customHeight="1" x14ac:dyDescent="0.2">
      <c r="A18" s="175"/>
      <c r="B18" s="99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96"/>
      <c r="W18" s="121"/>
      <c r="X18" s="122" t="str">
        <f>IFERROR(VLOOKUP(Tabla2[[#This Row],[CODIGO]],Lince!$A$2:$E10006,3,FALSE),"")</f>
        <v/>
      </c>
      <c r="Y18" s="128"/>
      <c r="Z18" s="129"/>
      <c r="AA18" s="129"/>
    </row>
    <row r="19" spans="1:27" ht="14.1" customHeight="1" x14ac:dyDescent="0.2">
      <c r="A19" s="175"/>
      <c r="B19" s="107"/>
      <c r="C19" s="136" t="s">
        <v>14094</v>
      </c>
      <c r="D19" s="136"/>
      <c r="E19" s="162">
        <f>+X5</f>
        <v>9100</v>
      </c>
      <c r="F19" s="158"/>
      <c r="G19" s="168" t="str">
        <f>+X8</f>
        <v>TRELEW</v>
      </c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96"/>
      <c r="W19" s="121"/>
      <c r="X19" s="122" t="str">
        <f>IFERROR(VLOOKUP(Tabla2[[#This Row],[CODIGO]],Lince!$A$2:$E10007,3,FALSE),"")</f>
        <v/>
      </c>
      <c r="Y19" s="128"/>
      <c r="Z19" s="129"/>
      <c r="AA19" s="129"/>
    </row>
    <row r="20" spans="1:27" ht="14.1" customHeight="1" x14ac:dyDescent="0.2">
      <c r="A20" s="175"/>
      <c r="B20" s="107"/>
      <c r="C20" s="136"/>
      <c r="D20" s="136"/>
      <c r="E20" s="158"/>
      <c r="F20" s="15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96"/>
      <c r="W20" s="121"/>
      <c r="X20" s="122" t="str">
        <f>IFERROR(VLOOKUP(Tabla2[[#This Row],[CODIGO]],Lince!$A$2:$E10008,3,FALSE),"")</f>
        <v/>
      </c>
      <c r="Y20" s="128"/>
      <c r="Z20" s="129"/>
      <c r="AA20" s="129"/>
    </row>
    <row r="21" spans="1:27" ht="14.1" customHeight="1" x14ac:dyDescent="0.2">
      <c r="A21" s="175"/>
      <c r="B21" s="108"/>
      <c r="C21" s="167" t="str">
        <f>+X9</f>
        <v>CHUBUT</v>
      </c>
      <c r="D21" s="167"/>
      <c r="E21" s="167"/>
      <c r="F21" s="167"/>
      <c r="G21" s="167"/>
      <c r="H21" s="167"/>
      <c r="I21" s="167"/>
      <c r="J21" s="167"/>
      <c r="K21" s="109"/>
      <c r="L21" s="156" t="s">
        <v>14093</v>
      </c>
      <c r="M21" s="156"/>
      <c r="N21" s="156"/>
      <c r="O21" s="156"/>
      <c r="P21" s="157">
        <f>+X7</f>
        <v>2804370943</v>
      </c>
      <c r="Q21" s="157"/>
      <c r="R21" s="157"/>
      <c r="S21" s="157"/>
      <c r="T21" s="157"/>
      <c r="U21" s="96"/>
      <c r="W21" s="121"/>
      <c r="X21" s="122" t="str">
        <f>IFERROR(VLOOKUP(Tabla2[[#This Row],[CODIGO]],Lince!$A$2:$E10009,3,FALSE),"")</f>
        <v/>
      </c>
      <c r="Y21" s="128"/>
      <c r="Z21" s="129"/>
      <c r="AA21" s="129"/>
    </row>
    <row r="22" spans="1:27" ht="14.1" customHeight="1" x14ac:dyDescent="0.2">
      <c r="A22" s="175"/>
      <c r="B22" s="108"/>
      <c r="C22" s="167"/>
      <c r="D22" s="167"/>
      <c r="E22" s="167"/>
      <c r="F22" s="167"/>
      <c r="G22" s="167"/>
      <c r="H22" s="167"/>
      <c r="I22" s="167"/>
      <c r="J22" s="167"/>
      <c r="K22" s="109"/>
      <c r="L22" s="156"/>
      <c r="M22" s="156"/>
      <c r="N22" s="156"/>
      <c r="O22" s="156"/>
      <c r="P22" s="157"/>
      <c r="Q22" s="157"/>
      <c r="R22" s="157"/>
      <c r="S22" s="157"/>
      <c r="T22" s="157"/>
      <c r="U22" s="96"/>
      <c r="W22" s="121"/>
      <c r="X22" s="122" t="str">
        <f>IFERROR(VLOOKUP(Tabla2[[#This Row],[CODIGO]],Lince!$A$2:$E10010,3,FALSE),"")</f>
        <v/>
      </c>
      <c r="Y22" s="128"/>
      <c r="Z22" s="129"/>
      <c r="AA22" s="129"/>
    </row>
    <row r="23" spans="1:27" ht="14.1" customHeight="1" thickBot="1" x14ac:dyDescent="0.25">
      <c r="A23" s="176"/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1"/>
      <c r="W23" s="121"/>
      <c r="X23" s="122" t="str">
        <f>IFERROR(VLOOKUP(Tabla2[[#This Row],[CODIGO]],Lince!$A$2:$E10011,3,FALSE),"")</f>
        <v/>
      </c>
      <c r="Y23" s="128"/>
      <c r="Z23" s="129"/>
      <c r="AA23" s="129"/>
    </row>
    <row r="24" spans="1:27" ht="14.1" customHeight="1" x14ac:dyDescent="0.2">
      <c r="W24" s="121"/>
      <c r="X24" s="122" t="str">
        <f>IFERROR(VLOOKUP(Tabla2[[#This Row],[CODIGO]],Lince!$A$2:$E10012,3,FALSE),"")</f>
        <v/>
      </c>
      <c r="Y24" s="128"/>
      <c r="Z24" s="129"/>
      <c r="AA24" s="129"/>
    </row>
    <row r="25" spans="1:27" ht="14.1" customHeight="1" x14ac:dyDescent="0.2">
      <c r="W25" s="121"/>
      <c r="X25" s="122" t="str">
        <f>IFERROR(VLOOKUP(Tabla2[[#This Row],[CODIGO]],Lince!$A$2:$E10013,3,FALSE),"")</f>
        <v/>
      </c>
      <c r="Y25" s="128"/>
      <c r="Z25" s="129"/>
      <c r="AA25" s="129"/>
    </row>
    <row r="26" spans="1:27" ht="14.1" customHeight="1" x14ac:dyDescent="0.2">
      <c r="W26" s="121"/>
      <c r="X26" s="122" t="str">
        <f>IFERROR(VLOOKUP(Tabla2[[#This Row],[CODIGO]],Lince!$A$2:$E10014,3,FALSE),"")</f>
        <v/>
      </c>
      <c r="Y26" s="128"/>
      <c r="Z26" s="129"/>
      <c r="AA26" s="129"/>
    </row>
    <row r="27" spans="1:27" ht="14.1" customHeight="1" x14ac:dyDescent="0.2">
      <c r="W27" s="121"/>
      <c r="X27" s="122" t="str">
        <f>IFERROR(VLOOKUP(Tabla2[[#This Row],[CODIGO]],Lince!$A$2:$E10015,3,FALSE),"")</f>
        <v/>
      </c>
      <c r="Y27" s="128"/>
      <c r="Z27" s="129"/>
      <c r="AA27" s="129"/>
    </row>
    <row r="28" spans="1:27" ht="14.1" customHeight="1" x14ac:dyDescent="0.2">
      <c r="W28" s="121"/>
      <c r="X28" s="122" t="str">
        <f>IFERROR(VLOOKUP(Tabla2[[#This Row],[CODIGO]],Lince!$A$2:$E10016,3,FALSE),"")</f>
        <v/>
      </c>
      <c r="Y28" s="128"/>
      <c r="Z28" s="129"/>
      <c r="AA28" s="129"/>
    </row>
    <row r="29" spans="1:27" ht="14.1" customHeight="1" x14ac:dyDescent="0.2">
      <c r="W29" s="123"/>
      <c r="X29" s="122" t="str">
        <f>IFERROR(VLOOKUP(Tabla2[[#This Row],[CODIGO]],Lince!$A$2:$E10017,3,FALSE),"")</f>
        <v/>
      </c>
      <c r="Y29" s="130"/>
      <c r="Z29" s="131"/>
      <c r="AA29" s="131"/>
    </row>
    <row r="30" spans="1:27" ht="14.1" customHeight="1" x14ac:dyDescent="0.2">
      <c r="W30" s="121"/>
      <c r="X30" s="122" t="str">
        <f>IFERROR(VLOOKUP(Tabla2[[#This Row],[CODIGO]],Lince!$A$2:$E10018,3,FALSE),"")</f>
        <v/>
      </c>
      <c r="Y30" s="128"/>
      <c r="Z30" s="129"/>
      <c r="AA30" s="129"/>
    </row>
    <row r="31" spans="1:27" ht="14.1" customHeight="1" x14ac:dyDescent="0.2">
      <c r="W31" s="123"/>
      <c r="X31" s="122" t="str">
        <f>IFERROR(VLOOKUP(Tabla2[[#This Row],[CODIGO]],Lince!$A$2:$E10019,3,FALSE),"")</f>
        <v/>
      </c>
      <c r="Y31" s="130"/>
      <c r="Z31" s="131"/>
      <c r="AA31" s="131"/>
    </row>
    <row r="32" spans="1:27" ht="14.1" customHeight="1" x14ac:dyDescent="0.2">
      <c r="W32" s="121"/>
      <c r="X32" s="122" t="str">
        <f>IFERROR(VLOOKUP(Tabla2[[#This Row],[CODIGO]],Lince!$A$2:$E10020,3,FALSE),"")</f>
        <v/>
      </c>
      <c r="Y32" s="128"/>
      <c r="Z32" s="129"/>
      <c r="AA32" s="129"/>
    </row>
    <row r="33" spans="23:27" ht="14.1" customHeight="1" x14ac:dyDescent="0.2">
      <c r="W33" s="125" t="s">
        <v>14090</v>
      </c>
      <c r="X33" s="125"/>
      <c r="Y33" s="125"/>
      <c r="Z33" s="125"/>
      <c r="AA33" s="126">
        <f>SUBTOTAL(109,Tabla2[CANT])</f>
        <v>4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14103</v>
      </c>
      <c r="X35" s="118"/>
      <c r="Y35" s="118"/>
      <c r="Z35" s="118"/>
      <c r="AA35" s="11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tabSelected="1" zoomScale="120" zoomScaleNormal="120" workbookViewId="0">
      <selection activeCell="B7" sqref="B7:C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14089</v>
      </c>
      <c r="X1" s="116" t="s">
        <v>14624</v>
      </c>
      <c r="Y1" s="116"/>
      <c r="Z1" s="154">
        <f ca="1">TODAY()</f>
        <v>44692</v>
      </c>
      <c r="AA1" s="155"/>
    </row>
    <row r="2" spans="1:27" ht="14.1" customHeight="1" x14ac:dyDescent="0.2">
      <c r="A2" s="230" t="s">
        <v>2776</v>
      </c>
      <c r="B2" s="233" t="str">
        <f>+Datos!B4</f>
        <v>RERDA S.A.</v>
      </c>
      <c r="C2" s="234"/>
      <c r="D2" s="234"/>
      <c r="E2" s="234"/>
      <c r="F2" s="234"/>
      <c r="G2" s="234"/>
      <c r="H2" s="234"/>
      <c r="I2" s="40"/>
      <c r="J2" s="40"/>
      <c r="K2" s="40"/>
      <c r="L2" s="40"/>
      <c r="M2" s="40"/>
      <c r="N2" s="40"/>
      <c r="O2" s="43"/>
      <c r="P2" s="235"/>
      <c r="Q2" s="236"/>
      <c r="R2" s="236"/>
      <c r="S2" s="236"/>
      <c r="T2" s="236"/>
      <c r="U2" s="237"/>
      <c r="W2" s="117" t="s">
        <v>14100</v>
      </c>
      <c r="X2" s="159" t="s">
        <v>14625</v>
      </c>
      <c r="Y2" s="159"/>
      <c r="Z2" s="159"/>
      <c r="AA2" s="159"/>
    </row>
    <row r="3" spans="1:27" ht="14.1" customHeight="1" x14ac:dyDescent="0.2">
      <c r="A3" s="231"/>
      <c r="B3" s="244" t="str">
        <f>+Datos!B6</f>
        <v>San Martín</v>
      </c>
      <c r="C3" s="245"/>
      <c r="D3" s="245"/>
      <c r="E3" s="245"/>
      <c r="F3" s="245"/>
      <c r="G3" s="245">
        <f>+Datos!B7</f>
        <v>1665</v>
      </c>
      <c r="H3" s="245"/>
      <c r="I3" s="245"/>
      <c r="J3" s="44"/>
      <c r="L3" s="46"/>
      <c r="M3" s="246" t="str">
        <f>+Datos!B8</f>
        <v>Mendoza</v>
      </c>
      <c r="N3" s="246"/>
      <c r="O3" s="247"/>
      <c r="P3" s="238"/>
      <c r="Q3" s="239"/>
      <c r="R3" s="239"/>
      <c r="S3" s="239"/>
      <c r="T3" s="239"/>
      <c r="U3" s="240"/>
      <c r="W3" s="117" t="s">
        <v>14095</v>
      </c>
      <c r="X3" s="160"/>
      <c r="Y3" s="160"/>
      <c r="Z3" s="160"/>
      <c r="AA3" s="160"/>
    </row>
    <row r="4" spans="1:27" ht="14.1" customHeight="1" x14ac:dyDescent="0.2">
      <c r="A4" s="231"/>
      <c r="B4" s="248" t="str">
        <f>+Datos!B9</f>
        <v>Mendoza</v>
      </c>
      <c r="C4" s="246"/>
      <c r="D4" s="246"/>
      <c r="E4" s="246"/>
      <c r="F4" s="246"/>
      <c r="G4" s="246">
        <f>+Datos!B10</f>
        <v>5500</v>
      </c>
      <c r="H4" s="246"/>
      <c r="I4" s="246"/>
      <c r="J4" s="44"/>
      <c r="K4" s="44"/>
      <c r="L4" s="44"/>
      <c r="M4" s="44"/>
      <c r="N4" s="44"/>
      <c r="O4" s="45"/>
      <c r="P4" s="238"/>
      <c r="Q4" s="239"/>
      <c r="R4" s="239"/>
      <c r="S4" s="239"/>
      <c r="T4" s="239"/>
      <c r="U4" s="240"/>
      <c r="W4" s="118"/>
      <c r="X4" s="161"/>
      <c r="Y4" s="161"/>
      <c r="Z4" s="161"/>
      <c r="AA4" s="161"/>
    </row>
    <row r="5" spans="1:27" ht="14.1" customHeight="1" x14ac:dyDescent="0.2">
      <c r="A5" s="231"/>
      <c r="B5" s="249" t="str">
        <f>+Datos!B11</f>
        <v>ventas@rerda.com</v>
      </c>
      <c r="C5" s="250"/>
      <c r="D5" s="250"/>
      <c r="E5" s="250"/>
      <c r="F5" s="250"/>
      <c r="G5" s="250"/>
      <c r="H5" s="250"/>
      <c r="I5" s="47"/>
      <c r="J5" s="47"/>
      <c r="K5" s="49" t="s">
        <v>14091</v>
      </c>
      <c r="L5" s="251">
        <f>+Datos!B5</f>
        <v>30535195869</v>
      </c>
      <c r="M5" s="251"/>
      <c r="N5" s="251"/>
      <c r="O5" s="252"/>
      <c r="P5" s="238"/>
      <c r="Q5" s="239"/>
      <c r="R5" s="239"/>
      <c r="S5" s="239"/>
      <c r="T5" s="239"/>
      <c r="U5" s="240"/>
      <c r="W5" s="117" t="s">
        <v>14094</v>
      </c>
      <c r="X5" s="135">
        <v>9120</v>
      </c>
      <c r="Y5" s="135"/>
      <c r="Z5" s="135"/>
      <c r="AA5" s="135"/>
    </row>
    <row r="6" spans="1:27" ht="14.1" customHeight="1" x14ac:dyDescent="0.2">
      <c r="A6" s="232"/>
      <c r="B6" s="253" t="str">
        <f>+Datos!B12</f>
        <v>0261-4256567 | +549 2615117948</v>
      </c>
      <c r="C6" s="254"/>
      <c r="D6" s="254"/>
      <c r="E6" s="254"/>
      <c r="F6" s="254"/>
      <c r="G6" s="254"/>
      <c r="H6" s="254"/>
      <c r="I6" s="48"/>
      <c r="J6" s="48"/>
      <c r="K6" s="50" t="s">
        <v>14092</v>
      </c>
      <c r="L6" s="255">
        <f>+Datos!B3</f>
        <v>20355</v>
      </c>
      <c r="M6" s="255"/>
      <c r="N6" s="255"/>
      <c r="O6" s="256"/>
      <c r="P6" s="241"/>
      <c r="Q6" s="242"/>
      <c r="R6" s="242"/>
      <c r="S6" s="242"/>
      <c r="T6" s="242"/>
      <c r="U6" s="243"/>
      <c r="W6" s="117" t="s">
        <v>14105</v>
      </c>
      <c r="X6" s="135">
        <v>42898017</v>
      </c>
      <c r="Y6" s="135"/>
      <c r="Z6" s="135"/>
      <c r="AA6" s="135"/>
    </row>
    <row r="7" spans="1:27" ht="14.1" customHeight="1" x14ac:dyDescent="0.2">
      <c r="A7" s="41"/>
      <c r="B7" s="210" t="s">
        <v>14107</v>
      </c>
      <c r="C7" s="210"/>
      <c r="D7" s="210" t="str">
        <f>+X1</f>
        <v>SEBASTIAN ALVAREZ</v>
      </c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42"/>
      <c r="W7" s="117" t="s">
        <v>14096</v>
      </c>
      <c r="X7" s="135">
        <v>2805080236</v>
      </c>
      <c r="Y7" s="135"/>
      <c r="Z7" s="135"/>
      <c r="AA7" s="135"/>
    </row>
    <row r="8" spans="1:27" ht="14.1" customHeight="1" x14ac:dyDescent="0.2">
      <c r="A8" s="213" t="s">
        <v>2789</v>
      </c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5"/>
      <c r="W8" s="117" t="s">
        <v>14098</v>
      </c>
      <c r="X8" s="159" t="s">
        <v>605</v>
      </c>
      <c r="Y8" s="159"/>
      <c r="Z8" s="159"/>
      <c r="AA8" s="159"/>
    </row>
    <row r="9" spans="1:27" ht="14.1" customHeight="1" x14ac:dyDescent="0.2">
      <c r="A9" s="216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8"/>
      <c r="W9" s="117" t="s">
        <v>14097</v>
      </c>
      <c r="X9" s="159" t="s">
        <v>523</v>
      </c>
      <c r="Y9" s="159"/>
      <c r="Z9" s="159"/>
      <c r="AA9" s="159"/>
    </row>
    <row r="10" spans="1:27" ht="14.1" customHeight="1" x14ac:dyDescent="0.2">
      <c r="A10" s="219"/>
      <c r="B10" s="220"/>
      <c r="C10" s="220"/>
      <c r="D10" s="220"/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O10" s="220"/>
      <c r="P10" s="220"/>
      <c r="Q10" s="220"/>
      <c r="R10" s="220"/>
      <c r="S10" s="220"/>
      <c r="T10" s="220"/>
      <c r="U10" s="221"/>
      <c r="W10" s="118"/>
      <c r="X10" s="118"/>
      <c r="Y10" s="118"/>
      <c r="Z10" s="118"/>
      <c r="AA10" s="118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119" t="s">
        <v>2863</v>
      </c>
      <c r="X11" s="119" t="s">
        <v>14088</v>
      </c>
      <c r="Y11" s="119" t="s">
        <v>14117</v>
      </c>
      <c r="Z11" s="119" t="s">
        <v>12579</v>
      </c>
      <c r="AA11" s="127" t="s">
        <v>14101</v>
      </c>
    </row>
    <row r="12" spans="1:27" ht="14.1" customHeight="1" x14ac:dyDescent="0.2">
      <c r="A12" s="67"/>
      <c r="B12" s="197" t="s">
        <v>2786</v>
      </c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68"/>
      <c r="N12" s="80"/>
      <c r="O12" s="196" t="s">
        <v>14108</v>
      </c>
      <c r="P12" s="196"/>
      <c r="Q12" s="196"/>
      <c r="R12" s="196"/>
      <c r="S12" s="196"/>
      <c r="T12" s="196"/>
      <c r="U12" s="71"/>
      <c r="W12" s="121">
        <v>5101999</v>
      </c>
      <c r="X12" s="122" t="str">
        <f>IFERROR(VLOOKUP(Tabla24[[#This Row],[CODIGO]],Lince!$A$2:$E10000,3,FALSE),"")</f>
        <v>CAMP PALMAJ AZUL 3XS/2XL RER</v>
      </c>
      <c r="Y12" s="128"/>
      <c r="Z12" s="129" t="s">
        <v>14133</v>
      </c>
      <c r="AA12" s="132">
        <v>1</v>
      </c>
    </row>
    <row r="13" spans="1:27" ht="14.1" customHeight="1" x14ac:dyDescent="0.2">
      <c r="A13" s="69"/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70"/>
      <c r="N13" s="80"/>
      <c r="O13" s="196"/>
      <c r="P13" s="196"/>
      <c r="Q13" s="196"/>
      <c r="R13" s="196"/>
      <c r="S13" s="196"/>
      <c r="T13" s="196"/>
      <c r="U13" s="71"/>
      <c r="W13" s="121"/>
      <c r="X13" s="122" t="str">
        <f>IFERROR(VLOOKUP(Tabla24[[#This Row],[CODIGO]],Lince!$A$2:$E10001,3,FALSE),"")</f>
        <v/>
      </c>
      <c r="Y13" s="128"/>
      <c r="Z13" s="129"/>
      <c r="AA13" s="132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121"/>
      <c r="X14" s="122" t="str">
        <f>IFERROR(VLOOKUP(Tabla24[[#This Row],[CODIGO]],Lince!$A$2:$E10002,3,FALSE),"")</f>
        <v/>
      </c>
      <c r="Y14" s="128"/>
      <c r="Z14" s="129"/>
      <c r="AA14" s="132"/>
    </row>
    <row r="15" spans="1:27" ht="14.1" customHeight="1" x14ac:dyDescent="0.2">
      <c r="A15" s="200" t="s">
        <v>2781</v>
      </c>
      <c r="B15" s="72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4"/>
      <c r="W15" s="121"/>
      <c r="X15" s="122" t="str">
        <f>IFERROR(VLOOKUP(Tabla24[[#This Row],[CODIGO]],Lince!$A$2:$E10003,3,FALSE),"")</f>
        <v/>
      </c>
      <c r="Y15" s="128"/>
      <c r="Z15" s="129"/>
      <c r="AA15" s="132"/>
    </row>
    <row r="16" spans="1:27" ht="14.1" customHeight="1" x14ac:dyDescent="0.2">
      <c r="A16" s="201"/>
      <c r="B16" s="278" t="str">
        <f>+X2</f>
        <v>Jones, Jessica Valeria</v>
      </c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03" t="s">
        <v>14106</v>
      </c>
      <c r="O16" s="203"/>
      <c r="P16" s="203"/>
      <c r="Q16" s="204">
        <f>+X6</f>
        <v>42898017</v>
      </c>
      <c r="R16" s="205"/>
      <c r="S16" s="205"/>
      <c r="T16" s="206"/>
      <c r="U16" s="74"/>
      <c r="W16" s="121"/>
      <c r="X16" s="122" t="str">
        <f>IFERROR(VLOOKUP(Tabla24[[#This Row],[CODIGO]],Lince!$A$2:$E10004,3,FALSE),"")</f>
        <v/>
      </c>
      <c r="Y16" s="128"/>
      <c r="Z16" s="129"/>
      <c r="AA16" s="132"/>
    </row>
    <row r="17" spans="1:27" ht="14.1" customHeight="1" x14ac:dyDescent="0.2">
      <c r="A17" s="201"/>
      <c r="B17" s="280"/>
      <c r="C17" s="281"/>
      <c r="D17" s="281"/>
      <c r="E17" s="281"/>
      <c r="F17" s="281"/>
      <c r="G17" s="281"/>
      <c r="H17" s="281"/>
      <c r="I17" s="281"/>
      <c r="J17" s="281"/>
      <c r="K17" s="281"/>
      <c r="L17" s="281"/>
      <c r="M17" s="281"/>
      <c r="N17" s="54"/>
      <c r="O17" s="55"/>
      <c r="P17" s="55"/>
      <c r="Q17" s="55"/>
      <c r="R17" s="55"/>
      <c r="S17" s="55"/>
      <c r="T17" s="77"/>
      <c r="U17" s="74"/>
      <c r="W17" s="121"/>
      <c r="X17" s="122" t="str">
        <f>IFERROR(VLOOKUP(Tabla24[[#This Row],[CODIGO]],Lince!$A$2:$E10005,3,FALSE),"")</f>
        <v/>
      </c>
      <c r="Y17" s="128"/>
      <c r="Z17" s="129"/>
      <c r="AA17" s="132"/>
    </row>
    <row r="18" spans="1:27" ht="14.1" customHeight="1" x14ac:dyDescent="0.2">
      <c r="A18" s="201"/>
      <c r="B18" s="211" t="s">
        <v>1435</v>
      </c>
      <c r="C18" s="212"/>
      <c r="D18" s="212"/>
      <c r="E18" s="199" t="str">
        <f>VLOOKUP(R18,Sucursales!A:B,2,FALSE)</f>
        <v>PUERTO MADRYN</v>
      </c>
      <c r="F18" s="199"/>
      <c r="G18" s="199"/>
      <c r="H18" s="199"/>
      <c r="I18" s="199"/>
      <c r="J18" s="199"/>
      <c r="K18" s="199"/>
      <c r="L18" s="199"/>
      <c r="M18" s="54"/>
      <c r="N18" s="195" t="s">
        <v>2791</v>
      </c>
      <c r="O18" s="195"/>
      <c r="P18" s="195"/>
      <c r="Q18" s="195"/>
      <c r="R18" s="193" t="s">
        <v>604</v>
      </c>
      <c r="S18" s="193"/>
      <c r="T18" s="194"/>
      <c r="U18" s="74"/>
      <c r="W18" s="121"/>
      <c r="X18" s="122" t="str">
        <f>IFERROR(VLOOKUP(Tabla24[[#This Row],[CODIGO]],Lince!$A$2:$E10006,3,FALSE),"")</f>
        <v/>
      </c>
      <c r="Y18" s="128"/>
      <c r="Z18" s="129"/>
      <c r="AA18" s="132"/>
    </row>
    <row r="19" spans="1:27" ht="14.1" customHeight="1" x14ac:dyDescent="0.2">
      <c r="A19" s="201"/>
      <c r="B19" s="191" t="s">
        <v>1436</v>
      </c>
      <c r="C19" s="192"/>
      <c r="D19" s="192"/>
      <c r="E19" s="199"/>
      <c r="F19" s="199"/>
      <c r="G19" s="199"/>
      <c r="H19" s="199"/>
      <c r="I19" s="199"/>
      <c r="J19" s="199"/>
      <c r="K19" s="199"/>
      <c r="L19" s="199"/>
      <c r="M19" s="53"/>
      <c r="N19" s="195"/>
      <c r="O19" s="195"/>
      <c r="P19" s="195"/>
      <c r="Q19" s="195"/>
      <c r="R19" s="193"/>
      <c r="S19" s="193"/>
      <c r="T19" s="194"/>
      <c r="U19" s="74"/>
      <c r="W19" s="121"/>
      <c r="X19" s="122" t="str">
        <f>IFERROR(VLOOKUP(Tabla24[[#This Row],[CODIGO]],Lince!$A$2:$E10007,3,FALSE),"")</f>
        <v/>
      </c>
      <c r="Y19" s="128"/>
      <c r="Z19" s="129"/>
      <c r="AA19" s="132"/>
    </row>
    <row r="20" spans="1:27" ht="14.1" customHeight="1" x14ac:dyDescent="0.2">
      <c r="A20" s="201"/>
      <c r="B20" s="226" t="str">
        <f>VLOOKUP(R18,Sucursales!A:G,6,FALSE)</f>
        <v>U9120ZAA</v>
      </c>
      <c r="C20" s="227"/>
      <c r="D20" s="227"/>
      <c r="E20" s="227"/>
      <c r="G20" s="228" t="str">
        <f>VLOOKUP(R18,Sucursales!A:H,7,FALSE)</f>
        <v>PUERTO MADRYN</v>
      </c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  <c r="T20" s="229"/>
      <c r="U20" s="74"/>
      <c r="W20" s="121"/>
      <c r="X20" s="122" t="str">
        <f>IFERROR(VLOOKUP(Tabla24[[#This Row],[CODIGO]],Lince!$A$2:$E10008,3,FALSE),"")</f>
        <v/>
      </c>
      <c r="Y20" s="128"/>
      <c r="Z20" s="129"/>
      <c r="AA20" s="132"/>
    </row>
    <row r="21" spans="1:27" ht="14.1" customHeight="1" x14ac:dyDescent="0.2">
      <c r="A21" s="201"/>
      <c r="B21" s="222" t="str">
        <f>VLOOKUP(R18,Sucursales!A:H,8,FALSE)</f>
        <v>CHUBUT</v>
      </c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53"/>
      <c r="N21" s="56"/>
      <c r="O21" s="56"/>
      <c r="P21" s="51"/>
      <c r="Q21" s="51"/>
      <c r="R21" s="51"/>
      <c r="S21" s="51"/>
      <c r="T21" s="52"/>
      <c r="U21" s="74"/>
      <c r="W21" s="121"/>
      <c r="X21" s="122" t="str">
        <f>IFERROR(VLOOKUP(Tabla24[[#This Row],[CODIGO]],Lince!$A$2:$E10009,3,FALSE),"")</f>
        <v/>
      </c>
      <c r="Y21" s="128"/>
      <c r="Z21" s="129"/>
      <c r="AA21" s="132"/>
    </row>
    <row r="22" spans="1:27" ht="14.1" customHeight="1" x14ac:dyDescent="0.2">
      <c r="A22" s="201"/>
      <c r="B22" s="223"/>
      <c r="C22" s="224"/>
      <c r="D22" s="224"/>
      <c r="E22" s="224"/>
      <c r="F22" s="224"/>
      <c r="G22" s="224"/>
      <c r="H22" s="224"/>
      <c r="I22" s="224"/>
      <c r="J22" s="224"/>
      <c r="K22" s="224"/>
      <c r="L22" s="224"/>
      <c r="M22" s="225" t="s">
        <v>14109</v>
      </c>
      <c r="N22" s="225"/>
      <c r="O22" s="225"/>
      <c r="P22" s="225"/>
      <c r="Q22" s="207">
        <f>+X7</f>
        <v>2805080236</v>
      </c>
      <c r="R22" s="208"/>
      <c r="S22" s="208"/>
      <c r="T22" s="209"/>
      <c r="U22" s="74"/>
      <c r="W22" s="121"/>
      <c r="X22" s="122" t="str">
        <f>IFERROR(VLOOKUP(Tabla24[[#This Row],[CODIGO]],Lince!$A$2:$E10010,3,FALSE),"")</f>
        <v/>
      </c>
      <c r="Y22" s="128"/>
      <c r="Z22" s="129"/>
      <c r="AA22" s="132"/>
    </row>
    <row r="23" spans="1:27" ht="14.1" customHeight="1" thickBot="1" x14ac:dyDescent="0.25">
      <c r="A23" s="202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W23" s="121"/>
      <c r="X23" s="122" t="str">
        <f>IFERROR(VLOOKUP(Tabla24[[#This Row],[CODIGO]],Lince!$A$2:$E10011,3,FALSE),"")</f>
        <v/>
      </c>
      <c r="Y23" s="128"/>
      <c r="Z23" s="129"/>
      <c r="AA23" s="132"/>
    </row>
    <row r="24" spans="1:27" ht="14.1" customHeight="1" x14ac:dyDescent="0.2">
      <c r="W24" s="121"/>
      <c r="X24" s="122" t="str">
        <f>IFERROR(VLOOKUP(Tabla24[[#This Row],[CODIGO]],Lince!$A$2:$E10012,3,FALSE),"")</f>
        <v/>
      </c>
      <c r="Y24" s="128"/>
      <c r="Z24" s="129"/>
      <c r="AA24" s="132"/>
    </row>
    <row r="25" spans="1:27" ht="14.1" customHeight="1" x14ac:dyDescent="0.2">
      <c r="W25" s="121"/>
      <c r="X25" s="122" t="str">
        <f>IFERROR(VLOOKUP(Tabla24[[#This Row],[CODIGO]],Lince!$A$2:$E10013,3,FALSE),"")</f>
        <v/>
      </c>
      <c r="Y25" s="128"/>
      <c r="Z25" s="129"/>
      <c r="AA25" s="132"/>
    </row>
    <row r="26" spans="1:27" ht="14.1" customHeight="1" x14ac:dyDescent="0.2">
      <c r="W26" s="121"/>
      <c r="X26" s="122" t="str">
        <f>IFERROR(VLOOKUP(Tabla24[[#This Row],[CODIGO]],Lince!$A$2:$E10014,3,FALSE),"")</f>
        <v/>
      </c>
      <c r="Y26" s="128"/>
      <c r="Z26" s="129"/>
      <c r="AA26" s="132"/>
    </row>
    <row r="27" spans="1:27" ht="14.1" customHeight="1" x14ac:dyDescent="0.2">
      <c r="W27" s="121"/>
      <c r="X27" s="122" t="str">
        <f>IFERROR(VLOOKUP(Tabla24[[#This Row],[CODIGO]],Lince!$A$2:$E10015,3,FALSE),"")</f>
        <v/>
      </c>
      <c r="Y27" s="128"/>
      <c r="Z27" s="129"/>
      <c r="AA27" s="132"/>
    </row>
    <row r="28" spans="1:27" ht="14.1" customHeight="1" x14ac:dyDescent="0.2">
      <c r="W28" s="121"/>
      <c r="X28" s="122" t="str">
        <f>IFERROR(VLOOKUP(Tabla24[[#This Row],[CODIGO]],Lince!$A$2:$E10016,3,FALSE),"")</f>
        <v/>
      </c>
      <c r="Y28" s="128"/>
      <c r="Z28" s="129"/>
      <c r="AA28" s="132"/>
    </row>
    <row r="29" spans="1:27" ht="14.1" customHeight="1" x14ac:dyDescent="0.2">
      <c r="W29" s="123"/>
      <c r="X29" s="122" t="str">
        <f>IFERROR(VLOOKUP(Tabla24[[#This Row],[CODIGO]],Lince!$A$2:$E10017,3,FALSE),"")</f>
        <v/>
      </c>
      <c r="Y29" s="130"/>
      <c r="Z29" s="131"/>
      <c r="AA29" s="133"/>
    </row>
    <row r="30" spans="1:27" ht="14.1" customHeight="1" x14ac:dyDescent="0.2">
      <c r="W30" s="121"/>
      <c r="X30" s="122" t="str">
        <f>IFERROR(VLOOKUP(Tabla24[[#This Row],[CODIGO]],Lince!$A$2:$E10018,3,FALSE),"")</f>
        <v/>
      </c>
      <c r="Y30" s="128"/>
      <c r="Z30" s="129"/>
      <c r="AA30" s="132"/>
    </row>
    <row r="31" spans="1:27" ht="14.1" customHeight="1" x14ac:dyDescent="0.2">
      <c r="W31" s="123"/>
      <c r="X31" s="122" t="str">
        <f>IFERROR(VLOOKUP(Tabla24[[#This Row],[CODIGO]],Lince!$A$2:$E10019,3,FALSE),"")</f>
        <v/>
      </c>
      <c r="Y31" s="130"/>
      <c r="Z31" s="131"/>
      <c r="AA31" s="133"/>
    </row>
    <row r="32" spans="1:27" ht="14.1" customHeight="1" x14ac:dyDescent="0.2">
      <c r="W32" s="123"/>
      <c r="X32" s="124" t="str">
        <f>IFERROR(VLOOKUP(Tabla24[[#This Row],[CODIGO]],Lince!$A$2:$E10020,3,FALSE),"")</f>
        <v/>
      </c>
      <c r="Y32" s="128"/>
      <c r="Z32" s="129"/>
      <c r="AA32" s="133"/>
    </row>
    <row r="33" spans="23:27" ht="14.1" customHeight="1" x14ac:dyDescent="0.2">
      <c r="W33" s="134" t="s">
        <v>14090</v>
      </c>
      <c r="X33" s="125"/>
      <c r="Y33" s="125"/>
      <c r="Z33" s="125"/>
      <c r="AA33" s="126">
        <f>SUBTOTAL(109,Tabla24[CANT])</f>
        <v>1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14103</v>
      </c>
      <c r="X35" s="118"/>
      <c r="Y35" s="118"/>
      <c r="Z35" s="118"/>
      <c r="AA35" s="11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zoomScale="120" zoomScaleNormal="120" workbookViewId="0">
      <selection activeCell="B16" sqref="B16:M1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14089</v>
      </c>
      <c r="X1" s="116" t="s">
        <v>1218</v>
      </c>
      <c r="Y1" s="116"/>
      <c r="Z1" s="154">
        <f ca="1">TODAY()</f>
        <v>44692</v>
      </c>
      <c r="AA1" s="155"/>
    </row>
    <row r="2" spans="1:27" ht="14.1" customHeight="1" x14ac:dyDescent="0.2">
      <c r="A2" s="230" t="s">
        <v>2776</v>
      </c>
      <c r="B2" s="273" t="str">
        <f>+Datos!B4</f>
        <v>RERDA S.A.</v>
      </c>
      <c r="C2" s="274"/>
      <c r="D2" s="274"/>
      <c r="E2" s="274"/>
      <c r="F2" s="274"/>
      <c r="G2" s="275" t="s">
        <v>14110</v>
      </c>
      <c r="H2" s="275"/>
      <c r="I2" s="275"/>
      <c r="J2" s="275"/>
      <c r="K2" s="275"/>
      <c r="L2" s="275"/>
      <c r="M2" s="275"/>
      <c r="N2" s="275"/>
      <c r="O2" s="276"/>
      <c r="P2" s="235"/>
      <c r="Q2" s="236"/>
      <c r="R2" s="236"/>
      <c r="S2" s="236"/>
      <c r="T2" s="236"/>
      <c r="U2" s="237"/>
      <c r="W2" s="117" t="s">
        <v>14100</v>
      </c>
      <c r="X2" s="159" t="s">
        <v>14104</v>
      </c>
      <c r="Y2" s="159"/>
      <c r="Z2" s="159"/>
      <c r="AA2" s="159"/>
    </row>
    <row r="3" spans="1:27" ht="14.1" customHeight="1" x14ac:dyDescent="0.2">
      <c r="A3" s="231"/>
      <c r="B3" s="244" t="str">
        <f>+Datos!B6</f>
        <v>San Martín</v>
      </c>
      <c r="C3" s="245"/>
      <c r="D3" s="245"/>
      <c r="E3" s="245"/>
      <c r="F3" s="245"/>
      <c r="G3" s="245">
        <f>+Datos!B7</f>
        <v>1665</v>
      </c>
      <c r="H3" s="245"/>
      <c r="I3" s="245"/>
      <c r="J3" s="44"/>
      <c r="L3" s="46"/>
      <c r="M3" s="246" t="str">
        <f>+Datos!B8</f>
        <v>Mendoza</v>
      </c>
      <c r="N3" s="246"/>
      <c r="O3" s="247"/>
      <c r="P3" s="238"/>
      <c r="Q3" s="239"/>
      <c r="R3" s="239"/>
      <c r="S3" s="239"/>
      <c r="T3" s="239"/>
      <c r="U3" s="240"/>
      <c r="W3" s="117" t="s">
        <v>14095</v>
      </c>
      <c r="X3" s="160" t="s">
        <v>14112</v>
      </c>
      <c r="Y3" s="160"/>
      <c r="Z3" s="160"/>
      <c r="AA3" s="160"/>
    </row>
    <row r="4" spans="1:27" ht="14.1" customHeight="1" x14ac:dyDescent="0.2">
      <c r="A4" s="231"/>
      <c r="B4" s="248" t="str">
        <f>+Datos!B9</f>
        <v>Mendoza</v>
      </c>
      <c r="C4" s="246"/>
      <c r="D4" s="246"/>
      <c r="E4" s="246"/>
      <c r="F4" s="246"/>
      <c r="G4" s="246">
        <f>+Datos!B10</f>
        <v>5500</v>
      </c>
      <c r="H4" s="246"/>
      <c r="I4" s="246"/>
      <c r="J4" s="44"/>
      <c r="K4" s="44"/>
      <c r="L4" s="44"/>
      <c r="M4" s="44"/>
      <c r="N4" s="44"/>
      <c r="O4" s="45"/>
      <c r="P4" s="238"/>
      <c r="Q4" s="239"/>
      <c r="R4" s="239"/>
      <c r="S4" s="239"/>
      <c r="T4" s="239"/>
      <c r="U4" s="240"/>
      <c r="W4" s="118"/>
      <c r="X4" s="161"/>
      <c r="Y4" s="161"/>
      <c r="Z4" s="161"/>
      <c r="AA4" s="161"/>
    </row>
    <row r="5" spans="1:27" ht="14.1" customHeight="1" x14ac:dyDescent="0.2">
      <c r="A5" s="231"/>
      <c r="B5" s="249" t="str">
        <f>+Datos!B11</f>
        <v>ventas@rerda.com</v>
      </c>
      <c r="C5" s="250"/>
      <c r="D5" s="250"/>
      <c r="E5" s="250"/>
      <c r="F5" s="250"/>
      <c r="G5" s="250"/>
      <c r="H5" s="250"/>
      <c r="I5" s="47"/>
      <c r="J5" s="47"/>
      <c r="K5" s="49" t="s">
        <v>14091</v>
      </c>
      <c r="L5" s="251">
        <f>+Datos!B5</f>
        <v>30535195869</v>
      </c>
      <c r="M5" s="251"/>
      <c r="N5" s="251"/>
      <c r="O5" s="252"/>
      <c r="P5" s="238"/>
      <c r="Q5" s="239"/>
      <c r="R5" s="239"/>
      <c r="S5" s="239"/>
      <c r="T5" s="239"/>
      <c r="U5" s="240"/>
      <c r="W5" s="117" t="s">
        <v>14094</v>
      </c>
      <c r="X5" s="135">
        <v>4121</v>
      </c>
      <c r="Y5" s="135"/>
      <c r="Z5" s="135"/>
      <c r="AA5" s="135"/>
    </row>
    <row r="6" spans="1:27" ht="14.1" customHeight="1" x14ac:dyDescent="0.2">
      <c r="A6" s="232"/>
      <c r="B6" s="253" t="str">
        <f>+Datos!B12</f>
        <v>0261-4256567 | +549 2615117948</v>
      </c>
      <c r="C6" s="254"/>
      <c r="D6" s="254"/>
      <c r="E6" s="254"/>
      <c r="F6" s="254"/>
      <c r="G6" s="254"/>
      <c r="H6" s="254"/>
      <c r="I6" s="48"/>
      <c r="J6" s="48"/>
      <c r="K6" s="50" t="s">
        <v>14092</v>
      </c>
      <c r="L6" s="255">
        <f>+Datos!B3</f>
        <v>20355</v>
      </c>
      <c r="M6" s="255"/>
      <c r="N6" s="255"/>
      <c r="O6" s="256"/>
      <c r="P6" s="241"/>
      <c r="Q6" s="242"/>
      <c r="R6" s="242"/>
      <c r="S6" s="242"/>
      <c r="T6" s="242"/>
      <c r="U6" s="243"/>
      <c r="W6" s="117" t="s">
        <v>14105</v>
      </c>
      <c r="X6" s="135" t="s">
        <v>14111</v>
      </c>
      <c r="Y6" s="135"/>
      <c r="Z6" s="135"/>
      <c r="AA6" s="135"/>
    </row>
    <row r="7" spans="1:27" ht="14.1" customHeight="1" x14ac:dyDescent="0.2">
      <c r="A7" s="41"/>
      <c r="B7" s="210" t="s">
        <v>14107</v>
      </c>
      <c r="C7" s="210"/>
      <c r="D7" s="210" t="str">
        <f>+X1</f>
        <v>ELENA</v>
      </c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42"/>
      <c r="W7" s="117" t="s">
        <v>14096</v>
      </c>
      <c r="X7" s="135">
        <v>3514882213</v>
      </c>
      <c r="Y7" s="135"/>
      <c r="Z7" s="135"/>
      <c r="AA7" s="135"/>
    </row>
    <row r="8" spans="1:27" ht="14.1" customHeight="1" x14ac:dyDescent="0.2">
      <c r="A8" s="264" t="s">
        <v>2779</v>
      </c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6"/>
      <c r="W8" s="117" t="s">
        <v>14098</v>
      </c>
      <c r="X8" s="159" t="str">
        <f>+G20</f>
        <v>SAN PEDRO DE COLALAO</v>
      </c>
      <c r="Y8" s="159"/>
      <c r="Z8" s="159"/>
      <c r="AA8" s="159"/>
    </row>
    <row r="9" spans="1:27" ht="14.1" customHeight="1" x14ac:dyDescent="0.2">
      <c r="A9" s="267"/>
      <c r="B9" s="268"/>
      <c r="C9" s="268"/>
      <c r="D9" s="268"/>
      <c r="E9" s="268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9"/>
      <c r="W9" s="117" t="s">
        <v>14097</v>
      </c>
      <c r="X9" s="159" t="str">
        <f>+B21</f>
        <v>TUCUMAN</v>
      </c>
      <c r="Y9" s="159"/>
      <c r="Z9" s="159"/>
      <c r="AA9" s="159"/>
    </row>
    <row r="10" spans="1:27" ht="14.1" customHeight="1" x14ac:dyDescent="0.2">
      <c r="A10" s="270"/>
      <c r="B10" s="271"/>
      <c r="C10" s="271"/>
      <c r="D10" s="271"/>
      <c r="E10" s="271"/>
      <c r="F10" s="271"/>
      <c r="G10" s="271"/>
      <c r="H10" s="271"/>
      <c r="I10" s="271"/>
      <c r="J10" s="271"/>
      <c r="K10" s="271"/>
      <c r="L10" s="271"/>
      <c r="M10" s="271"/>
      <c r="N10" s="271"/>
      <c r="O10" s="271"/>
      <c r="P10" s="271"/>
      <c r="Q10" s="271"/>
      <c r="R10" s="271"/>
      <c r="S10" s="271"/>
      <c r="T10" s="271"/>
      <c r="U10" s="272"/>
      <c r="W10" s="118"/>
      <c r="X10" s="118"/>
      <c r="Y10" s="118"/>
      <c r="Z10" s="118"/>
      <c r="AA10" s="118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119" t="s">
        <v>2863</v>
      </c>
      <c r="X11" s="119" t="s">
        <v>14088</v>
      </c>
      <c r="Y11" s="120" t="s">
        <v>14117</v>
      </c>
      <c r="Z11" s="119" t="s">
        <v>12579</v>
      </c>
      <c r="AA11" s="127" t="s">
        <v>14101</v>
      </c>
    </row>
    <row r="12" spans="1:27" ht="14.1" customHeight="1" x14ac:dyDescent="0.2">
      <c r="A12" s="78"/>
      <c r="B12" s="260" t="s">
        <v>2780</v>
      </c>
      <c r="C12" s="260"/>
      <c r="D12" s="260"/>
      <c r="E12" s="260"/>
      <c r="F12" s="260"/>
      <c r="G12" s="260"/>
      <c r="H12" s="260"/>
      <c r="I12" s="260"/>
      <c r="J12" s="260"/>
      <c r="K12" s="260"/>
      <c r="L12" s="260"/>
      <c r="M12" s="261"/>
      <c r="N12" s="80"/>
      <c r="O12" s="196" t="s">
        <v>14108</v>
      </c>
      <c r="P12" s="196"/>
      <c r="Q12" s="196"/>
      <c r="R12" s="196"/>
      <c r="S12" s="196"/>
      <c r="T12" s="196"/>
      <c r="U12" s="71"/>
      <c r="W12" s="121">
        <v>1120858</v>
      </c>
      <c r="X12" s="122" t="str">
        <f>IFERROR(VLOOKUP(Tabla245[[#This Row],[CODIGO]],Lince!$A$2:$E10000,3,FALSE),"")</f>
        <v>BOMB AMER RIP NEGRA 34/48 RER</v>
      </c>
      <c r="Y12" s="128"/>
      <c r="Z12" s="129">
        <v>48</v>
      </c>
      <c r="AA12" s="132">
        <v>4</v>
      </c>
    </row>
    <row r="13" spans="1:27" ht="14.1" customHeight="1" x14ac:dyDescent="0.2">
      <c r="A13" s="79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3"/>
      <c r="N13" s="80"/>
      <c r="O13" s="196"/>
      <c r="P13" s="196"/>
      <c r="Q13" s="196"/>
      <c r="R13" s="196"/>
      <c r="S13" s="196"/>
      <c r="T13" s="196"/>
      <c r="U13" s="71"/>
      <c r="W13" s="121">
        <v>1120858</v>
      </c>
      <c r="X13" s="122" t="str">
        <f>IFERROR(VLOOKUP(Tabla245[[#This Row],[CODIGO]],Lince!$A$2:$E10001,3,FALSE),"")</f>
        <v>BOMB AMER RIP NEGRA 34/48 RER</v>
      </c>
      <c r="Y13" s="128"/>
      <c r="Z13" s="129"/>
      <c r="AA13" s="132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121"/>
      <c r="X14" s="122" t="str">
        <f>IFERROR(VLOOKUP(Tabla245[[#This Row],[CODIGO]],Lince!$A$2:$E10002,3,FALSE),"")</f>
        <v/>
      </c>
      <c r="Y14" s="128"/>
      <c r="Z14" s="129"/>
      <c r="AA14" s="132"/>
    </row>
    <row r="15" spans="1:27" ht="14.1" customHeight="1" x14ac:dyDescent="0.2">
      <c r="A15" s="257" t="s">
        <v>2781</v>
      </c>
      <c r="B15" s="8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3"/>
      <c r="W15" s="121"/>
      <c r="X15" s="122" t="str">
        <f>IFERROR(VLOOKUP(Tabla245[[#This Row],[CODIGO]],Lince!$A$2:$E10003,3,FALSE),"")</f>
        <v/>
      </c>
      <c r="Y15" s="128"/>
      <c r="Z15" s="129"/>
      <c r="AA15" s="132"/>
    </row>
    <row r="16" spans="1:27" ht="14.1" customHeight="1" x14ac:dyDescent="0.2">
      <c r="A16" s="258"/>
      <c r="B16" s="278" t="str">
        <f>+X2</f>
        <v>JUAN DE LOS PALOTES</v>
      </c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03" t="s">
        <v>14106</v>
      </c>
      <c r="O16" s="203"/>
      <c r="P16" s="203"/>
      <c r="Q16" s="204" t="str">
        <f>+X6</f>
        <v>33-26903939-2</v>
      </c>
      <c r="R16" s="205"/>
      <c r="S16" s="205"/>
      <c r="T16" s="206"/>
      <c r="U16" s="83"/>
      <c r="W16" s="121">
        <v>1120858</v>
      </c>
      <c r="X16" s="122" t="str">
        <f>IFERROR(VLOOKUP(Tabla245[[#This Row],[CODIGO]],Lince!$A$2:$E10004,3,FALSE),"")</f>
        <v>BOMB AMER RIP NEGRA 34/48 RER</v>
      </c>
      <c r="Y16" s="128"/>
      <c r="Z16" s="129"/>
      <c r="AA16" s="132"/>
    </row>
    <row r="17" spans="1:27" ht="14.1" customHeight="1" x14ac:dyDescent="0.2">
      <c r="A17" s="258"/>
      <c r="B17" s="280"/>
      <c r="C17" s="281"/>
      <c r="D17" s="281"/>
      <c r="E17" s="281"/>
      <c r="F17" s="281"/>
      <c r="G17" s="281"/>
      <c r="H17" s="281"/>
      <c r="I17" s="281"/>
      <c r="J17" s="281"/>
      <c r="K17" s="281"/>
      <c r="L17" s="281"/>
      <c r="M17" s="281"/>
      <c r="N17" s="54"/>
      <c r="O17" s="55"/>
      <c r="P17" s="55"/>
      <c r="Q17" s="55"/>
      <c r="R17" s="55"/>
      <c r="S17" s="55"/>
      <c r="T17" s="77"/>
      <c r="U17" s="83"/>
      <c r="W17" s="121"/>
      <c r="X17" s="122" t="str">
        <f>IFERROR(VLOOKUP(Tabla245[[#This Row],[CODIGO]],Lince!$A$2:$E10005,3,FALSE),"")</f>
        <v/>
      </c>
      <c r="Y17" s="128"/>
      <c r="Z17" s="129"/>
      <c r="AA17" s="132"/>
    </row>
    <row r="18" spans="1:27" ht="14.1" customHeight="1" x14ac:dyDescent="0.2">
      <c r="A18" s="258"/>
      <c r="B18" s="222" t="s">
        <v>2864</v>
      </c>
      <c r="C18" s="199"/>
      <c r="D18" s="199"/>
      <c r="E18" s="199" t="str">
        <f>VLOOKUP(R18,Sucursales!A:B,2,FALSE)</f>
        <v>SAN P.DE COLALAO</v>
      </c>
      <c r="F18" s="199"/>
      <c r="G18" s="199"/>
      <c r="H18" s="199"/>
      <c r="I18" s="199"/>
      <c r="J18" s="199"/>
      <c r="K18" s="199"/>
      <c r="L18" s="199"/>
      <c r="M18" s="54"/>
      <c r="N18" s="195" t="s">
        <v>2791</v>
      </c>
      <c r="O18" s="195"/>
      <c r="P18" s="195"/>
      <c r="Q18" s="195"/>
      <c r="R18" s="193" t="s">
        <v>3119</v>
      </c>
      <c r="S18" s="193"/>
      <c r="T18" s="194"/>
      <c r="U18" s="83"/>
      <c r="W18" s="121">
        <v>1120858</v>
      </c>
      <c r="X18" s="122" t="str">
        <f>IFERROR(VLOOKUP(Tabla245[[#This Row],[CODIGO]],Lince!$A$2:$E10006,3,FALSE),"")</f>
        <v>BOMB AMER RIP NEGRA 34/48 RER</v>
      </c>
      <c r="Y18" s="128"/>
      <c r="Z18" s="129"/>
      <c r="AA18" s="132"/>
    </row>
    <row r="19" spans="1:27" ht="14.1" customHeight="1" x14ac:dyDescent="0.2">
      <c r="A19" s="258"/>
      <c r="B19" s="222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53"/>
      <c r="N19" s="195"/>
      <c r="O19" s="195"/>
      <c r="P19" s="195"/>
      <c r="Q19" s="195"/>
      <c r="R19" s="193"/>
      <c r="S19" s="193"/>
      <c r="T19" s="194"/>
      <c r="U19" s="83"/>
      <c r="W19" s="121">
        <v>1120858</v>
      </c>
      <c r="X19" s="122" t="str">
        <f>IFERROR(VLOOKUP(Tabla245[[#This Row],[CODIGO]],Lince!$A$2:$E10007,3,FALSE),"")</f>
        <v>BOMB AMER RIP NEGRA 34/48 RER</v>
      </c>
      <c r="Y19" s="128"/>
      <c r="Z19" s="129"/>
      <c r="AA19" s="132"/>
    </row>
    <row r="20" spans="1:27" ht="14.1" customHeight="1" x14ac:dyDescent="0.2">
      <c r="A20" s="258"/>
      <c r="B20" s="226" t="str">
        <f>VLOOKUP(R18,Sucursales!A:G,6,FALSE)</f>
        <v>T4124ZAA</v>
      </c>
      <c r="C20" s="227"/>
      <c r="D20" s="227"/>
      <c r="E20" s="227"/>
      <c r="G20" s="228" t="str">
        <f>VLOOKUP(R18,Sucursales!A:H,7,FALSE)</f>
        <v>SAN PEDRO DE COLALAO</v>
      </c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  <c r="T20" s="229"/>
      <c r="U20" s="83"/>
      <c r="W20" s="121"/>
      <c r="X20" s="122" t="str">
        <f>IFERROR(VLOOKUP(Tabla245[[#This Row],[CODIGO]],Lince!$A$2:$E10008,3,FALSE),"")</f>
        <v/>
      </c>
      <c r="Y20" s="128"/>
      <c r="Z20" s="129"/>
      <c r="AA20" s="132"/>
    </row>
    <row r="21" spans="1:27" ht="14.1" customHeight="1" x14ac:dyDescent="0.2">
      <c r="A21" s="258"/>
      <c r="B21" s="222" t="str">
        <f>VLOOKUP(R18,Sucursales!A:H,8,FALSE)</f>
        <v>TUCUMAN</v>
      </c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53"/>
      <c r="N21" s="56"/>
      <c r="O21" s="56"/>
      <c r="P21" s="51"/>
      <c r="Q21" s="51"/>
      <c r="R21" s="51"/>
      <c r="S21" s="51"/>
      <c r="T21" s="52"/>
      <c r="U21" s="83"/>
      <c r="W21" s="121"/>
      <c r="X21" s="122" t="str">
        <f>IFERROR(VLOOKUP(Tabla245[[#This Row],[CODIGO]],Lince!$A$2:$E10009,3,FALSE),"")</f>
        <v/>
      </c>
      <c r="Y21" s="128"/>
      <c r="Z21" s="129"/>
      <c r="AA21" s="132"/>
    </row>
    <row r="22" spans="1:27" ht="14.1" customHeight="1" x14ac:dyDescent="0.2">
      <c r="A22" s="258"/>
      <c r="B22" s="223"/>
      <c r="C22" s="224"/>
      <c r="D22" s="224"/>
      <c r="E22" s="224"/>
      <c r="F22" s="224"/>
      <c r="G22" s="224"/>
      <c r="H22" s="224"/>
      <c r="I22" s="224"/>
      <c r="J22" s="224"/>
      <c r="K22" s="224"/>
      <c r="L22" s="224"/>
      <c r="M22" s="225" t="s">
        <v>14109</v>
      </c>
      <c r="N22" s="225"/>
      <c r="O22" s="225"/>
      <c r="P22" s="225"/>
      <c r="Q22" s="207">
        <f>+X7</f>
        <v>3514882213</v>
      </c>
      <c r="R22" s="208"/>
      <c r="S22" s="208"/>
      <c r="T22" s="209"/>
      <c r="U22" s="83"/>
      <c r="W22" s="121"/>
      <c r="X22" s="122" t="str">
        <f>IFERROR(VLOOKUP(Tabla245[[#This Row],[CODIGO]],Lince!$A$2:$E10010,3,FALSE),"")</f>
        <v/>
      </c>
      <c r="Y22" s="128"/>
      <c r="Z22" s="129"/>
      <c r="AA22" s="132"/>
    </row>
    <row r="23" spans="1:27" ht="14.1" customHeight="1" thickBot="1" x14ac:dyDescent="0.25">
      <c r="A23" s="259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4"/>
      <c r="W23" s="121"/>
      <c r="X23" s="122" t="str">
        <f>IFERROR(VLOOKUP(Tabla245[[#This Row],[CODIGO]],Lince!$A$2:$E10011,3,FALSE),"")</f>
        <v/>
      </c>
      <c r="Y23" s="128"/>
      <c r="Z23" s="129"/>
      <c r="AA23" s="132"/>
    </row>
    <row r="24" spans="1:27" ht="14.1" customHeight="1" x14ac:dyDescent="0.2">
      <c r="W24" s="121"/>
      <c r="X24" s="122" t="str">
        <f>IFERROR(VLOOKUP(Tabla245[[#This Row],[CODIGO]],Lince!$A$2:$E10012,3,FALSE),"")</f>
        <v/>
      </c>
      <c r="Y24" s="128"/>
      <c r="Z24" s="129"/>
      <c r="AA24" s="132"/>
    </row>
    <row r="25" spans="1:27" ht="14.1" customHeight="1" x14ac:dyDescent="0.2">
      <c r="W25" s="121"/>
      <c r="X25" s="122" t="str">
        <f>IFERROR(VLOOKUP(Tabla245[[#This Row],[CODIGO]],Lince!$A$2:$E10013,3,FALSE),"")</f>
        <v/>
      </c>
      <c r="Y25" s="128"/>
      <c r="Z25" s="129"/>
      <c r="AA25" s="132"/>
    </row>
    <row r="26" spans="1:27" ht="14.1" customHeight="1" x14ac:dyDescent="0.2">
      <c r="W26" s="121"/>
      <c r="X26" s="122" t="str">
        <f>IFERROR(VLOOKUP(Tabla245[[#This Row],[CODIGO]],Lince!$A$2:$E10014,3,FALSE),"")</f>
        <v/>
      </c>
      <c r="Y26" s="128"/>
      <c r="Z26" s="129"/>
      <c r="AA26" s="132"/>
    </row>
    <row r="27" spans="1:27" ht="14.1" customHeight="1" x14ac:dyDescent="0.2">
      <c r="W27" s="121"/>
      <c r="X27" s="122" t="str">
        <f>IFERROR(VLOOKUP(Tabla245[[#This Row],[CODIGO]],Lince!$A$2:$E10015,3,FALSE),"")</f>
        <v/>
      </c>
      <c r="Y27" s="128"/>
      <c r="Z27" s="129"/>
      <c r="AA27" s="132"/>
    </row>
    <row r="28" spans="1:27" ht="14.1" customHeight="1" x14ac:dyDescent="0.2">
      <c r="W28" s="121"/>
      <c r="X28" s="122" t="str">
        <f>IFERROR(VLOOKUP(Tabla245[[#This Row],[CODIGO]],Lince!$A$2:$E10016,3,FALSE),"")</f>
        <v/>
      </c>
      <c r="Y28" s="128"/>
      <c r="Z28" s="129"/>
      <c r="AA28" s="132"/>
    </row>
    <row r="29" spans="1:27" ht="14.1" customHeight="1" x14ac:dyDescent="0.2">
      <c r="W29" s="123"/>
      <c r="X29" s="122" t="str">
        <f>IFERROR(VLOOKUP(Tabla245[[#This Row],[CODIGO]],Lince!$A$2:$E10017,3,FALSE),"")</f>
        <v/>
      </c>
      <c r="Y29" s="130"/>
      <c r="Z29" s="131"/>
      <c r="AA29" s="133"/>
    </row>
    <row r="30" spans="1:27" ht="14.1" customHeight="1" x14ac:dyDescent="0.2">
      <c r="W30" s="121"/>
      <c r="X30" s="122" t="str">
        <f>IFERROR(VLOOKUP(Tabla245[[#This Row],[CODIGO]],Lince!$A$2:$E10018,3,FALSE),"")</f>
        <v/>
      </c>
      <c r="Y30" s="128"/>
      <c r="Z30" s="129"/>
      <c r="AA30" s="132"/>
    </row>
    <row r="31" spans="1:27" ht="14.1" customHeight="1" x14ac:dyDescent="0.2">
      <c r="W31" s="123"/>
      <c r="X31" s="122" t="str">
        <f>IFERROR(VLOOKUP(Tabla245[[#This Row],[CODIGO]],Lince!$A$2:$E10019,3,FALSE),"")</f>
        <v/>
      </c>
      <c r="Y31" s="130"/>
      <c r="Z31" s="131"/>
      <c r="AA31" s="133"/>
    </row>
    <row r="32" spans="1:27" ht="14.1" customHeight="1" x14ac:dyDescent="0.2">
      <c r="W32" s="123"/>
      <c r="X32" s="124" t="str">
        <f>IFERROR(VLOOKUP(Tabla245[[#This Row],[CODIGO]],Lince!$A$2:$E10020,3,FALSE),"")</f>
        <v/>
      </c>
      <c r="Y32" s="128"/>
      <c r="Z32" s="129"/>
      <c r="AA32" s="133"/>
    </row>
    <row r="33" spans="23:27" ht="14.1" customHeight="1" x14ac:dyDescent="0.2">
      <c r="W33" s="125" t="s">
        <v>14090</v>
      </c>
      <c r="X33" s="125"/>
      <c r="Y33" s="125"/>
      <c r="Z33" s="125"/>
      <c r="AA33" s="126">
        <f>SUBTOTAL(109,Tabla245[CANT])</f>
        <v>4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14103</v>
      </c>
      <c r="X35" s="118"/>
      <c r="Y35" s="118"/>
      <c r="Z35" s="118"/>
      <c r="AA35" s="118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1863" activePane="bottomLeft" state="frozen"/>
      <selection pane="bottomLeft" activeCell="A1875" sqref="A1875"/>
    </sheetView>
  </sheetViews>
  <sheetFormatPr baseColWidth="10" defaultColWidth="29.42578125" defaultRowHeight="15" x14ac:dyDescent="0.25"/>
  <cols>
    <col min="1" max="1" width="12.28515625" style="19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9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0" width="6.42578125" style="1" customWidth="1"/>
    <col min="11" max="11" width="2.42578125" style="1" bestFit="1" customWidth="1"/>
    <col min="12" max="12" width="3.140625" style="1" bestFit="1" customWidth="1"/>
    <col min="13" max="16384" width="29.42578125" style="1"/>
  </cols>
  <sheetData>
    <row r="1" spans="1:12" ht="18.75" x14ac:dyDescent="0.3">
      <c r="A1" s="23" t="s">
        <v>2790</v>
      </c>
    </row>
    <row r="3" spans="1:12" s="24" customFormat="1" ht="30" x14ac:dyDescent="0.2">
      <c r="A3" s="4" t="s">
        <v>2791</v>
      </c>
      <c r="B3" s="5" t="s">
        <v>2792</v>
      </c>
      <c r="C3" s="5" t="s">
        <v>2793</v>
      </c>
      <c r="D3" s="5" t="s">
        <v>2794</v>
      </c>
      <c r="E3" s="5" t="s">
        <v>2795</v>
      </c>
      <c r="F3" s="5" t="s">
        <v>2849</v>
      </c>
      <c r="G3" s="5" t="s">
        <v>2796</v>
      </c>
      <c r="H3" s="6" t="s">
        <v>2797</v>
      </c>
      <c r="I3" s="5" t="s">
        <v>2792</v>
      </c>
      <c r="J3" s="5" t="s">
        <v>2793</v>
      </c>
    </row>
    <row r="4" spans="1:12" x14ac:dyDescent="0.25">
      <c r="A4" s="20" t="s">
        <v>2823</v>
      </c>
      <c r="B4" s="8" t="s">
        <v>2226</v>
      </c>
      <c r="C4" s="7" t="s">
        <v>2805</v>
      </c>
      <c r="D4" s="9">
        <v>11</v>
      </c>
      <c r="E4" s="7">
        <v>825</v>
      </c>
      <c r="F4" s="20" t="s">
        <v>2824</v>
      </c>
      <c r="G4" s="7" t="s">
        <v>2226</v>
      </c>
      <c r="H4" s="7" t="s">
        <v>2783</v>
      </c>
      <c r="I4" s="8" t="s">
        <v>2226</v>
      </c>
      <c r="J4" s="7" t="s">
        <v>2805</v>
      </c>
      <c r="K4" s="10"/>
      <c r="L4" s="10"/>
    </row>
    <row r="5" spans="1:12" x14ac:dyDescent="0.25">
      <c r="A5" s="21" t="s">
        <v>1100</v>
      </c>
      <c r="B5" s="12" t="s">
        <v>1101</v>
      </c>
      <c r="C5" s="11" t="s">
        <v>2805</v>
      </c>
      <c r="D5" s="13" t="s">
        <v>1102</v>
      </c>
      <c r="E5" s="11">
        <v>48</v>
      </c>
      <c r="F5" s="21" t="s">
        <v>1103</v>
      </c>
      <c r="G5" s="11" t="s">
        <v>1101</v>
      </c>
      <c r="H5" s="11" t="s">
        <v>2783</v>
      </c>
      <c r="I5" s="12" t="s">
        <v>1101</v>
      </c>
      <c r="J5" s="11" t="s">
        <v>2805</v>
      </c>
      <c r="K5" s="10"/>
      <c r="L5" s="10"/>
    </row>
    <row r="6" spans="1:12" x14ac:dyDescent="0.25">
      <c r="A6" s="21" t="s">
        <v>961</v>
      </c>
      <c r="B6" s="12" t="s">
        <v>234</v>
      </c>
      <c r="C6" s="11" t="s">
        <v>2800</v>
      </c>
      <c r="D6" s="13" t="s">
        <v>4311</v>
      </c>
      <c r="E6" s="11">
        <v>794</v>
      </c>
      <c r="F6" s="21" t="s">
        <v>962</v>
      </c>
      <c r="G6" s="11" t="s">
        <v>234</v>
      </c>
      <c r="H6" s="11" t="s">
        <v>2783</v>
      </c>
      <c r="I6" s="12" t="s">
        <v>234</v>
      </c>
      <c r="J6" s="11" t="s">
        <v>2800</v>
      </c>
      <c r="K6" s="10"/>
      <c r="L6" s="10"/>
    </row>
    <row r="7" spans="1:12" x14ac:dyDescent="0.25">
      <c r="A7" s="21" t="s">
        <v>4705</v>
      </c>
      <c r="B7" s="12" t="s">
        <v>4706</v>
      </c>
      <c r="C7" s="11" t="s">
        <v>2800</v>
      </c>
      <c r="D7" s="13" t="s">
        <v>2171</v>
      </c>
      <c r="E7" s="11">
        <v>766</v>
      </c>
      <c r="F7" s="21" t="s">
        <v>4707</v>
      </c>
      <c r="G7" s="11" t="s">
        <v>4706</v>
      </c>
      <c r="H7" s="11" t="s">
        <v>2783</v>
      </c>
      <c r="I7" s="12" t="s">
        <v>4706</v>
      </c>
      <c r="J7" s="11" t="s">
        <v>2800</v>
      </c>
      <c r="K7" s="10"/>
      <c r="L7" s="10"/>
    </row>
    <row r="8" spans="1:12" x14ac:dyDescent="0.25">
      <c r="A8" s="21" t="s">
        <v>2833</v>
      </c>
      <c r="B8" s="12" t="s">
        <v>2834</v>
      </c>
      <c r="C8" s="11" t="s">
        <v>2805</v>
      </c>
      <c r="D8" s="13" t="s">
        <v>2835</v>
      </c>
      <c r="E8" s="11">
        <v>589</v>
      </c>
      <c r="F8" s="21" t="s">
        <v>2836</v>
      </c>
      <c r="G8" s="11" t="s">
        <v>2834</v>
      </c>
      <c r="H8" s="11" t="s">
        <v>2783</v>
      </c>
      <c r="I8" s="12" t="s">
        <v>2834</v>
      </c>
      <c r="J8" s="11" t="s">
        <v>2805</v>
      </c>
      <c r="K8" s="10"/>
      <c r="L8" s="10"/>
    </row>
    <row r="9" spans="1:12" x14ac:dyDescent="0.25">
      <c r="A9" s="21" t="s">
        <v>428</v>
      </c>
      <c r="B9" s="12" t="s">
        <v>429</v>
      </c>
      <c r="C9" s="11" t="s">
        <v>2805</v>
      </c>
      <c r="D9" s="13" t="s">
        <v>430</v>
      </c>
      <c r="E9" s="11">
        <v>267</v>
      </c>
      <c r="F9" s="21" t="s">
        <v>431</v>
      </c>
      <c r="G9" s="11" t="s">
        <v>429</v>
      </c>
      <c r="H9" s="11" t="s">
        <v>2783</v>
      </c>
      <c r="I9" s="12" t="s">
        <v>429</v>
      </c>
      <c r="J9" s="11" t="s">
        <v>2805</v>
      </c>
      <c r="K9" s="10"/>
      <c r="L9" s="10"/>
    </row>
    <row r="10" spans="1:12" x14ac:dyDescent="0.25">
      <c r="A10" s="21" t="s">
        <v>2241</v>
      </c>
      <c r="B10" s="12" t="s">
        <v>2242</v>
      </c>
      <c r="C10" s="11" t="s">
        <v>2800</v>
      </c>
      <c r="D10" s="13" t="s">
        <v>2243</v>
      </c>
      <c r="E10" s="11">
        <v>1076</v>
      </c>
      <c r="F10" s="21" t="s">
        <v>2244</v>
      </c>
      <c r="G10" s="11" t="s">
        <v>2245</v>
      </c>
      <c r="H10" s="11" t="s">
        <v>2783</v>
      </c>
      <c r="I10" s="12" t="s">
        <v>2242</v>
      </c>
      <c r="J10" s="11" t="s">
        <v>2800</v>
      </c>
      <c r="K10" s="10"/>
      <c r="L10" s="10"/>
    </row>
    <row r="11" spans="1:12" x14ac:dyDescent="0.25">
      <c r="A11" s="21" t="s">
        <v>4421</v>
      </c>
      <c r="B11" s="12" t="s">
        <v>4422</v>
      </c>
      <c r="C11" s="11" t="s">
        <v>2805</v>
      </c>
      <c r="D11" s="13" t="s">
        <v>247</v>
      </c>
      <c r="E11" s="11">
        <v>152</v>
      </c>
      <c r="F11" s="21" t="s">
        <v>4423</v>
      </c>
      <c r="G11" s="11" t="s">
        <v>4422</v>
      </c>
      <c r="H11" s="11" t="s">
        <v>2783</v>
      </c>
      <c r="I11" s="12" t="s">
        <v>4422</v>
      </c>
      <c r="J11" s="11" t="s">
        <v>2805</v>
      </c>
      <c r="K11" s="10"/>
      <c r="L11" s="10"/>
    </row>
    <row r="12" spans="1:12" x14ac:dyDescent="0.25">
      <c r="A12" s="21" t="s">
        <v>1767</v>
      </c>
      <c r="B12" s="12" t="s">
        <v>1768</v>
      </c>
      <c r="C12" s="11" t="s">
        <v>2805</v>
      </c>
      <c r="D12" s="13" t="s">
        <v>4718</v>
      </c>
      <c r="E12" s="11">
        <v>4984</v>
      </c>
      <c r="F12" s="21" t="s">
        <v>1769</v>
      </c>
      <c r="G12" s="11" t="s">
        <v>1768</v>
      </c>
      <c r="H12" s="11" t="s">
        <v>2783</v>
      </c>
      <c r="I12" s="12" t="s">
        <v>1768</v>
      </c>
      <c r="J12" s="11" t="s">
        <v>2805</v>
      </c>
      <c r="K12" s="10"/>
      <c r="L12" s="10"/>
    </row>
    <row r="13" spans="1:12" x14ac:dyDescent="0.25">
      <c r="A13" s="21" t="s">
        <v>2837</v>
      </c>
      <c r="B13" s="12" t="s">
        <v>2186</v>
      </c>
      <c r="C13" s="11" t="s">
        <v>2805</v>
      </c>
      <c r="D13" s="13" t="s">
        <v>255</v>
      </c>
      <c r="E13" s="11">
        <v>280</v>
      </c>
      <c r="F13" s="21" t="s">
        <v>2838</v>
      </c>
      <c r="G13" s="11" t="s">
        <v>2186</v>
      </c>
      <c r="H13" s="11" t="s">
        <v>2783</v>
      </c>
      <c r="I13" s="12" t="s">
        <v>2186</v>
      </c>
      <c r="J13" s="11" t="s">
        <v>2805</v>
      </c>
      <c r="K13" s="10"/>
      <c r="L13" s="10"/>
    </row>
    <row r="14" spans="1:12" x14ac:dyDescent="0.25">
      <c r="A14" s="21" t="s">
        <v>4428</v>
      </c>
      <c r="B14" s="12" t="s">
        <v>4429</v>
      </c>
      <c r="C14" s="11" t="s">
        <v>2805</v>
      </c>
      <c r="D14" s="13" t="s">
        <v>4430</v>
      </c>
      <c r="E14" s="11">
        <v>221</v>
      </c>
      <c r="F14" s="21" t="s">
        <v>4431</v>
      </c>
      <c r="G14" s="11" t="s">
        <v>4429</v>
      </c>
      <c r="H14" s="11" t="s">
        <v>2783</v>
      </c>
      <c r="I14" s="12" t="s">
        <v>4429</v>
      </c>
      <c r="J14" s="11" t="s">
        <v>2805</v>
      </c>
      <c r="K14" s="10"/>
      <c r="L14" s="10"/>
    </row>
    <row r="15" spans="1:12" x14ac:dyDescent="0.25">
      <c r="A15" s="21" t="s">
        <v>4432</v>
      </c>
      <c r="B15" s="12" t="s">
        <v>4433</v>
      </c>
      <c r="C15" s="11" t="s">
        <v>2805</v>
      </c>
      <c r="D15" s="13" t="s">
        <v>4434</v>
      </c>
      <c r="E15" s="11">
        <v>264</v>
      </c>
      <c r="F15" s="21" t="s">
        <v>4435</v>
      </c>
      <c r="G15" s="11" t="s">
        <v>4433</v>
      </c>
      <c r="H15" s="11" t="s">
        <v>2783</v>
      </c>
      <c r="I15" s="12" t="s">
        <v>4433</v>
      </c>
      <c r="J15" s="11" t="s">
        <v>2805</v>
      </c>
      <c r="K15" s="10"/>
      <c r="L15" s="10"/>
    </row>
    <row r="16" spans="1:12" x14ac:dyDescent="0.25">
      <c r="A16" s="21" t="s">
        <v>2839</v>
      </c>
      <c r="B16" s="12" t="s">
        <v>2840</v>
      </c>
      <c r="C16" s="11" t="s">
        <v>2805</v>
      </c>
      <c r="D16" s="13" t="s">
        <v>2248</v>
      </c>
      <c r="E16" s="11">
        <v>42</v>
      </c>
      <c r="F16" s="21" t="s">
        <v>2841</v>
      </c>
      <c r="G16" s="11" t="s">
        <v>2840</v>
      </c>
      <c r="H16" s="11" t="s">
        <v>2783</v>
      </c>
      <c r="I16" s="12" t="s">
        <v>2840</v>
      </c>
      <c r="J16" s="11" t="s">
        <v>2805</v>
      </c>
      <c r="K16" s="10"/>
      <c r="L16" s="10"/>
    </row>
    <row r="17" spans="1:12" x14ac:dyDescent="0.25">
      <c r="A17" s="21" t="s">
        <v>4436</v>
      </c>
      <c r="B17" s="12" t="s">
        <v>4437</v>
      </c>
      <c r="C17" s="11" t="s">
        <v>2805</v>
      </c>
      <c r="D17" s="13" t="s">
        <v>4438</v>
      </c>
      <c r="E17" s="11">
        <v>30</v>
      </c>
      <c r="F17" s="21" t="s">
        <v>4439</v>
      </c>
      <c r="G17" s="11" t="s">
        <v>4437</v>
      </c>
      <c r="H17" s="11" t="s">
        <v>2783</v>
      </c>
      <c r="I17" s="12" t="s">
        <v>4437</v>
      </c>
      <c r="J17" s="11" t="s">
        <v>2805</v>
      </c>
      <c r="K17" s="10"/>
      <c r="L17" s="10"/>
    </row>
    <row r="18" spans="1:12" x14ac:dyDescent="0.25">
      <c r="A18" s="21" t="s">
        <v>436</v>
      </c>
      <c r="B18" s="12" t="s">
        <v>437</v>
      </c>
      <c r="C18" s="11" t="s">
        <v>2805</v>
      </c>
      <c r="D18" s="13" t="s">
        <v>438</v>
      </c>
      <c r="E18" s="11">
        <v>57</v>
      </c>
      <c r="F18" s="21" t="s">
        <v>439</v>
      </c>
      <c r="G18" s="11" t="s">
        <v>437</v>
      </c>
      <c r="H18" s="11" t="s">
        <v>2783</v>
      </c>
      <c r="I18" s="12" t="s">
        <v>437</v>
      </c>
      <c r="J18" s="11" t="s">
        <v>2805</v>
      </c>
      <c r="K18" s="10"/>
      <c r="L18" s="10"/>
    </row>
    <row r="19" spans="1:12" x14ac:dyDescent="0.25">
      <c r="A19" s="21" t="s">
        <v>4440</v>
      </c>
      <c r="B19" s="12" t="s">
        <v>4441</v>
      </c>
      <c r="C19" s="11" t="s">
        <v>2805</v>
      </c>
      <c r="D19" s="13" t="s">
        <v>1668</v>
      </c>
      <c r="E19" s="11">
        <v>0</v>
      </c>
      <c r="F19" s="21" t="s">
        <v>4442</v>
      </c>
      <c r="G19" s="11" t="s">
        <v>4441</v>
      </c>
      <c r="H19" s="11" t="s">
        <v>2783</v>
      </c>
      <c r="I19" s="12" t="s">
        <v>4441</v>
      </c>
      <c r="J19" s="11" t="s">
        <v>2805</v>
      </c>
      <c r="K19" s="10"/>
      <c r="L19" s="10"/>
    </row>
    <row r="20" spans="1:12" x14ac:dyDescent="0.25">
      <c r="A20" s="21" t="s">
        <v>4443</v>
      </c>
      <c r="B20" s="12" t="s">
        <v>4444</v>
      </c>
      <c r="C20" s="11" t="s">
        <v>2805</v>
      </c>
      <c r="D20" s="13" t="s">
        <v>4300</v>
      </c>
      <c r="E20" s="11">
        <v>36</v>
      </c>
      <c r="F20" s="21" t="s">
        <v>4445</v>
      </c>
      <c r="G20" s="11" t="s">
        <v>4446</v>
      </c>
      <c r="H20" s="11" t="s">
        <v>2783</v>
      </c>
      <c r="I20" s="12" t="s">
        <v>4444</v>
      </c>
      <c r="J20" s="11" t="s">
        <v>2805</v>
      </c>
      <c r="K20" s="10"/>
      <c r="L20" s="10"/>
    </row>
    <row r="21" spans="1:12" x14ac:dyDescent="0.25">
      <c r="A21" s="21" t="s">
        <v>2246</v>
      </c>
      <c r="B21" s="12" t="s">
        <v>2247</v>
      </c>
      <c r="C21" s="11" t="s">
        <v>2800</v>
      </c>
      <c r="D21" s="13" t="s">
        <v>2248</v>
      </c>
      <c r="E21" s="11">
        <v>390</v>
      </c>
      <c r="F21" s="21" t="s">
        <v>2249</v>
      </c>
      <c r="G21" s="11" t="s">
        <v>2247</v>
      </c>
      <c r="H21" s="11" t="s">
        <v>2783</v>
      </c>
      <c r="I21" s="12" t="s">
        <v>2247</v>
      </c>
      <c r="J21" s="11" t="s">
        <v>2800</v>
      </c>
      <c r="K21" s="10"/>
      <c r="L21" s="10"/>
    </row>
    <row r="22" spans="1:12" x14ac:dyDescent="0.25">
      <c r="A22" s="21" t="s">
        <v>1770</v>
      </c>
      <c r="B22" s="12" t="s">
        <v>1771</v>
      </c>
      <c r="C22" s="11" t="s">
        <v>2805</v>
      </c>
      <c r="D22" s="13" t="s">
        <v>2262</v>
      </c>
      <c r="E22" s="11">
        <v>744</v>
      </c>
      <c r="F22" s="21" t="s">
        <v>1772</v>
      </c>
      <c r="G22" s="11" t="s">
        <v>1771</v>
      </c>
      <c r="H22" s="11" t="s">
        <v>2783</v>
      </c>
      <c r="I22" s="12" t="s">
        <v>1771</v>
      </c>
      <c r="J22" s="11" t="s">
        <v>2805</v>
      </c>
      <c r="K22" s="10"/>
      <c r="L22" s="10"/>
    </row>
    <row r="23" spans="1:12" x14ac:dyDescent="0.25">
      <c r="A23" s="21" t="s">
        <v>440</v>
      </c>
      <c r="B23" s="12" t="s">
        <v>441</v>
      </c>
      <c r="C23" s="11" t="s">
        <v>2800</v>
      </c>
      <c r="D23" s="13" t="s">
        <v>442</v>
      </c>
      <c r="E23" s="11">
        <v>549</v>
      </c>
      <c r="F23" s="21" t="s">
        <v>443</v>
      </c>
      <c r="G23" s="11" t="s">
        <v>441</v>
      </c>
      <c r="H23" s="11" t="s">
        <v>2783</v>
      </c>
      <c r="I23" s="12" t="s">
        <v>441</v>
      </c>
      <c r="J23" s="11" t="s">
        <v>2800</v>
      </c>
      <c r="K23" s="10"/>
      <c r="L23" s="10"/>
    </row>
    <row r="24" spans="1:12" x14ac:dyDescent="0.25">
      <c r="A24" s="21" t="s">
        <v>2948</v>
      </c>
      <c r="B24" s="12" t="s">
        <v>2949</v>
      </c>
      <c r="C24" s="11" t="s">
        <v>2805</v>
      </c>
      <c r="D24" s="13" t="s">
        <v>2950</v>
      </c>
      <c r="E24" s="11">
        <v>1021</v>
      </c>
      <c r="F24" s="21" t="s">
        <v>2951</v>
      </c>
      <c r="G24" s="11" t="s">
        <v>2943</v>
      </c>
      <c r="H24" s="11" t="s">
        <v>2783</v>
      </c>
      <c r="I24" s="12" t="s">
        <v>2949</v>
      </c>
      <c r="J24" s="11" t="s">
        <v>2805</v>
      </c>
      <c r="K24" s="10"/>
      <c r="L24" s="10"/>
    </row>
    <row r="25" spans="1:12" x14ac:dyDescent="0.25">
      <c r="A25" s="21" t="s">
        <v>364</v>
      </c>
      <c r="B25" s="12" t="s">
        <v>2943</v>
      </c>
      <c r="C25" s="11" t="s">
        <v>2800</v>
      </c>
      <c r="D25" s="13" t="s">
        <v>4310</v>
      </c>
      <c r="E25" s="11">
        <v>34</v>
      </c>
      <c r="F25" s="21" t="s">
        <v>2944</v>
      </c>
      <c r="G25" s="11" t="s">
        <v>2943</v>
      </c>
      <c r="H25" s="11" t="s">
        <v>2783</v>
      </c>
      <c r="I25" s="12" t="s">
        <v>2943</v>
      </c>
      <c r="J25" s="11" t="s">
        <v>2800</v>
      </c>
      <c r="K25" s="10"/>
      <c r="L25" s="10"/>
    </row>
    <row r="26" spans="1:12" x14ac:dyDescent="0.25">
      <c r="A26" s="21" t="s">
        <v>3434</v>
      </c>
      <c r="B26" s="12" t="s">
        <v>3435</v>
      </c>
      <c r="C26" s="11" t="s">
        <v>2805</v>
      </c>
      <c r="D26" s="13" t="s">
        <v>4350</v>
      </c>
      <c r="E26" s="11">
        <v>579</v>
      </c>
      <c r="F26" s="21" t="s">
        <v>3436</v>
      </c>
      <c r="G26" s="11" t="s">
        <v>2943</v>
      </c>
      <c r="H26" s="11" t="s">
        <v>2783</v>
      </c>
      <c r="I26" s="12" t="s">
        <v>3435</v>
      </c>
      <c r="J26" s="11" t="s">
        <v>2805</v>
      </c>
      <c r="K26" s="10"/>
      <c r="L26" s="10"/>
    </row>
    <row r="27" spans="1:12" x14ac:dyDescent="0.25">
      <c r="A27" s="21" t="s">
        <v>2945</v>
      </c>
      <c r="B27" s="12" t="s">
        <v>2946</v>
      </c>
      <c r="C27" s="11" t="s">
        <v>2805</v>
      </c>
      <c r="D27" s="13" t="s">
        <v>4731</v>
      </c>
      <c r="E27" s="11">
        <v>1524</v>
      </c>
      <c r="F27" s="21" t="s">
        <v>2947</v>
      </c>
      <c r="G27" s="11" t="s">
        <v>2943</v>
      </c>
      <c r="H27" s="11" t="s">
        <v>2783</v>
      </c>
      <c r="I27" s="12" t="s">
        <v>2946</v>
      </c>
      <c r="J27" s="11" t="s">
        <v>2805</v>
      </c>
      <c r="K27" s="10"/>
      <c r="L27" s="10"/>
    </row>
    <row r="28" spans="1:12" x14ac:dyDescent="0.25">
      <c r="A28" s="21" t="s">
        <v>4261</v>
      </c>
      <c r="B28" s="12" t="s">
        <v>4262</v>
      </c>
      <c r="C28" s="11" t="s">
        <v>2800</v>
      </c>
      <c r="D28" s="13">
        <v>19</v>
      </c>
      <c r="E28" s="11">
        <v>552</v>
      </c>
      <c r="F28" s="21" t="s">
        <v>4263</v>
      </c>
      <c r="G28" s="11" t="s">
        <v>4262</v>
      </c>
      <c r="H28" s="11" t="s">
        <v>2783</v>
      </c>
      <c r="I28" s="12" t="s">
        <v>4262</v>
      </c>
      <c r="J28" s="11" t="s">
        <v>2800</v>
      </c>
      <c r="K28" s="10"/>
      <c r="L28" s="10"/>
    </row>
    <row r="29" spans="1:12" x14ac:dyDescent="0.25">
      <c r="A29" s="21" t="s">
        <v>444</v>
      </c>
      <c r="B29" s="12" t="s">
        <v>445</v>
      </c>
      <c r="C29" s="11" t="s">
        <v>2805</v>
      </c>
      <c r="D29" s="13">
        <v>11</v>
      </c>
      <c r="E29" s="11">
        <v>2080</v>
      </c>
      <c r="F29" s="21" t="s">
        <v>446</v>
      </c>
      <c r="G29" s="11" t="s">
        <v>445</v>
      </c>
      <c r="H29" s="11" t="s">
        <v>2783</v>
      </c>
      <c r="I29" s="12" t="s">
        <v>445</v>
      </c>
      <c r="J29" s="11" t="s">
        <v>2805</v>
      </c>
      <c r="K29" s="10"/>
      <c r="L29" s="10"/>
    </row>
    <row r="30" spans="1:12" x14ac:dyDescent="0.25">
      <c r="A30" s="21" t="s">
        <v>4447</v>
      </c>
      <c r="B30" s="12" t="s">
        <v>4448</v>
      </c>
      <c r="C30" s="11" t="s">
        <v>2805</v>
      </c>
      <c r="D30" s="13" t="s">
        <v>4449</v>
      </c>
      <c r="E30" s="11">
        <v>105</v>
      </c>
      <c r="F30" s="21" t="s">
        <v>4450</v>
      </c>
      <c r="G30" s="11" t="s">
        <v>4448</v>
      </c>
      <c r="H30" s="11" t="s">
        <v>2783</v>
      </c>
      <c r="I30" s="12" t="s">
        <v>4448</v>
      </c>
      <c r="J30" s="11" t="s">
        <v>2805</v>
      </c>
      <c r="K30" s="10"/>
      <c r="L30" s="10"/>
    </row>
    <row r="31" spans="1:12" x14ac:dyDescent="0.25">
      <c r="A31" s="21" t="s">
        <v>4154</v>
      </c>
      <c r="B31" s="12" t="s">
        <v>4155</v>
      </c>
      <c r="C31" s="11" t="s">
        <v>2800</v>
      </c>
      <c r="D31" s="13" t="s">
        <v>2308</v>
      </c>
      <c r="E31" s="11">
        <v>658</v>
      </c>
      <c r="F31" s="21" t="s">
        <v>4156</v>
      </c>
      <c r="G31" s="11" t="s">
        <v>4155</v>
      </c>
      <c r="H31" s="11" t="s">
        <v>2783</v>
      </c>
      <c r="I31" s="12" t="s">
        <v>4155</v>
      </c>
      <c r="J31" s="11" t="s">
        <v>2800</v>
      </c>
      <c r="K31" s="10"/>
      <c r="L31" s="10"/>
    </row>
    <row r="32" spans="1:12" x14ac:dyDescent="0.25">
      <c r="A32" s="21" t="s">
        <v>2842</v>
      </c>
      <c r="B32" s="12" t="s">
        <v>2843</v>
      </c>
      <c r="C32" s="11" t="s">
        <v>2805</v>
      </c>
      <c r="D32" s="13" t="s">
        <v>2844</v>
      </c>
      <c r="E32" s="11">
        <v>999</v>
      </c>
      <c r="F32" s="21" t="s">
        <v>2845</v>
      </c>
      <c r="G32" s="11" t="s">
        <v>2843</v>
      </c>
      <c r="H32" s="11" t="s">
        <v>2783</v>
      </c>
      <c r="I32" s="12" t="s">
        <v>2843</v>
      </c>
      <c r="J32" s="11" t="s">
        <v>2805</v>
      </c>
      <c r="K32" s="10"/>
      <c r="L32" s="10"/>
    </row>
    <row r="33" spans="1:29" x14ac:dyDescent="0.25">
      <c r="A33" s="21" t="s">
        <v>2393</v>
      </c>
      <c r="B33" s="12" t="s">
        <v>2394</v>
      </c>
      <c r="C33" s="11" t="s">
        <v>2805</v>
      </c>
      <c r="D33" s="13">
        <v>153</v>
      </c>
      <c r="E33" s="11">
        <v>4264</v>
      </c>
      <c r="F33" s="21" t="s">
        <v>2395</v>
      </c>
      <c r="G33" s="11" t="s">
        <v>2394</v>
      </c>
      <c r="H33" s="11" t="s">
        <v>2783</v>
      </c>
      <c r="I33" s="12" t="s">
        <v>2394</v>
      </c>
      <c r="J33" s="11" t="s">
        <v>2805</v>
      </c>
      <c r="K33" s="10"/>
      <c r="L33" s="10"/>
    </row>
    <row r="34" spans="1:29" x14ac:dyDescent="0.25">
      <c r="A34" s="21" t="s">
        <v>451</v>
      </c>
      <c r="B34" s="12" t="s">
        <v>452</v>
      </c>
      <c r="C34" s="11" t="s">
        <v>2805</v>
      </c>
      <c r="D34" s="13" t="s">
        <v>453</v>
      </c>
      <c r="E34" s="11" t="s">
        <v>2163</v>
      </c>
      <c r="F34" s="21" t="s">
        <v>454</v>
      </c>
      <c r="G34" s="11" t="s">
        <v>452</v>
      </c>
      <c r="H34" s="11" t="s">
        <v>2783</v>
      </c>
      <c r="I34" s="12" t="s">
        <v>452</v>
      </c>
      <c r="J34" s="11" t="s">
        <v>2805</v>
      </c>
      <c r="K34" s="10"/>
      <c r="L34" s="10"/>
    </row>
    <row r="35" spans="1:29" x14ac:dyDescent="0.25">
      <c r="A35" s="21" t="s">
        <v>1132</v>
      </c>
      <c r="B35" s="12" t="s">
        <v>1133</v>
      </c>
      <c r="C35" s="11" t="s">
        <v>2800</v>
      </c>
      <c r="D35" s="13" t="s">
        <v>1668</v>
      </c>
      <c r="E35" s="11">
        <v>302</v>
      </c>
      <c r="F35" s="21" t="s">
        <v>1134</v>
      </c>
      <c r="G35" s="11" t="s">
        <v>1135</v>
      </c>
      <c r="H35" s="11" t="s">
        <v>2783</v>
      </c>
      <c r="I35" s="12" t="s">
        <v>1133</v>
      </c>
      <c r="J35" s="11" t="s">
        <v>2800</v>
      </c>
      <c r="K35" s="10"/>
      <c r="L35" s="10"/>
    </row>
    <row r="36" spans="1:29" x14ac:dyDescent="0.25">
      <c r="A36" s="21" t="s">
        <v>2192</v>
      </c>
      <c r="B36" s="12" t="s">
        <v>2193</v>
      </c>
      <c r="C36" s="11" t="s">
        <v>2800</v>
      </c>
      <c r="D36" s="13" t="s">
        <v>2194</v>
      </c>
      <c r="E36" s="11">
        <v>1090</v>
      </c>
      <c r="F36" s="21" t="s">
        <v>2195</v>
      </c>
      <c r="G36" s="11" t="s">
        <v>2193</v>
      </c>
      <c r="H36" s="11" t="s">
        <v>2783</v>
      </c>
      <c r="I36" s="12" t="s">
        <v>2193</v>
      </c>
      <c r="J36" s="11" t="s">
        <v>2800</v>
      </c>
      <c r="K36" s="10"/>
      <c r="L36" s="10"/>
    </row>
    <row r="37" spans="1:29" s="10" customFormat="1" x14ac:dyDescent="0.25">
      <c r="A37" s="21" t="s">
        <v>2232</v>
      </c>
      <c r="B37" s="12" t="s">
        <v>2233</v>
      </c>
      <c r="C37" s="11" t="s">
        <v>2805</v>
      </c>
      <c r="D37" s="13" t="s">
        <v>2234</v>
      </c>
      <c r="E37" s="11">
        <v>2882</v>
      </c>
      <c r="F37" s="21" t="s">
        <v>2235</v>
      </c>
      <c r="G37" s="11" t="s">
        <v>2233</v>
      </c>
      <c r="H37" s="11" t="s">
        <v>2783</v>
      </c>
      <c r="I37" s="12" t="s">
        <v>2233</v>
      </c>
      <c r="J37" s="11" t="s">
        <v>2805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21" t="s">
        <v>455</v>
      </c>
      <c r="B38" s="12" t="s">
        <v>456</v>
      </c>
      <c r="C38" s="11" t="s">
        <v>2805</v>
      </c>
      <c r="D38" s="13" t="s">
        <v>2648</v>
      </c>
      <c r="E38" s="11">
        <v>2</v>
      </c>
      <c r="F38" s="21" t="s">
        <v>457</v>
      </c>
      <c r="G38" s="11" t="s">
        <v>456</v>
      </c>
      <c r="H38" s="11" t="s">
        <v>2783</v>
      </c>
      <c r="I38" s="12" t="s">
        <v>456</v>
      </c>
      <c r="J38" s="11" t="s">
        <v>2805</v>
      </c>
      <c r="K38" s="10"/>
      <c r="L38" s="10"/>
    </row>
    <row r="39" spans="1:29" x14ac:dyDescent="0.25">
      <c r="A39" s="21" t="s">
        <v>2250</v>
      </c>
      <c r="B39" s="12" t="s">
        <v>2251</v>
      </c>
      <c r="C39" s="11" t="s">
        <v>2800</v>
      </c>
      <c r="D39" s="13">
        <v>15</v>
      </c>
      <c r="E39" s="11">
        <v>4751</v>
      </c>
      <c r="F39" s="21" t="s">
        <v>2252</v>
      </c>
      <c r="G39" s="11" t="s">
        <v>2251</v>
      </c>
      <c r="H39" s="11" t="s">
        <v>2783</v>
      </c>
      <c r="I39" s="12" t="s">
        <v>2251</v>
      </c>
      <c r="J39" s="11" t="s">
        <v>2800</v>
      </c>
      <c r="K39" s="10"/>
      <c r="L39" s="10"/>
    </row>
    <row r="40" spans="1:29" x14ac:dyDescent="0.25">
      <c r="A40" s="21" t="s">
        <v>1773</v>
      </c>
      <c r="B40" s="12" t="s">
        <v>1774</v>
      </c>
      <c r="C40" s="11" t="s">
        <v>2805</v>
      </c>
      <c r="D40" s="13" t="s">
        <v>1775</v>
      </c>
      <c r="E40" s="11">
        <v>4419</v>
      </c>
      <c r="F40" s="21" t="s">
        <v>1776</v>
      </c>
      <c r="G40" s="11" t="s">
        <v>1774</v>
      </c>
      <c r="H40" s="11" t="s">
        <v>2783</v>
      </c>
      <c r="I40" s="12" t="s">
        <v>1774</v>
      </c>
      <c r="J40" s="11" t="s">
        <v>2805</v>
      </c>
      <c r="K40" s="10"/>
      <c r="L40" s="10"/>
    </row>
    <row r="41" spans="1:29" x14ac:dyDescent="0.25">
      <c r="A41" s="21" t="s">
        <v>4712</v>
      </c>
      <c r="B41" s="12" t="s">
        <v>4713</v>
      </c>
      <c r="C41" s="11" t="s">
        <v>2800</v>
      </c>
      <c r="D41" s="13" t="s">
        <v>234</v>
      </c>
      <c r="E41" s="11">
        <v>14</v>
      </c>
      <c r="F41" s="21" t="s">
        <v>4714</v>
      </c>
      <c r="G41" s="11" t="s">
        <v>4715</v>
      </c>
      <c r="H41" s="11" t="s">
        <v>2783</v>
      </c>
      <c r="I41" s="12" t="s">
        <v>4713</v>
      </c>
      <c r="J41" s="11" t="s">
        <v>2800</v>
      </c>
      <c r="K41" s="10"/>
      <c r="L41" s="10"/>
    </row>
    <row r="42" spans="1:29" x14ac:dyDescent="0.25">
      <c r="A42" s="21" t="s">
        <v>4451</v>
      </c>
      <c r="B42" s="12" t="s">
        <v>4452</v>
      </c>
      <c r="C42" s="11" t="s">
        <v>2805</v>
      </c>
      <c r="D42" s="13" t="s">
        <v>4453</v>
      </c>
      <c r="E42" s="11">
        <v>551</v>
      </c>
      <c r="F42" s="21" t="s">
        <v>4454</v>
      </c>
      <c r="G42" s="11" t="s">
        <v>4455</v>
      </c>
      <c r="H42" s="11" t="s">
        <v>2783</v>
      </c>
      <c r="I42" s="12" t="s">
        <v>4452</v>
      </c>
      <c r="J42" s="11" t="s">
        <v>2805</v>
      </c>
      <c r="K42" s="10"/>
      <c r="L42" s="10"/>
    </row>
    <row r="43" spans="1:29" x14ac:dyDescent="0.25">
      <c r="A43" s="21" t="s">
        <v>4456</v>
      </c>
      <c r="B43" s="12" t="s">
        <v>4457</v>
      </c>
      <c r="C43" s="11" t="s">
        <v>2805</v>
      </c>
      <c r="D43" s="13" t="s">
        <v>4458</v>
      </c>
      <c r="E43" s="11">
        <v>202</v>
      </c>
      <c r="F43" s="21" t="s">
        <v>4459</v>
      </c>
      <c r="G43" s="11" t="s">
        <v>4457</v>
      </c>
      <c r="H43" s="11" t="s">
        <v>2783</v>
      </c>
      <c r="I43" s="12" t="s">
        <v>4457</v>
      </c>
      <c r="J43" s="11" t="s">
        <v>2805</v>
      </c>
      <c r="K43" s="10"/>
      <c r="L43" s="10"/>
    </row>
    <row r="44" spans="1:29" x14ac:dyDescent="0.25">
      <c r="A44" s="21" t="s">
        <v>458</v>
      </c>
      <c r="B44" s="12" t="s">
        <v>459</v>
      </c>
      <c r="C44" s="11" t="s">
        <v>2805</v>
      </c>
      <c r="D44" s="13" t="s">
        <v>460</v>
      </c>
      <c r="E44" s="11" t="s">
        <v>2163</v>
      </c>
      <c r="F44" s="21" t="s">
        <v>461</v>
      </c>
      <c r="G44" s="11" t="s">
        <v>459</v>
      </c>
      <c r="H44" s="11" t="s">
        <v>2783</v>
      </c>
      <c r="I44" s="12" t="s">
        <v>459</v>
      </c>
      <c r="J44" s="11" t="s">
        <v>2805</v>
      </c>
      <c r="K44" s="10"/>
      <c r="L44" s="10"/>
    </row>
    <row r="45" spans="1:29" x14ac:dyDescent="0.25">
      <c r="A45" s="21" t="s">
        <v>462</v>
      </c>
      <c r="B45" s="12" t="s">
        <v>463</v>
      </c>
      <c r="C45" s="11" t="s">
        <v>2805</v>
      </c>
      <c r="D45" s="13" t="s">
        <v>464</v>
      </c>
      <c r="E45" s="11">
        <v>102</v>
      </c>
      <c r="F45" s="21" t="s">
        <v>465</v>
      </c>
      <c r="G45" s="11" t="s">
        <v>463</v>
      </c>
      <c r="H45" s="11" t="s">
        <v>2783</v>
      </c>
      <c r="I45" s="12" t="s">
        <v>463</v>
      </c>
      <c r="J45" s="11" t="s">
        <v>2805</v>
      </c>
      <c r="K45" s="10"/>
      <c r="L45" s="10"/>
    </row>
    <row r="46" spans="1:29" x14ac:dyDescent="0.25">
      <c r="A46" s="21" t="s">
        <v>2196</v>
      </c>
      <c r="B46" s="12" t="s">
        <v>2197</v>
      </c>
      <c r="C46" s="11" t="s">
        <v>2800</v>
      </c>
      <c r="D46" s="13" t="s">
        <v>2198</v>
      </c>
      <c r="E46" s="11">
        <v>2384</v>
      </c>
      <c r="F46" s="21" t="s">
        <v>2199</v>
      </c>
      <c r="G46" s="11" t="s">
        <v>2197</v>
      </c>
      <c r="H46" s="11" t="s">
        <v>2783</v>
      </c>
      <c r="I46" s="12" t="s">
        <v>2197</v>
      </c>
      <c r="J46" s="11" t="s">
        <v>2800</v>
      </c>
      <c r="K46" s="10"/>
      <c r="L46" s="10"/>
    </row>
    <row r="47" spans="1:29" x14ac:dyDescent="0.25">
      <c r="A47" s="21" t="s">
        <v>4460</v>
      </c>
      <c r="B47" s="12" t="s">
        <v>1504</v>
      </c>
      <c r="C47" s="11" t="s">
        <v>2800</v>
      </c>
      <c r="D47" s="13" t="s">
        <v>2248</v>
      </c>
      <c r="E47" s="11">
        <v>1101</v>
      </c>
      <c r="F47" s="21" t="s">
        <v>4461</v>
      </c>
      <c r="G47" s="11" t="s">
        <v>1504</v>
      </c>
      <c r="H47" s="11" t="s">
        <v>2783</v>
      </c>
      <c r="I47" s="12" t="s">
        <v>1504</v>
      </c>
      <c r="J47" s="11" t="s">
        <v>2800</v>
      </c>
      <c r="K47" s="10"/>
      <c r="L47" s="10"/>
    </row>
    <row r="48" spans="1:29" x14ac:dyDescent="0.25">
      <c r="A48" s="21" t="s">
        <v>4356</v>
      </c>
      <c r="B48" s="12" t="s">
        <v>4357</v>
      </c>
      <c r="C48" s="11" t="s">
        <v>2805</v>
      </c>
      <c r="D48" s="13" t="s">
        <v>2234</v>
      </c>
      <c r="E48" s="11">
        <v>1167</v>
      </c>
      <c r="F48" s="21" t="s">
        <v>4358</v>
      </c>
      <c r="G48" s="11" t="s">
        <v>4359</v>
      </c>
      <c r="H48" s="11" t="s">
        <v>2783</v>
      </c>
      <c r="I48" s="12" t="s">
        <v>4357</v>
      </c>
      <c r="J48" s="11" t="s">
        <v>2805</v>
      </c>
      <c r="K48" s="10"/>
      <c r="L48" s="10"/>
    </row>
    <row r="49" spans="1:12" x14ac:dyDescent="0.25">
      <c r="A49" s="21" t="s">
        <v>1455</v>
      </c>
      <c r="B49" s="12" t="s">
        <v>1456</v>
      </c>
      <c r="C49" s="11" t="s">
        <v>2800</v>
      </c>
      <c r="D49" s="13" t="s">
        <v>1457</v>
      </c>
      <c r="E49" s="11">
        <v>983</v>
      </c>
      <c r="F49" s="21" t="s">
        <v>1458</v>
      </c>
      <c r="G49" s="11" t="s">
        <v>1456</v>
      </c>
      <c r="H49" s="11" t="s">
        <v>2783</v>
      </c>
      <c r="I49" s="12" t="s">
        <v>1456</v>
      </c>
      <c r="J49" s="11" t="s">
        <v>2800</v>
      </c>
      <c r="K49" s="10"/>
      <c r="L49" s="10"/>
    </row>
    <row r="50" spans="1:12" x14ac:dyDescent="0.25">
      <c r="A50" s="21" t="s">
        <v>466</v>
      </c>
      <c r="B50" s="12" t="s">
        <v>467</v>
      </c>
      <c r="C50" s="11" t="s">
        <v>2805</v>
      </c>
      <c r="D50" s="13" t="s">
        <v>468</v>
      </c>
      <c r="E50" s="11">
        <v>2</v>
      </c>
      <c r="F50" s="21" t="s">
        <v>469</v>
      </c>
      <c r="G50" s="11" t="s">
        <v>467</v>
      </c>
      <c r="H50" s="11" t="s">
        <v>2783</v>
      </c>
      <c r="I50" s="12" t="s">
        <v>467</v>
      </c>
      <c r="J50" s="11" t="s">
        <v>2805</v>
      </c>
      <c r="K50" s="10"/>
      <c r="L50" s="10"/>
    </row>
    <row r="51" spans="1:12" x14ac:dyDescent="0.25">
      <c r="A51" s="21" t="s">
        <v>1784</v>
      </c>
      <c r="B51" s="12" t="s">
        <v>1785</v>
      </c>
      <c r="C51" s="11" t="s">
        <v>2805</v>
      </c>
      <c r="D51" s="13" t="s">
        <v>2190</v>
      </c>
      <c r="E51" s="11">
        <v>1611</v>
      </c>
      <c r="F51" s="21" t="s">
        <v>4344</v>
      </c>
      <c r="G51" s="11" t="s">
        <v>1785</v>
      </c>
      <c r="H51" s="11" t="s">
        <v>2783</v>
      </c>
      <c r="I51" s="12" t="s">
        <v>1785</v>
      </c>
      <c r="J51" s="11" t="s">
        <v>2805</v>
      </c>
      <c r="K51" s="10"/>
      <c r="L51" s="10"/>
    </row>
    <row r="52" spans="1:12" x14ac:dyDescent="0.25">
      <c r="A52" s="21" t="s">
        <v>2846</v>
      </c>
      <c r="B52" s="12" t="s">
        <v>2847</v>
      </c>
      <c r="C52" s="11" t="s">
        <v>2800</v>
      </c>
      <c r="D52" s="13" t="s">
        <v>247</v>
      </c>
      <c r="E52" s="11">
        <v>274</v>
      </c>
      <c r="F52" s="21" t="s">
        <v>2848</v>
      </c>
      <c r="G52" s="11" t="s">
        <v>2847</v>
      </c>
      <c r="H52" s="11" t="s">
        <v>2783</v>
      </c>
      <c r="I52" s="12" t="s">
        <v>2847</v>
      </c>
      <c r="J52" s="11" t="s">
        <v>2800</v>
      </c>
      <c r="K52" s="10"/>
      <c r="L52" s="10"/>
    </row>
    <row r="53" spans="1:12" x14ac:dyDescent="0.25">
      <c r="A53" s="21" t="s">
        <v>4462</v>
      </c>
      <c r="B53" s="12" t="s">
        <v>83</v>
      </c>
      <c r="C53" s="11" t="s">
        <v>2805</v>
      </c>
      <c r="D53" s="13" t="s">
        <v>84</v>
      </c>
      <c r="E53" s="11">
        <v>317</v>
      </c>
      <c r="F53" s="21" t="s">
        <v>85</v>
      </c>
      <c r="G53" s="11" t="s">
        <v>83</v>
      </c>
      <c r="H53" s="11" t="s">
        <v>2783</v>
      </c>
      <c r="I53" s="12" t="s">
        <v>83</v>
      </c>
      <c r="J53" s="11" t="s">
        <v>2805</v>
      </c>
      <c r="K53" s="10"/>
      <c r="L53" s="10"/>
    </row>
    <row r="54" spans="1:12" x14ac:dyDescent="0.25">
      <c r="A54" s="21" t="s">
        <v>1781</v>
      </c>
      <c r="B54" s="12" t="s">
        <v>1782</v>
      </c>
      <c r="C54" s="11" t="s">
        <v>2800</v>
      </c>
      <c r="D54" s="13" t="s">
        <v>247</v>
      </c>
      <c r="E54" s="11">
        <v>466</v>
      </c>
      <c r="F54" s="21" t="s">
        <v>1783</v>
      </c>
      <c r="G54" s="11" t="s">
        <v>1782</v>
      </c>
      <c r="H54" s="11" t="s">
        <v>2783</v>
      </c>
      <c r="I54" s="12" t="s">
        <v>1782</v>
      </c>
      <c r="J54" s="11" t="s">
        <v>2800</v>
      </c>
      <c r="K54" s="10"/>
      <c r="L54" s="10"/>
    </row>
    <row r="55" spans="1:12" x14ac:dyDescent="0.25">
      <c r="A55" s="21" t="s">
        <v>1119</v>
      </c>
      <c r="B55" s="12" t="s">
        <v>1120</v>
      </c>
      <c r="C55" s="11" t="s">
        <v>2805</v>
      </c>
      <c r="D55" s="13" t="s">
        <v>2262</v>
      </c>
      <c r="E55" s="11">
        <v>709</v>
      </c>
      <c r="F55" s="21" t="s">
        <v>1121</v>
      </c>
      <c r="G55" s="11" t="s">
        <v>1120</v>
      </c>
      <c r="H55" s="11" t="s">
        <v>2783</v>
      </c>
      <c r="I55" s="12" t="s">
        <v>1120</v>
      </c>
      <c r="J55" s="11" t="s">
        <v>2805</v>
      </c>
      <c r="K55" s="10"/>
      <c r="L55" s="10"/>
    </row>
    <row r="56" spans="1:12" x14ac:dyDescent="0.25">
      <c r="A56" s="21" t="s">
        <v>1122</v>
      </c>
      <c r="B56" s="12" t="s">
        <v>1123</v>
      </c>
      <c r="C56" s="11" t="s">
        <v>2805</v>
      </c>
      <c r="D56" s="13" t="s">
        <v>4311</v>
      </c>
      <c r="E56" s="11">
        <v>272</v>
      </c>
      <c r="F56" s="21" t="s">
        <v>1124</v>
      </c>
      <c r="G56" s="11" t="s">
        <v>1125</v>
      </c>
      <c r="H56" s="11" t="s">
        <v>2783</v>
      </c>
      <c r="I56" s="12" t="s">
        <v>1123</v>
      </c>
      <c r="J56" s="11" t="s">
        <v>2805</v>
      </c>
      <c r="K56" s="10"/>
      <c r="L56" s="10"/>
    </row>
    <row r="57" spans="1:12" x14ac:dyDescent="0.25">
      <c r="A57" s="21" t="s">
        <v>470</v>
      </c>
      <c r="B57" s="12" t="s">
        <v>471</v>
      </c>
      <c r="C57" s="11" t="s">
        <v>2805</v>
      </c>
      <c r="D57" s="13" t="s">
        <v>4311</v>
      </c>
      <c r="E57" s="11">
        <v>998</v>
      </c>
      <c r="F57" s="21" t="s">
        <v>472</v>
      </c>
      <c r="G57" s="11" t="s">
        <v>471</v>
      </c>
      <c r="H57" s="11" t="s">
        <v>2783</v>
      </c>
      <c r="I57" s="12" t="s">
        <v>471</v>
      </c>
      <c r="J57" s="11" t="s">
        <v>2805</v>
      </c>
      <c r="K57" s="10"/>
      <c r="L57" s="10"/>
    </row>
    <row r="58" spans="1:12" x14ac:dyDescent="0.25">
      <c r="A58" s="21" t="s">
        <v>86</v>
      </c>
      <c r="B58" s="12" t="s">
        <v>87</v>
      </c>
      <c r="C58" s="11" t="s">
        <v>2805</v>
      </c>
      <c r="D58" s="13" t="s">
        <v>88</v>
      </c>
      <c r="E58" s="11">
        <v>253</v>
      </c>
      <c r="F58" s="21" t="s">
        <v>89</v>
      </c>
      <c r="G58" s="11" t="s">
        <v>87</v>
      </c>
      <c r="H58" s="11" t="s">
        <v>2783</v>
      </c>
      <c r="I58" s="12" t="s">
        <v>87</v>
      </c>
      <c r="J58" s="11" t="s">
        <v>2805</v>
      </c>
      <c r="K58" s="10"/>
      <c r="L58" s="10"/>
    </row>
    <row r="59" spans="1:12" x14ac:dyDescent="0.25">
      <c r="A59" s="21" t="s">
        <v>90</v>
      </c>
      <c r="B59" s="12" t="s">
        <v>91</v>
      </c>
      <c r="C59" s="11" t="s">
        <v>2805</v>
      </c>
      <c r="D59" s="13" t="s">
        <v>92</v>
      </c>
      <c r="E59" s="11">
        <v>251</v>
      </c>
      <c r="F59" s="21" t="s">
        <v>93</v>
      </c>
      <c r="G59" s="11" t="s">
        <v>91</v>
      </c>
      <c r="H59" s="11" t="s">
        <v>2783</v>
      </c>
      <c r="I59" s="12" t="s">
        <v>91</v>
      </c>
      <c r="J59" s="11" t="s">
        <v>2805</v>
      </c>
      <c r="K59" s="10"/>
      <c r="L59" s="10"/>
    </row>
    <row r="60" spans="1:12" x14ac:dyDescent="0.25">
      <c r="A60" s="21" t="s">
        <v>94</v>
      </c>
      <c r="B60" s="12" t="s">
        <v>95</v>
      </c>
      <c r="C60" s="11" t="s">
        <v>2805</v>
      </c>
      <c r="D60" s="13" t="s">
        <v>4438</v>
      </c>
      <c r="E60" s="11">
        <v>621</v>
      </c>
      <c r="F60" s="21" t="s">
        <v>96</v>
      </c>
      <c r="G60" s="11" t="s">
        <v>95</v>
      </c>
      <c r="H60" s="11" t="s">
        <v>2783</v>
      </c>
      <c r="I60" s="12" t="s">
        <v>95</v>
      </c>
      <c r="J60" s="11" t="s">
        <v>2805</v>
      </c>
      <c r="K60" s="10"/>
      <c r="L60" s="10"/>
    </row>
    <row r="61" spans="1:12" x14ac:dyDescent="0.25">
      <c r="A61" s="21" t="s">
        <v>473</v>
      </c>
      <c r="B61" s="12" t="s">
        <v>474</v>
      </c>
      <c r="C61" s="11" t="s">
        <v>2805</v>
      </c>
      <c r="D61" s="13" t="s">
        <v>475</v>
      </c>
      <c r="E61" s="11">
        <v>38</v>
      </c>
      <c r="F61" s="21" t="s">
        <v>476</v>
      </c>
      <c r="G61" s="11" t="s">
        <v>477</v>
      </c>
      <c r="H61" s="11" t="s">
        <v>2783</v>
      </c>
      <c r="I61" s="12" t="s">
        <v>474</v>
      </c>
      <c r="J61" s="11" t="s">
        <v>2805</v>
      </c>
      <c r="K61" s="10"/>
      <c r="L61" s="10"/>
    </row>
    <row r="62" spans="1:12" x14ac:dyDescent="0.25">
      <c r="A62" s="21" t="s">
        <v>478</v>
      </c>
      <c r="B62" s="12" t="s">
        <v>479</v>
      </c>
      <c r="C62" s="11" t="s">
        <v>2805</v>
      </c>
      <c r="D62" s="13" t="s">
        <v>4438</v>
      </c>
      <c r="E62" s="11">
        <v>259</v>
      </c>
      <c r="F62" s="21" t="s">
        <v>480</v>
      </c>
      <c r="G62" s="11" t="s">
        <v>479</v>
      </c>
      <c r="H62" s="11" t="s">
        <v>2783</v>
      </c>
      <c r="I62" s="12" t="s">
        <v>479</v>
      </c>
      <c r="J62" s="11" t="s">
        <v>2805</v>
      </c>
      <c r="K62" s="10"/>
      <c r="L62" s="10"/>
    </row>
    <row r="63" spans="1:12" x14ac:dyDescent="0.25">
      <c r="A63" s="21" t="s">
        <v>1659</v>
      </c>
      <c r="B63" s="12" t="s">
        <v>1660</v>
      </c>
      <c r="C63" s="11" t="s">
        <v>2800</v>
      </c>
      <c r="D63" s="13" t="s">
        <v>2155</v>
      </c>
      <c r="E63" s="11">
        <v>4826</v>
      </c>
      <c r="F63" s="21" t="s">
        <v>1661</v>
      </c>
      <c r="G63" s="11" t="s">
        <v>1660</v>
      </c>
      <c r="H63" s="11" t="s">
        <v>2783</v>
      </c>
      <c r="I63" s="12" t="s">
        <v>1660</v>
      </c>
      <c r="J63" s="11" t="s">
        <v>2800</v>
      </c>
      <c r="K63" s="10"/>
      <c r="L63" s="10"/>
    </row>
    <row r="64" spans="1:12" x14ac:dyDescent="0.25">
      <c r="A64" s="21" t="s">
        <v>1662</v>
      </c>
      <c r="B64" s="12" t="s">
        <v>1663</v>
      </c>
      <c r="C64" s="11" t="s">
        <v>2800</v>
      </c>
      <c r="D64" s="13" t="s">
        <v>1664</v>
      </c>
      <c r="E64" s="11">
        <v>484</v>
      </c>
      <c r="F64" s="21" t="s">
        <v>1665</v>
      </c>
      <c r="G64" s="11" t="s">
        <v>1663</v>
      </c>
      <c r="H64" s="11" t="s">
        <v>2783</v>
      </c>
      <c r="I64" s="12" t="s">
        <v>1663</v>
      </c>
      <c r="J64" s="11" t="s">
        <v>2800</v>
      </c>
      <c r="K64" s="10"/>
      <c r="L64" s="10"/>
    </row>
    <row r="65" spans="1:12" x14ac:dyDescent="0.25">
      <c r="A65" s="21" t="s">
        <v>4345</v>
      </c>
      <c r="B65" s="12" t="s">
        <v>4346</v>
      </c>
      <c r="C65" s="11" t="s">
        <v>2805</v>
      </c>
      <c r="D65" s="13" t="s">
        <v>1668</v>
      </c>
      <c r="E65" s="11">
        <v>210</v>
      </c>
      <c r="F65" s="21" t="s">
        <v>4347</v>
      </c>
      <c r="G65" s="11" t="s">
        <v>4346</v>
      </c>
      <c r="H65" s="11" t="s">
        <v>2783</v>
      </c>
      <c r="I65" s="12" t="s">
        <v>4346</v>
      </c>
      <c r="J65" s="11" t="s">
        <v>2805</v>
      </c>
      <c r="K65" s="10"/>
      <c r="L65" s="10"/>
    </row>
    <row r="66" spans="1:12" x14ac:dyDescent="0.25">
      <c r="A66" s="21" t="s">
        <v>97</v>
      </c>
      <c r="B66" s="12" t="s">
        <v>4412</v>
      </c>
      <c r="C66" s="11" t="s">
        <v>2800</v>
      </c>
      <c r="D66" s="13" t="s">
        <v>84</v>
      </c>
      <c r="E66" s="11">
        <v>57</v>
      </c>
      <c r="F66" s="21" t="s">
        <v>98</v>
      </c>
      <c r="G66" s="11" t="s">
        <v>4412</v>
      </c>
      <c r="H66" s="11" t="s">
        <v>2783</v>
      </c>
      <c r="I66" s="12" t="s">
        <v>4412</v>
      </c>
      <c r="J66" s="11" t="s">
        <v>2800</v>
      </c>
      <c r="K66" s="10"/>
      <c r="L66" s="10"/>
    </row>
    <row r="67" spans="1:12" x14ac:dyDescent="0.25">
      <c r="A67" s="21" t="s">
        <v>4348</v>
      </c>
      <c r="B67" s="12" t="s">
        <v>4349</v>
      </c>
      <c r="C67" s="11" t="s">
        <v>2800</v>
      </c>
      <c r="D67" s="13" t="s">
        <v>4350</v>
      </c>
      <c r="E67" s="11">
        <v>211</v>
      </c>
      <c r="F67" s="21" t="s">
        <v>4351</v>
      </c>
      <c r="G67" s="11" t="s">
        <v>4349</v>
      </c>
      <c r="H67" s="11" t="s">
        <v>2783</v>
      </c>
      <c r="I67" s="12" t="s">
        <v>4349</v>
      </c>
      <c r="J67" s="11" t="s">
        <v>2800</v>
      </c>
      <c r="K67" s="10"/>
      <c r="L67" s="10"/>
    </row>
    <row r="68" spans="1:12" x14ac:dyDescent="0.25">
      <c r="A68" s="21" t="s">
        <v>481</v>
      </c>
      <c r="B68" s="12" t="s">
        <v>482</v>
      </c>
      <c r="C68" s="11" t="s">
        <v>2805</v>
      </c>
      <c r="D68" s="13" t="s">
        <v>483</v>
      </c>
      <c r="E68" s="11">
        <v>1172</v>
      </c>
      <c r="F68" s="21" t="s">
        <v>484</v>
      </c>
      <c r="G68" s="11" t="s">
        <v>482</v>
      </c>
      <c r="H68" s="11" t="s">
        <v>2783</v>
      </c>
      <c r="I68" s="12" t="s">
        <v>482</v>
      </c>
      <c r="J68" s="11" t="s">
        <v>2805</v>
      </c>
      <c r="K68" s="10"/>
      <c r="L68" s="10"/>
    </row>
    <row r="69" spans="1:12" x14ac:dyDescent="0.25">
      <c r="A69" s="21" t="s">
        <v>99</v>
      </c>
      <c r="B69" s="12" t="s">
        <v>100</v>
      </c>
      <c r="C69" s="11" t="s">
        <v>2800</v>
      </c>
      <c r="D69" s="13" t="s">
        <v>2190</v>
      </c>
      <c r="E69" s="11">
        <v>7</v>
      </c>
      <c r="F69" s="21" t="s">
        <v>101</v>
      </c>
      <c r="G69" s="11" t="s">
        <v>100</v>
      </c>
      <c r="H69" s="11" t="s">
        <v>2783</v>
      </c>
      <c r="I69" s="12" t="s">
        <v>100</v>
      </c>
      <c r="J69" s="11" t="s">
        <v>2800</v>
      </c>
      <c r="K69" s="10"/>
      <c r="L69" s="10"/>
    </row>
    <row r="70" spans="1:12" x14ac:dyDescent="0.25">
      <c r="A70" s="21" t="s">
        <v>4352</v>
      </c>
      <c r="B70" s="12" t="s">
        <v>4353</v>
      </c>
      <c r="C70" s="11" t="s">
        <v>2805</v>
      </c>
      <c r="D70" s="13" t="s">
        <v>4354</v>
      </c>
      <c r="E70" s="11">
        <v>1357</v>
      </c>
      <c r="F70" s="21" t="s">
        <v>4355</v>
      </c>
      <c r="G70" s="11" t="s">
        <v>4353</v>
      </c>
      <c r="H70" s="11" t="s">
        <v>2783</v>
      </c>
      <c r="I70" s="12" t="s">
        <v>4353</v>
      </c>
      <c r="J70" s="11" t="s">
        <v>2805</v>
      </c>
      <c r="K70" s="10"/>
      <c r="L70" s="10"/>
    </row>
    <row r="71" spans="1:12" x14ac:dyDescent="0.25">
      <c r="A71" s="21" t="s">
        <v>2253</v>
      </c>
      <c r="B71" s="12" t="s">
        <v>2254</v>
      </c>
      <c r="C71" s="11" t="s">
        <v>2805</v>
      </c>
      <c r="D71" s="13" t="s">
        <v>2806</v>
      </c>
      <c r="E71" s="11">
        <v>4155</v>
      </c>
      <c r="F71" s="21" t="s">
        <v>2255</v>
      </c>
      <c r="G71" s="11" t="s">
        <v>2254</v>
      </c>
      <c r="H71" s="11" t="s">
        <v>2783</v>
      </c>
      <c r="I71" s="12" t="s">
        <v>2254</v>
      </c>
      <c r="J71" s="11" t="s">
        <v>2805</v>
      </c>
      <c r="K71" s="10"/>
      <c r="L71" s="10"/>
    </row>
    <row r="72" spans="1:12" x14ac:dyDescent="0.25">
      <c r="A72" s="21" t="s">
        <v>1670</v>
      </c>
      <c r="B72" s="12" t="s">
        <v>1671</v>
      </c>
      <c r="C72" s="11" t="s">
        <v>2800</v>
      </c>
      <c r="D72" s="13" t="s">
        <v>1672</v>
      </c>
      <c r="E72" s="11">
        <v>6595</v>
      </c>
      <c r="F72" s="21" t="s">
        <v>1673</v>
      </c>
      <c r="G72" s="11" t="s">
        <v>1674</v>
      </c>
      <c r="H72" s="11" t="s">
        <v>2783</v>
      </c>
      <c r="I72" s="12" t="s">
        <v>1671</v>
      </c>
      <c r="J72" s="11" t="s">
        <v>2800</v>
      </c>
      <c r="K72" s="10"/>
      <c r="L72" s="10"/>
    </row>
    <row r="73" spans="1:12" x14ac:dyDescent="0.25">
      <c r="A73" s="21" t="s">
        <v>2296</v>
      </c>
      <c r="B73" s="12" t="s">
        <v>2297</v>
      </c>
      <c r="C73" s="11" t="s">
        <v>2800</v>
      </c>
      <c r="D73" s="13" t="s">
        <v>2298</v>
      </c>
      <c r="E73" s="11">
        <v>13</v>
      </c>
      <c r="F73" s="21" t="s">
        <v>2299</v>
      </c>
      <c r="G73" s="11" t="s">
        <v>2281</v>
      </c>
      <c r="H73" s="11" t="s">
        <v>2783</v>
      </c>
      <c r="I73" s="12" t="s">
        <v>2297</v>
      </c>
      <c r="J73" s="11" t="s">
        <v>2800</v>
      </c>
      <c r="K73" s="10"/>
      <c r="L73" s="10"/>
    </row>
    <row r="74" spans="1:12" x14ac:dyDescent="0.25">
      <c r="A74" s="21" t="s">
        <v>2277</v>
      </c>
      <c r="B74" s="12" t="s">
        <v>2278</v>
      </c>
      <c r="C74" s="11" t="s">
        <v>2805</v>
      </c>
      <c r="D74" s="13" t="s">
        <v>2279</v>
      </c>
      <c r="E74" s="11">
        <v>2407</v>
      </c>
      <c r="F74" s="21" t="s">
        <v>2280</v>
      </c>
      <c r="G74" s="11" t="s">
        <v>2281</v>
      </c>
      <c r="H74" s="11" t="s">
        <v>2783</v>
      </c>
      <c r="I74" s="12" t="s">
        <v>2278</v>
      </c>
      <c r="J74" s="11" t="s">
        <v>2805</v>
      </c>
      <c r="K74" s="10"/>
      <c r="L74" s="10"/>
    </row>
    <row r="75" spans="1:12" x14ac:dyDescent="0.25">
      <c r="A75" s="21" t="s">
        <v>1666</v>
      </c>
      <c r="B75" s="12" t="s">
        <v>1667</v>
      </c>
      <c r="C75" s="11" t="s">
        <v>2800</v>
      </c>
      <c r="D75" s="13" t="s">
        <v>1668</v>
      </c>
      <c r="E75" s="11">
        <v>12580</v>
      </c>
      <c r="F75" s="21" t="s">
        <v>1669</v>
      </c>
      <c r="G75" s="11" t="s">
        <v>1667</v>
      </c>
      <c r="H75" s="11" t="s">
        <v>2783</v>
      </c>
      <c r="I75" s="12" t="s">
        <v>1667</v>
      </c>
      <c r="J75" s="11" t="s">
        <v>2800</v>
      </c>
      <c r="K75" s="10"/>
      <c r="L75" s="10"/>
    </row>
    <row r="76" spans="1:12" x14ac:dyDescent="0.25">
      <c r="A76" s="21" t="s">
        <v>1126</v>
      </c>
      <c r="B76" s="12" t="s">
        <v>1479</v>
      </c>
      <c r="C76" s="11" t="s">
        <v>2805</v>
      </c>
      <c r="D76" s="13">
        <v>47</v>
      </c>
      <c r="E76" s="11">
        <v>850</v>
      </c>
      <c r="F76" s="21" t="s">
        <v>1127</v>
      </c>
      <c r="G76" s="11" t="s">
        <v>1479</v>
      </c>
      <c r="H76" s="11" t="s">
        <v>2783</v>
      </c>
      <c r="I76" s="12" t="s">
        <v>1479</v>
      </c>
      <c r="J76" s="11" t="s">
        <v>2805</v>
      </c>
      <c r="K76" s="10"/>
      <c r="L76" s="10"/>
    </row>
    <row r="77" spans="1:12" x14ac:dyDescent="0.25">
      <c r="A77" s="21" t="s">
        <v>2396</v>
      </c>
      <c r="B77" s="12" t="s">
        <v>2397</v>
      </c>
      <c r="C77" s="11" t="s">
        <v>2805</v>
      </c>
      <c r="D77" s="13" t="s">
        <v>2398</v>
      </c>
      <c r="E77" s="11">
        <v>2374</v>
      </c>
      <c r="F77" s="21" t="s">
        <v>2399</v>
      </c>
      <c r="G77" s="11" t="s">
        <v>2400</v>
      </c>
      <c r="H77" s="11" t="s">
        <v>2783</v>
      </c>
      <c r="I77" s="12" t="s">
        <v>2397</v>
      </c>
      <c r="J77" s="11" t="s">
        <v>2805</v>
      </c>
      <c r="K77" s="10"/>
      <c r="L77" s="10"/>
    </row>
    <row r="78" spans="1:12" x14ac:dyDescent="0.25">
      <c r="A78" s="21" t="s">
        <v>485</v>
      </c>
      <c r="B78" s="12" t="s">
        <v>486</v>
      </c>
      <c r="C78" s="11" t="s">
        <v>2805</v>
      </c>
      <c r="D78" s="13" t="s">
        <v>487</v>
      </c>
      <c r="E78" s="11">
        <v>509</v>
      </c>
      <c r="F78" s="21" t="s">
        <v>488</v>
      </c>
      <c r="G78" s="11" t="s">
        <v>486</v>
      </c>
      <c r="H78" s="11" t="s">
        <v>2783</v>
      </c>
      <c r="I78" s="12" t="s">
        <v>486</v>
      </c>
      <c r="J78" s="11" t="s">
        <v>2805</v>
      </c>
      <c r="K78" s="10"/>
      <c r="L78" s="10"/>
    </row>
    <row r="79" spans="1:12" x14ac:dyDescent="0.25">
      <c r="A79" s="21" t="s">
        <v>102</v>
      </c>
      <c r="B79" s="12" t="s">
        <v>103</v>
      </c>
      <c r="C79" s="11" t="s">
        <v>2805</v>
      </c>
      <c r="D79" s="13" t="s">
        <v>104</v>
      </c>
      <c r="E79" s="11">
        <v>0</v>
      </c>
      <c r="F79" s="21" t="s">
        <v>105</v>
      </c>
      <c r="G79" s="11" t="s">
        <v>106</v>
      </c>
      <c r="H79" s="11" t="s">
        <v>2783</v>
      </c>
      <c r="I79" s="12" t="s">
        <v>103</v>
      </c>
      <c r="J79" s="11" t="s">
        <v>2805</v>
      </c>
      <c r="K79" s="10"/>
      <c r="L79" s="10"/>
    </row>
    <row r="80" spans="1:12" x14ac:dyDescent="0.25">
      <c r="A80" s="21" t="s">
        <v>489</v>
      </c>
      <c r="B80" s="12" t="s">
        <v>490</v>
      </c>
      <c r="C80" s="11" t="s">
        <v>2805</v>
      </c>
      <c r="D80" s="13" t="s">
        <v>491</v>
      </c>
      <c r="E80" s="11">
        <v>645</v>
      </c>
      <c r="F80" s="21" t="s">
        <v>492</v>
      </c>
      <c r="G80" s="11" t="s">
        <v>493</v>
      </c>
      <c r="H80" s="11" t="s">
        <v>2783</v>
      </c>
      <c r="I80" s="12" t="s">
        <v>490</v>
      </c>
      <c r="J80" s="11" t="s">
        <v>2805</v>
      </c>
      <c r="K80" s="10"/>
      <c r="L80" s="10"/>
    </row>
    <row r="81" spans="1:12" x14ac:dyDescent="0.25">
      <c r="A81" s="21" t="s">
        <v>107</v>
      </c>
      <c r="B81" s="12" t="s">
        <v>108</v>
      </c>
      <c r="C81" s="11" t="s">
        <v>2805</v>
      </c>
      <c r="D81" s="13" t="s">
        <v>2290</v>
      </c>
      <c r="E81" s="11">
        <v>0</v>
      </c>
      <c r="F81" s="21" t="s">
        <v>109</v>
      </c>
      <c r="G81" s="11" t="s">
        <v>110</v>
      </c>
      <c r="H81" s="11" t="s">
        <v>2783</v>
      </c>
      <c r="I81" s="12" t="s">
        <v>108</v>
      </c>
      <c r="J81" s="11" t="s">
        <v>2805</v>
      </c>
      <c r="K81" s="10"/>
      <c r="L81" s="10"/>
    </row>
    <row r="82" spans="1:12" x14ac:dyDescent="0.25">
      <c r="A82" s="21" t="s">
        <v>111</v>
      </c>
      <c r="B82" s="12" t="s">
        <v>112</v>
      </c>
      <c r="C82" s="11" t="s">
        <v>2805</v>
      </c>
      <c r="D82" s="13" t="s">
        <v>113</v>
      </c>
      <c r="E82" s="11">
        <v>245</v>
      </c>
      <c r="F82" s="21" t="s">
        <v>114</v>
      </c>
      <c r="G82" s="11" t="s">
        <v>115</v>
      </c>
      <c r="H82" s="11" t="s">
        <v>2783</v>
      </c>
      <c r="I82" s="12" t="s">
        <v>112</v>
      </c>
      <c r="J82" s="11" t="s">
        <v>2805</v>
      </c>
      <c r="K82" s="10"/>
      <c r="L82" s="10"/>
    </row>
    <row r="83" spans="1:12" x14ac:dyDescent="0.25">
      <c r="A83" s="21" t="s">
        <v>494</v>
      </c>
      <c r="B83" s="12" t="s">
        <v>495</v>
      </c>
      <c r="C83" s="11" t="s">
        <v>2805</v>
      </c>
      <c r="D83" s="13" t="s">
        <v>496</v>
      </c>
      <c r="E83" s="11">
        <v>405</v>
      </c>
      <c r="F83" s="21" t="s">
        <v>497</v>
      </c>
      <c r="G83" s="11" t="s">
        <v>498</v>
      </c>
      <c r="H83" s="11" t="s">
        <v>2783</v>
      </c>
      <c r="I83" s="12" t="s">
        <v>495</v>
      </c>
      <c r="J83" s="11" t="s">
        <v>2805</v>
      </c>
      <c r="K83" s="10"/>
      <c r="L83" s="10"/>
    </row>
    <row r="84" spans="1:12" x14ac:dyDescent="0.25">
      <c r="A84" s="21" t="s">
        <v>499</v>
      </c>
      <c r="B84" s="12" t="s">
        <v>2307</v>
      </c>
      <c r="C84" s="11" t="s">
        <v>2805</v>
      </c>
      <c r="D84" s="13" t="s">
        <v>2308</v>
      </c>
      <c r="E84" s="11">
        <v>270</v>
      </c>
      <c r="F84" s="21" t="s">
        <v>2309</v>
      </c>
      <c r="G84" s="11" t="s">
        <v>2307</v>
      </c>
      <c r="H84" s="11" t="s">
        <v>2783</v>
      </c>
      <c r="I84" s="12" t="s">
        <v>2307</v>
      </c>
      <c r="J84" s="11" t="s">
        <v>2805</v>
      </c>
      <c r="K84" s="10"/>
      <c r="L84" s="10"/>
    </row>
    <row r="85" spans="1:12" x14ac:dyDescent="0.25">
      <c r="A85" s="21" t="s">
        <v>2401</v>
      </c>
      <c r="B85" s="12" t="s">
        <v>2402</v>
      </c>
      <c r="C85" s="11" t="s">
        <v>2805</v>
      </c>
      <c r="D85" s="13" t="s">
        <v>430</v>
      </c>
      <c r="E85" s="11">
        <v>538</v>
      </c>
      <c r="F85" s="21" t="s">
        <v>2403</v>
      </c>
      <c r="G85" s="11" t="s">
        <v>2402</v>
      </c>
      <c r="H85" s="11" t="s">
        <v>2783</v>
      </c>
      <c r="I85" s="12" t="s">
        <v>2402</v>
      </c>
      <c r="J85" s="11" t="s">
        <v>2805</v>
      </c>
      <c r="K85" s="10"/>
      <c r="L85" s="10"/>
    </row>
    <row r="86" spans="1:12" x14ac:dyDescent="0.25">
      <c r="A86" s="21" t="s">
        <v>2236</v>
      </c>
      <c r="B86" s="12" t="s">
        <v>2237</v>
      </c>
      <c r="C86" s="11" t="s">
        <v>2800</v>
      </c>
      <c r="D86" s="13" t="s">
        <v>2238</v>
      </c>
      <c r="E86" s="11">
        <v>1899</v>
      </c>
      <c r="F86" s="21" t="s">
        <v>2239</v>
      </c>
      <c r="G86" s="11" t="s">
        <v>2240</v>
      </c>
      <c r="H86" s="11" t="s">
        <v>2783</v>
      </c>
      <c r="I86" s="12" t="s">
        <v>2237</v>
      </c>
      <c r="J86" s="11" t="s">
        <v>2800</v>
      </c>
      <c r="K86" s="10"/>
      <c r="L86" s="10"/>
    </row>
    <row r="87" spans="1:12" x14ac:dyDescent="0.25">
      <c r="A87" s="21" t="s">
        <v>2310</v>
      </c>
      <c r="B87" s="12" t="s">
        <v>2311</v>
      </c>
      <c r="C87" s="11" t="s">
        <v>2805</v>
      </c>
      <c r="D87" s="13" t="s">
        <v>2312</v>
      </c>
      <c r="E87" s="11">
        <v>53</v>
      </c>
      <c r="F87" s="21" t="s">
        <v>2313</v>
      </c>
      <c r="G87" s="11" t="s">
        <v>2311</v>
      </c>
      <c r="H87" s="11" t="s">
        <v>2783</v>
      </c>
      <c r="I87" s="12" t="s">
        <v>2311</v>
      </c>
      <c r="J87" s="11" t="s">
        <v>2805</v>
      </c>
      <c r="K87" s="10"/>
      <c r="L87" s="10"/>
    </row>
    <row r="88" spans="1:12" x14ac:dyDescent="0.25">
      <c r="A88" s="21" t="s">
        <v>2314</v>
      </c>
      <c r="B88" s="12" t="s">
        <v>2315</v>
      </c>
      <c r="C88" s="11" t="s">
        <v>2805</v>
      </c>
      <c r="D88" s="13" t="s">
        <v>2316</v>
      </c>
      <c r="E88" s="11">
        <v>195</v>
      </c>
      <c r="F88" s="21" t="s">
        <v>2317</v>
      </c>
      <c r="G88" s="11" t="s">
        <v>2315</v>
      </c>
      <c r="H88" s="11" t="s">
        <v>2783</v>
      </c>
      <c r="I88" s="12" t="s">
        <v>2315</v>
      </c>
      <c r="J88" s="11" t="s">
        <v>2805</v>
      </c>
      <c r="K88" s="10"/>
      <c r="L88" s="10"/>
    </row>
    <row r="89" spans="1:12" x14ac:dyDescent="0.25">
      <c r="A89" s="21" t="s">
        <v>2318</v>
      </c>
      <c r="B89" s="12" t="s">
        <v>2319</v>
      </c>
      <c r="C89" s="11" t="s">
        <v>2805</v>
      </c>
      <c r="D89" s="13" t="s">
        <v>2320</v>
      </c>
      <c r="E89" s="11">
        <v>65</v>
      </c>
      <c r="F89" s="21" t="s">
        <v>2321</v>
      </c>
      <c r="G89" s="11" t="s">
        <v>2319</v>
      </c>
      <c r="H89" s="11" t="s">
        <v>2783</v>
      </c>
      <c r="I89" s="12" t="s">
        <v>2319</v>
      </c>
      <c r="J89" s="11" t="s">
        <v>2805</v>
      </c>
      <c r="K89" s="10"/>
      <c r="L89" s="10"/>
    </row>
    <row r="90" spans="1:12" x14ac:dyDescent="0.25">
      <c r="A90" s="21" t="s">
        <v>116</v>
      </c>
      <c r="B90" s="12" t="s">
        <v>117</v>
      </c>
      <c r="C90" s="11" t="s">
        <v>2805</v>
      </c>
      <c r="D90" s="13" t="s">
        <v>118</v>
      </c>
      <c r="E90" s="11">
        <v>0</v>
      </c>
      <c r="F90" s="21" t="s">
        <v>119</v>
      </c>
      <c r="G90" s="11" t="s">
        <v>117</v>
      </c>
      <c r="H90" s="11" t="s">
        <v>2783</v>
      </c>
      <c r="I90" s="12" t="s">
        <v>117</v>
      </c>
      <c r="J90" s="11" t="s">
        <v>2805</v>
      </c>
      <c r="K90" s="10"/>
      <c r="L90" s="10"/>
    </row>
    <row r="91" spans="1:12" x14ac:dyDescent="0.25">
      <c r="A91" s="21" t="s">
        <v>2220</v>
      </c>
      <c r="B91" s="12" t="s">
        <v>2221</v>
      </c>
      <c r="C91" s="11" t="s">
        <v>2800</v>
      </c>
      <c r="D91" s="13" t="s">
        <v>2222</v>
      </c>
      <c r="E91" s="11">
        <v>1395</v>
      </c>
      <c r="F91" s="21" t="s">
        <v>2223</v>
      </c>
      <c r="G91" s="11" t="s">
        <v>2221</v>
      </c>
      <c r="H91" s="11" t="s">
        <v>2783</v>
      </c>
      <c r="I91" s="12" t="s">
        <v>2221</v>
      </c>
      <c r="J91" s="11" t="s">
        <v>2800</v>
      </c>
      <c r="K91" s="10"/>
      <c r="L91" s="10"/>
    </row>
    <row r="92" spans="1:12" x14ac:dyDescent="0.25">
      <c r="A92" s="21" t="s">
        <v>3446</v>
      </c>
      <c r="B92" s="12" t="s">
        <v>3447</v>
      </c>
      <c r="C92" s="11" t="s">
        <v>2805</v>
      </c>
      <c r="D92" s="13" t="s">
        <v>3448</v>
      </c>
      <c r="E92" s="11">
        <v>1043</v>
      </c>
      <c r="F92" s="21" t="s">
        <v>852</v>
      </c>
      <c r="G92" s="11" t="s">
        <v>3447</v>
      </c>
      <c r="H92" s="11" t="s">
        <v>2783</v>
      </c>
      <c r="I92" s="12" t="s">
        <v>3447</v>
      </c>
      <c r="J92" s="11" t="s">
        <v>2805</v>
      </c>
      <c r="K92" s="10"/>
      <c r="L92" s="10"/>
    </row>
    <row r="93" spans="1:12" x14ac:dyDescent="0.25">
      <c r="A93" s="21" t="s">
        <v>4360</v>
      </c>
      <c r="B93" s="12" t="s">
        <v>4361</v>
      </c>
      <c r="C93" s="11" t="s">
        <v>2805</v>
      </c>
      <c r="D93" s="13" t="s">
        <v>2783</v>
      </c>
      <c r="E93" s="11">
        <v>132</v>
      </c>
      <c r="F93" s="21" t="s">
        <v>4362</v>
      </c>
      <c r="G93" s="11" t="s">
        <v>4361</v>
      </c>
      <c r="H93" s="11" t="s">
        <v>2783</v>
      </c>
      <c r="I93" s="12" t="s">
        <v>4361</v>
      </c>
      <c r="J93" s="11" t="s">
        <v>2805</v>
      </c>
      <c r="K93" s="10"/>
      <c r="L93" s="10"/>
    </row>
    <row r="94" spans="1:12" x14ac:dyDescent="0.25">
      <c r="A94" s="21" t="s">
        <v>2212</v>
      </c>
      <c r="B94" s="12" t="s">
        <v>2213</v>
      </c>
      <c r="C94" s="11" t="s">
        <v>2800</v>
      </c>
      <c r="D94" s="13" t="s">
        <v>2214</v>
      </c>
      <c r="E94" s="11">
        <v>1539</v>
      </c>
      <c r="F94" s="21" t="s">
        <v>2215</v>
      </c>
      <c r="G94" s="11" t="s">
        <v>2213</v>
      </c>
      <c r="H94" s="11" t="s">
        <v>2783</v>
      </c>
      <c r="I94" s="12" t="s">
        <v>2213</v>
      </c>
      <c r="J94" s="11" t="s">
        <v>2800</v>
      </c>
      <c r="K94" s="10"/>
      <c r="L94" s="10"/>
    </row>
    <row r="95" spans="1:12" x14ac:dyDescent="0.25">
      <c r="A95" s="21" t="s">
        <v>120</v>
      </c>
      <c r="B95" s="12" t="s">
        <v>121</v>
      </c>
      <c r="C95" s="11" t="s">
        <v>2805</v>
      </c>
      <c r="D95" s="13" t="s">
        <v>122</v>
      </c>
      <c r="E95" s="11">
        <v>633</v>
      </c>
      <c r="F95" s="21" t="s">
        <v>123</v>
      </c>
      <c r="G95" s="11" t="s">
        <v>121</v>
      </c>
      <c r="H95" s="11" t="s">
        <v>2783</v>
      </c>
      <c r="I95" s="12" t="s">
        <v>121</v>
      </c>
      <c r="J95" s="11" t="s">
        <v>2805</v>
      </c>
      <c r="K95" s="10"/>
      <c r="L95" s="10"/>
    </row>
    <row r="96" spans="1:12" x14ac:dyDescent="0.25">
      <c r="A96" s="21" t="s">
        <v>3437</v>
      </c>
      <c r="B96" s="12" t="s">
        <v>3438</v>
      </c>
      <c r="C96" s="11" t="s">
        <v>2805</v>
      </c>
      <c r="D96" s="13" t="s">
        <v>3439</v>
      </c>
      <c r="E96" s="11">
        <v>2766</v>
      </c>
      <c r="F96" s="21" t="s">
        <v>3440</v>
      </c>
      <c r="G96" s="11" t="s">
        <v>3438</v>
      </c>
      <c r="H96" s="11" t="s">
        <v>2783</v>
      </c>
      <c r="I96" s="12" t="s">
        <v>3438</v>
      </c>
      <c r="J96" s="11" t="s">
        <v>2805</v>
      </c>
      <c r="K96" s="10"/>
      <c r="L96" s="10"/>
    </row>
    <row r="97" spans="1:29" x14ac:dyDescent="0.25">
      <c r="A97" s="21" t="s">
        <v>1128</v>
      </c>
      <c r="B97" s="12" t="s">
        <v>1129</v>
      </c>
      <c r="C97" s="11" t="s">
        <v>2805</v>
      </c>
      <c r="D97" s="13" t="s">
        <v>1130</v>
      </c>
      <c r="E97" s="11">
        <v>630</v>
      </c>
      <c r="F97" s="21" t="s">
        <v>1131</v>
      </c>
      <c r="G97" s="11" t="s">
        <v>1129</v>
      </c>
      <c r="H97" s="11" t="s">
        <v>2783</v>
      </c>
      <c r="I97" s="12" t="s">
        <v>1129</v>
      </c>
      <c r="J97" s="11" t="s">
        <v>2805</v>
      </c>
      <c r="K97" s="10"/>
      <c r="L97" s="10"/>
    </row>
    <row r="98" spans="1:29" x14ac:dyDescent="0.25">
      <c r="A98" s="21" t="s">
        <v>124</v>
      </c>
      <c r="B98" s="12" t="s">
        <v>125</v>
      </c>
      <c r="C98" s="11" t="s">
        <v>2805</v>
      </c>
      <c r="D98" s="13" t="s">
        <v>55</v>
      </c>
      <c r="E98" s="11">
        <v>616</v>
      </c>
      <c r="F98" s="21" t="s">
        <v>56</v>
      </c>
      <c r="G98" s="11" t="s">
        <v>57</v>
      </c>
      <c r="H98" s="11" t="s">
        <v>2783</v>
      </c>
      <c r="I98" s="12" t="s">
        <v>125</v>
      </c>
      <c r="J98" s="11" t="s">
        <v>2805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21" t="s">
        <v>4363</v>
      </c>
      <c r="B99" s="12" t="s">
        <v>4364</v>
      </c>
      <c r="C99" s="11" t="s">
        <v>2800</v>
      </c>
      <c r="D99" s="13" t="s">
        <v>4365</v>
      </c>
      <c r="E99" s="11">
        <v>110</v>
      </c>
      <c r="F99" s="21" t="s">
        <v>4366</v>
      </c>
      <c r="G99" s="11" t="s">
        <v>4364</v>
      </c>
      <c r="H99" s="11" t="s">
        <v>2783</v>
      </c>
      <c r="I99" s="12" t="s">
        <v>4364</v>
      </c>
      <c r="J99" s="11" t="s">
        <v>2800</v>
      </c>
      <c r="K99" s="10"/>
      <c r="L99" s="10"/>
    </row>
    <row r="100" spans="1:29" x14ac:dyDescent="0.25">
      <c r="A100" s="21" t="s">
        <v>2322</v>
      </c>
      <c r="B100" s="12" t="s">
        <v>2323</v>
      </c>
      <c r="C100" s="11" t="s">
        <v>2805</v>
      </c>
      <c r="D100" s="13" t="s">
        <v>2324</v>
      </c>
      <c r="E100" s="11">
        <v>441</v>
      </c>
      <c r="F100" s="21" t="s">
        <v>2325</v>
      </c>
      <c r="G100" s="11" t="s">
        <v>2323</v>
      </c>
      <c r="H100" s="11" t="s">
        <v>2783</v>
      </c>
      <c r="I100" s="12" t="s">
        <v>2323</v>
      </c>
      <c r="J100" s="11" t="s">
        <v>2805</v>
      </c>
      <c r="K100" s="10"/>
      <c r="L100" s="10"/>
    </row>
    <row r="101" spans="1:29" x14ac:dyDescent="0.25">
      <c r="A101" s="21" t="s">
        <v>1459</v>
      </c>
      <c r="B101" s="12" t="s">
        <v>1460</v>
      </c>
      <c r="C101" s="11" t="s">
        <v>2800</v>
      </c>
      <c r="D101" s="13" t="s">
        <v>1461</v>
      </c>
      <c r="E101" s="11">
        <v>198</v>
      </c>
      <c r="F101" s="21" t="s">
        <v>1462</v>
      </c>
      <c r="G101" s="11" t="s">
        <v>1460</v>
      </c>
      <c r="H101" s="11" t="s">
        <v>2783</v>
      </c>
      <c r="I101" s="12" t="s">
        <v>1460</v>
      </c>
      <c r="J101" s="11" t="s">
        <v>2800</v>
      </c>
      <c r="K101" s="10"/>
      <c r="L101" s="10"/>
    </row>
    <row r="102" spans="1:29" x14ac:dyDescent="0.25">
      <c r="A102" s="21" t="s">
        <v>4052</v>
      </c>
      <c r="B102" s="12" t="s">
        <v>4053</v>
      </c>
      <c r="C102" s="11" t="s">
        <v>2800</v>
      </c>
      <c r="D102" s="13" t="s">
        <v>4054</v>
      </c>
      <c r="E102" s="11">
        <v>379</v>
      </c>
      <c r="F102" s="21" t="s">
        <v>4055</v>
      </c>
      <c r="G102" s="11" t="s">
        <v>4056</v>
      </c>
      <c r="H102" s="11" t="s">
        <v>2783</v>
      </c>
      <c r="I102" s="12" t="s">
        <v>4053</v>
      </c>
      <c r="J102" s="11" t="s">
        <v>2800</v>
      </c>
      <c r="K102" s="10"/>
      <c r="L102" s="10"/>
    </row>
    <row r="103" spans="1:29" x14ac:dyDescent="0.25">
      <c r="A103" s="21" t="s">
        <v>2326</v>
      </c>
      <c r="B103" s="12" t="s">
        <v>2327</v>
      </c>
      <c r="C103" s="11" t="s">
        <v>2805</v>
      </c>
      <c r="D103" s="13" t="s">
        <v>2328</v>
      </c>
      <c r="E103" s="11">
        <v>362</v>
      </c>
      <c r="F103" s="21" t="s">
        <v>2329</v>
      </c>
      <c r="G103" s="11" t="s">
        <v>2327</v>
      </c>
      <c r="H103" s="11" t="s">
        <v>2783</v>
      </c>
      <c r="I103" s="12" t="s">
        <v>2327</v>
      </c>
      <c r="J103" s="11" t="s">
        <v>2805</v>
      </c>
      <c r="K103" s="10"/>
      <c r="L103" s="10"/>
    </row>
    <row r="104" spans="1:29" x14ac:dyDescent="0.25">
      <c r="A104" s="21" t="s">
        <v>58</v>
      </c>
      <c r="B104" s="12" t="s">
        <v>59</v>
      </c>
      <c r="C104" s="11" t="s">
        <v>2805</v>
      </c>
      <c r="D104" s="13" t="s">
        <v>2783</v>
      </c>
      <c r="E104" s="11">
        <v>187</v>
      </c>
      <c r="F104" s="21" t="s">
        <v>60</v>
      </c>
      <c r="G104" s="11" t="s">
        <v>59</v>
      </c>
      <c r="H104" s="11" t="s">
        <v>2783</v>
      </c>
      <c r="I104" s="12" t="s">
        <v>59</v>
      </c>
      <c r="J104" s="11" t="s">
        <v>2805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21" t="s">
        <v>4251</v>
      </c>
      <c r="B105" s="12" t="s">
        <v>1656</v>
      </c>
      <c r="C105" s="11" t="s">
        <v>2805</v>
      </c>
      <c r="D105" s="13" t="s">
        <v>1657</v>
      </c>
      <c r="E105" s="11">
        <v>6529</v>
      </c>
      <c r="F105" s="21" t="s">
        <v>1658</v>
      </c>
      <c r="G105" s="11" t="s">
        <v>2257</v>
      </c>
      <c r="H105" s="11" t="s">
        <v>2783</v>
      </c>
      <c r="I105" s="12" t="s">
        <v>1656</v>
      </c>
      <c r="J105" s="11" t="s">
        <v>2805</v>
      </c>
      <c r="K105" s="10"/>
      <c r="L105" s="10"/>
    </row>
    <row r="106" spans="1:29" x14ac:dyDescent="0.25">
      <c r="A106" s="21" t="s">
        <v>2256</v>
      </c>
      <c r="B106" s="12" t="s">
        <v>2257</v>
      </c>
      <c r="C106" s="11" t="s">
        <v>2800</v>
      </c>
      <c r="D106" s="13" t="s">
        <v>2258</v>
      </c>
      <c r="E106" s="11">
        <v>3212</v>
      </c>
      <c r="F106" s="21" t="s">
        <v>2259</v>
      </c>
      <c r="G106" s="11" t="s">
        <v>2257</v>
      </c>
      <c r="H106" s="11" t="s">
        <v>2783</v>
      </c>
      <c r="I106" s="12" t="s">
        <v>2257</v>
      </c>
      <c r="J106" s="11" t="s">
        <v>2800</v>
      </c>
      <c r="K106" s="10"/>
      <c r="L106" s="10"/>
    </row>
    <row r="107" spans="1:29" x14ac:dyDescent="0.25">
      <c r="A107" s="21" t="s">
        <v>4424</v>
      </c>
      <c r="B107" s="12" t="s">
        <v>4425</v>
      </c>
      <c r="C107" s="11" t="s">
        <v>2805</v>
      </c>
      <c r="D107" s="13">
        <v>9</v>
      </c>
      <c r="E107" s="11">
        <v>670</v>
      </c>
      <c r="F107" s="21" t="s">
        <v>4426</v>
      </c>
      <c r="G107" s="11" t="s">
        <v>4427</v>
      </c>
      <c r="H107" s="11" t="s">
        <v>2783</v>
      </c>
      <c r="I107" s="12" t="s">
        <v>4425</v>
      </c>
      <c r="J107" s="11" t="s">
        <v>2805</v>
      </c>
      <c r="K107" s="10"/>
      <c r="L107" s="10"/>
    </row>
    <row r="108" spans="1:29" x14ac:dyDescent="0.25">
      <c r="A108" s="21" t="s">
        <v>4720</v>
      </c>
      <c r="B108" s="12" t="s">
        <v>2782</v>
      </c>
      <c r="C108" s="11" t="s">
        <v>2800</v>
      </c>
      <c r="D108" s="13" t="s">
        <v>255</v>
      </c>
      <c r="E108" s="11">
        <v>2849</v>
      </c>
      <c r="F108" s="21" t="s">
        <v>2784</v>
      </c>
      <c r="G108" s="11" t="s">
        <v>2782</v>
      </c>
      <c r="H108" s="11" t="s">
        <v>2783</v>
      </c>
      <c r="I108" s="12" t="s">
        <v>2782</v>
      </c>
      <c r="J108" s="11" t="s">
        <v>2800</v>
      </c>
      <c r="K108" s="10"/>
      <c r="L108" s="10"/>
    </row>
    <row r="109" spans="1:29" x14ac:dyDescent="0.25">
      <c r="A109" s="21" t="s">
        <v>4733</v>
      </c>
      <c r="B109" s="12" t="s">
        <v>4734</v>
      </c>
      <c r="C109" s="11" t="s">
        <v>2800</v>
      </c>
      <c r="D109" s="13" t="s">
        <v>4731</v>
      </c>
      <c r="E109" s="11">
        <v>438</v>
      </c>
      <c r="F109" s="21" t="s">
        <v>2302</v>
      </c>
      <c r="G109" s="11" t="s">
        <v>2782</v>
      </c>
      <c r="H109" s="11" t="s">
        <v>2783</v>
      </c>
      <c r="I109" s="12" t="s">
        <v>4734</v>
      </c>
      <c r="J109" s="11" t="s">
        <v>2800</v>
      </c>
      <c r="K109" s="10"/>
      <c r="L109" s="10"/>
    </row>
    <row r="110" spans="1:29" x14ac:dyDescent="0.25">
      <c r="A110" s="21" t="s">
        <v>61</v>
      </c>
      <c r="B110" s="12" t="s">
        <v>62</v>
      </c>
      <c r="C110" s="11" t="s">
        <v>2805</v>
      </c>
      <c r="D110" s="13" t="s">
        <v>4655</v>
      </c>
      <c r="E110" s="11">
        <v>1</v>
      </c>
      <c r="F110" s="21" t="s">
        <v>63</v>
      </c>
      <c r="G110" s="11" t="s">
        <v>62</v>
      </c>
      <c r="H110" s="11" t="s">
        <v>2783</v>
      </c>
      <c r="I110" s="12" t="s">
        <v>62</v>
      </c>
      <c r="J110" s="11" t="s">
        <v>2805</v>
      </c>
      <c r="K110" s="10"/>
      <c r="L110" s="10"/>
    </row>
    <row r="111" spans="1:29" x14ac:dyDescent="0.25">
      <c r="A111" s="21" t="s">
        <v>4331</v>
      </c>
      <c r="B111" s="12" t="s">
        <v>4332</v>
      </c>
      <c r="C111" s="11" t="s">
        <v>2805</v>
      </c>
      <c r="D111" s="13" t="s">
        <v>4333</v>
      </c>
      <c r="E111" s="11">
        <v>2052</v>
      </c>
      <c r="F111" s="21" t="s">
        <v>4334</v>
      </c>
      <c r="G111" s="11" t="s">
        <v>4332</v>
      </c>
      <c r="H111" s="11" t="s">
        <v>2783</v>
      </c>
      <c r="I111" s="12" t="s">
        <v>4332</v>
      </c>
      <c r="J111" s="11" t="s">
        <v>2805</v>
      </c>
      <c r="K111" s="10"/>
      <c r="L111" s="10"/>
    </row>
    <row r="112" spans="1:29" x14ac:dyDescent="0.25">
      <c r="A112" s="21" t="s">
        <v>1136</v>
      </c>
      <c r="B112" s="12" t="s">
        <v>1137</v>
      </c>
      <c r="C112" s="11" t="s">
        <v>2800</v>
      </c>
      <c r="D112" s="13" t="s">
        <v>1663</v>
      </c>
      <c r="E112" s="11">
        <v>974</v>
      </c>
      <c r="F112" s="21" t="s">
        <v>1138</v>
      </c>
      <c r="G112" s="11" t="s">
        <v>1137</v>
      </c>
      <c r="H112" s="11" t="s">
        <v>2783</v>
      </c>
      <c r="I112" s="12" t="s">
        <v>1137</v>
      </c>
      <c r="J112" s="11" t="s">
        <v>2800</v>
      </c>
      <c r="K112" s="10"/>
      <c r="L112" s="10"/>
    </row>
    <row r="113" spans="1:29" x14ac:dyDescent="0.25">
      <c r="A113" s="21" t="s">
        <v>2330</v>
      </c>
      <c r="B113" s="12" t="s">
        <v>2331</v>
      </c>
      <c r="C113" s="11" t="s">
        <v>2805</v>
      </c>
      <c r="D113" s="13" t="s">
        <v>247</v>
      </c>
      <c r="E113" s="11">
        <v>633</v>
      </c>
      <c r="F113" s="21" t="s">
        <v>2332</v>
      </c>
      <c r="G113" s="11" t="s">
        <v>2331</v>
      </c>
      <c r="H113" s="11" t="s">
        <v>2783</v>
      </c>
      <c r="I113" s="12" t="s">
        <v>2331</v>
      </c>
      <c r="J113" s="11" t="s">
        <v>2805</v>
      </c>
      <c r="K113" s="10"/>
      <c r="L113" s="10"/>
    </row>
    <row r="114" spans="1:29" x14ac:dyDescent="0.25">
      <c r="A114" s="21" t="s">
        <v>4367</v>
      </c>
      <c r="B114" s="12" t="s">
        <v>4368</v>
      </c>
      <c r="C114" s="11" t="s">
        <v>2805</v>
      </c>
      <c r="D114" s="13" t="s">
        <v>255</v>
      </c>
      <c r="E114" s="11">
        <v>1191</v>
      </c>
      <c r="F114" s="21" t="s">
        <v>4369</v>
      </c>
      <c r="G114" s="11" t="s">
        <v>4368</v>
      </c>
      <c r="H114" s="11" t="s">
        <v>2783</v>
      </c>
      <c r="I114" s="12" t="s">
        <v>4368</v>
      </c>
      <c r="J114" s="11" t="s">
        <v>2805</v>
      </c>
      <c r="K114" s="10"/>
      <c r="L114" s="10"/>
    </row>
    <row r="115" spans="1:29" s="10" customFormat="1" x14ac:dyDescent="0.25">
      <c r="A115" s="21" t="s">
        <v>64</v>
      </c>
      <c r="B115" s="12" t="s">
        <v>65</v>
      </c>
      <c r="C115" s="11" t="s">
        <v>2805</v>
      </c>
      <c r="D115" s="13" t="s">
        <v>66</v>
      </c>
      <c r="E115" s="11">
        <v>145</v>
      </c>
      <c r="F115" s="21" t="s">
        <v>67</v>
      </c>
      <c r="G115" s="11" t="s">
        <v>68</v>
      </c>
      <c r="H115" s="11" t="s">
        <v>2783</v>
      </c>
      <c r="I115" s="12" t="s">
        <v>65</v>
      </c>
      <c r="J115" s="11" t="s">
        <v>2805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21" t="s">
        <v>4370</v>
      </c>
      <c r="B116" s="12" t="s">
        <v>4371</v>
      </c>
      <c r="C116" s="11" t="s">
        <v>2805</v>
      </c>
      <c r="D116" s="13" t="s">
        <v>4372</v>
      </c>
      <c r="E116" s="11">
        <v>632</v>
      </c>
      <c r="F116" s="21" t="s">
        <v>4373</v>
      </c>
      <c r="G116" s="11" t="s">
        <v>4374</v>
      </c>
      <c r="H116" s="11" t="s">
        <v>2783</v>
      </c>
      <c r="I116" s="12" t="s">
        <v>4371</v>
      </c>
      <c r="J116" s="11" t="s">
        <v>2805</v>
      </c>
      <c r="K116" s="10"/>
      <c r="L116" s="10"/>
    </row>
    <row r="117" spans="1:29" x14ac:dyDescent="0.25">
      <c r="A117" s="21" t="s">
        <v>4375</v>
      </c>
      <c r="B117" s="12" t="s">
        <v>4376</v>
      </c>
      <c r="C117" s="11" t="s">
        <v>2805</v>
      </c>
      <c r="D117" s="13" t="s">
        <v>2266</v>
      </c>
      <c r="E117" s="11">
        <v>86</v>
      </c>
      <c r="F117" s="21" t="s">
        <v>4377</v>
      </c>
      <c r="G117" s="11" t="s">
        <v>4378</v>
      </c>
      <c r="H117" s="11" t="s">
        <v>2783</v>
      </c>
      <c r="I117" s="12" t="s">
        <v>4376</v>
      </c>
      <c r="J117" s="11" t="s">
        <v>2805</v>
      </c>
      <c r="K117" s="10"/>
      <c r="L117" s="10"/>
    </row>
    <row r="118" spans="1:29" x14ac:dyDescent="0.25">
      <c r="A118" s="21" t="s">
        <v>2404</v>
      </c>
      <c r="B118" s="12" t="s">
        <v>2405</v>
      </c>
      <c r="C118" s="11" t="s">
        <v>2805</v>
      </c>
      <c r="D118" s="13" t="s">
        <v>4646</v>
      </c>
      <c r="E118" s="11">
        <v>312</v>
      </c>
      <c r="F118" s="21" t="s">
        <v>2406</v>
      </c>
      <c r="G118" s="11" t="s">
        <v>2407</v>
      </c>
      <c r="H118" s="11" t="s">
        <v>2783</v>
      </c>
      <c r="I118" s="12" t="s">
        <v>2405</v>
      </c>
      <c r="J118" s="11" t="s">
        <v>2805</v>
      </c>
      <c r="K118" s="10"/>
      <c r="L118" s="10"/>
    </row>
    <row r="119" spans="1:29" x14ac:dyDescent="0.25">
      <c r="A119" s="21" t="s">
        <v>3046</v>
      </c>
      <c r="B119" s="12" t="s">
        <v>3047</v>
      </c>
      <c r="C119" s="11" t="s">
        <v>2805</v>
      </c>
      <c r="D119" s="13" t="s">
        <v>2226</v>
      </c>
      <c r="E119" s="11">
        <v>429</v>
      </c>
      <c r="F119" s="21" t="s">
        <v>3048</v>
      </c>
      <c r="G119" s="11" t="s">
        <v>3049</v>
      </c>
      <c r="H119" s="11" t="s">
        <v>2783</v>
      </c>
      <c r="I119" s="12" t="s">
        <v>3047</v>
      </c>
      <c r="J119" s="11" t="s">
        <v>2805</v>
      </c>
      <c r="K119" s="10"/>
      <c r="L119" s="10"/>
    </row>
    <row r="120" spans="1:29" x14ac:dyDescent="0.25">
      <c r="A120" s="21" t="s">
        <v>4388</v>
      </c>
      <c r="B120" s="12" t="s">
        <v>4389</v>
      </c>
      <c r="C120" s="11" t="s">
        <v>2805</v>
      </c>
      <c r="D120" s="13" t="s">
        <v>4399</v>
      </c>
      <c r="E120" s="11">
        <v>969</v>
      </c>
      <c r="F120" s="21" t="s">
        <v>4400</v>
      </c>
      <c r="G120" s="11" t="s">
        <v>4401</v>
      </c>
      <c r="H120" s="11" t="s">
        <v>2783</v>
      </c>
      <c r="I120" s="12" t="s">
        <v>4389</v>
      </c>
      <c r="J120" s="11" t="s">
        <v>2805</v>
      </c>
      <c r="K120" s="10"/>
      <c r="L120" s="10"/>
    </row>
    <row r="121" spans="1:29" x14ac:dyDescent="0.25">
      <c r="A121" s="21" t="s">
        <v>2408</v>
      </c>
      <c r="B121" s="12" t="s">
        <v>2409</v>
      </c>
      <c r="C121" s="11" t="s">
        <v>2805</v>
      </c>
      <c r="D121" s="13" t="s">
        <v>2410</v>
      </c>
      <c r="E121" s="11">
        <v>1186</v>
      </c>
      <c r="F121" s="21" t="s">
        <v>2411</v>
      </c>
      <c r="G121" s="11" t="s">
        <v>2412</v>
      </c>
      <c r="H121" s="11" t="s">
        <v>2783</v>
      </c>
      <c r="I121" s="12" t="s">
        <v>2409</v>
      </c>
      <c r="J121" s="11" t="s">
        <v>2805</v>
      </c>
      <c r="K121" s="10"/>
      <c r="L121" s="10"/>
    </row>
    <row r="122" spans="1:29" x14ac:dyDescent="0.25">
      <c r="A122" s="21" t="s">
        <v>2413</v>
      </c>
      <c r="B122" s="12" t="s">
        <v>2414</v>
      </c>
      <c r="C122" s="11" t="s">
        <v>2805</v>
      </c>
      <c r="D122" s="13" t="s">
        <v>2270</v>
      </c>
      <c r="E122" s="11">
        <v>712</v>
      </c>
      <c r="F122" s="21" t="s">
        <v>2415</v>
      </c>
      <c r="G122" s="11" t="s">
        <v>2416</v>
      </c>
      <c r="H122" s="11" t="s">
        <v>2783</v>
      </c>
      <c r="I122" s="12" t="s">
        <v>2414</v>
      </c>
      <c r="J122" s="11" t="s">
        <v>2805</v>
      </c>
      <c r="K122" s="10"/>
      <c r="L122" s="10"/>
    </row>
    <row r="123" spans="1:29" x14ac:dyDescent="0.25">
      <c r="A123" s="21" t="s">
        <v>69</v>
      </c>
      <c r="B123" s="12" t="s">
        <v>70</v>
      </c>
      <c r="C123" s="11" t="s">
        <v>2805</v>
      </c>
      <c r="D123" s="13" t="s">
        <v>2226</v>
      </c>
      <c r="E123" s="11">
        <v>48</v>
      </c>
      <c r="F123" s="21" t="s">
        <v>71</v>
      </c>
      <c r="G123" s="11" t="s">
        <v>70</v>
      </c>
      <c r="H123" s="11" t="s">
        <v>2783</v>
      </c>
      <c r="I123" s="12" t="s">
        <v>70</v>
      </c>
      <c r="J123" s="11" t="s">
        <v>2805</v>
      </c>
      <c r="K123" s="10"/>
      <c r="L123" s="10"/>
    </row>
    <row r="124" spans="1:29" x14ac:dyDescent="0.25">
      <c r="A124" s="21" t="s">
        <v>4721</v>
      </c>
      <c r="B124" s="12" t="s">
        <v>4722</v>
      </c>
      <c r="C124" s="11" t="s">
        <v>2800</v>
      </c>
      <c r="D124" s="13" t="s">
        <v>4723</v>
      </c>
      <c r="E124" s="11">
        <v>532</v>
      </c>
      <c r="F124" s="21" t="s">
        <v>4724</v>
      </c>
      <c r="G124" s="11" t="s">
        <v>4722</v>
      </c>
      <c r="H124" s="11" t="s">
        <v>2783</v>
      </c>
      <c r="I124" s="12" t="s">
        <v>4722</v>
      </c>
      <c r="J124" s="11" t="s">
        <v>2800</v>
      </c>
      <c r="K124" s="10"/>
      <c r="L124" s="10"/>
    </row>
    <row r="125" spans="1:29" x14ac:dyDescent="0.25">
      <c r="A125" s="21" t="s">
        <v>72</v>
      </c>
      <c r="B125" s="12" t="s">
        <v>73</v>
      </c>
      <c r="C125" s="11" t="s">
        <v>2805</v>
      </c>
      <c r="D125" s="13" t="s">
        <v>255</v>
      </c>
      <c r="E125" s="11">
        <v>339</v>
      </c>
      <c r="F125" s="21" t="s">
        <v>74</v>
      </c>
      <c r="G125" s="11" t="s">
        <v>75</v>
      </c>
      <c r="H125" s="11" t="s">
        <v>2783</v>
      </c>
      <c r="I125" s="12" t="s">
        <v>73</v>
      </c>
      <c r="J125" s="11" t="s">
        <v>2805</v>
      </c>
      <c r="K125" s="10"/>
      <c r="L125" s="10"/>
    </row>
    <row r="126" spans="1:29" x14ac:dyDescent="0.25">
      <c r="A126" s="21" t="s">
        <v>2417</v>
      </c>
      <c r="B126" s="12" t="s">
        <v>2418</v>
      </c>
      <c r="C126" s="11" t="s">
        <v>2805</v>
      </c>
      <c r="D126" s="13" t="s">
        <v>2648</v>
      </c>
      <c r="E126" s="11">
        <v>599</v>
      </c>
      <c r="F126" s="21" t="s">
        <v>2419</v>
      </c>
      <c r="G126" s="11" t="s">
        <v>2420</v>
      </c>
      <c r="H126" s="11" t="s">
        <v>2783</v>
      </c>
      <c r="I126" s="12" t="s">
        <v>2418</v>
      </c>
      <c r="J126" s="11" t="s">
        <v>2805</v>
      </c>
      <c r="K126" s="10"/>
      <c r="L126" s="10"/>
    </row>
    <row r="127" spans="1:29" x14ac:dyDescent="0.25">
      <c r="A127" s="21" t="s">
        <v>76</v>
      </c>
      <c r="B127" s="12" t="s">
        <v>77</v>
      </c>
      <c r="C127" s="11" t="s">
        <v>2800</v>
      </c>
      <c r="D127" s="13" t="s">
        <v>78</v>
      </c>
      <c r="E127" s="11">
        <v>233</v>
      </c>
      <c r="F127" s="21" t="s">
        <v>79</v>
      </c>
      <c r="G127" s="11" t="s">
        <v>80</v>
      </c>
      <c r="H127" s="11" t="s">
        <v>2783</v>
      </c>
      <c r="I127" s="12" t="s">
        <v>77</v>
      </c>
      <c r="J127" s="11" t="s">
        <v>2800</v>
      </c>
      <c r="K127" s="10"/>
      <c r="L127" s="10"/>
    </row>
    <row r="128" spans="1:29" x14ac:dyDescent="0.25">
      <c r="A128" s="21" t="s">
        <v>1139</v>
      </c>
      <c r="B128" s="12" t="s">
        <v>1140</v>
      </c>
      <c r="C128" s="11" t="s">
        <v>2805</v>
      </c>
      <c r="D128" s="13" t="s">
        <v>230</v>
      </c>
      <c r="E128" s="11">
        <v>55</v>
      </c>
      <c r="F128" s="21" t="s">
        <v>1141</v>
      </c>
      <c r="G128" s="11" t="s">
        <v>1140</v>
      </c>
      <c r="H128" s="11" t="s">
        <v>2783</v>
      </c>
      <c r="I128" s="12" t="s">
        <v>1140</v>
      </c>
      <c r="J128" s="11" t="s">
        <v>2805</v>
      </c>
      <c r="K128" s="10"/>
      <c r="L128" s="10"/>
    </row>
    <row r="129" spans="1:12" x14ac:dyDescent="0.25">
      <c r="A129" s="21" t="s">
        <v>2173</v>
      </c>
      <c r="B129" s="12" t="s">
        <v>247</v>
      </c>
      <c r="C129" s="11" t="s">
        <v>2800</v>
      </c>
      <c r="D129" s="13" t="s">
        <v>4767</v>
      </c>
      <c r="E129" s="11">
        <v>1951</v>
      </c>
      <c r="F129" s="21" t="s">
        <v>4768</v>
      </c>
      <c r="G129" s="11" t="s">
        <v>4769</v>
      </c>
      <c r="H129" s="11" t="s">
        <v>2783</v>
      </c>
      <c r="I129" s="12" t="s">
        <v>247</v>
      </c>
      <c r="J129" s="11" t="s">
        <v>2800</v>
      </c>
      <c r="K129" s="10"/>
      <c r="L129" s="10"/>
    </row>
    <row r="130" spans="1:12" x14ac:dyDescent="0.25">
      <c r="A130" s="21" t="s">
        <v>81</v>
      </c>
      <c r="B130" s="12" t="s">
        <v>82</v>
      </c>
      <c r="C130" s="11" t="s">
        <v>2800</v>
      </c>
      <c r="D130" s="13" t="s">
        <v>2648</v>
      </c>
      <c r="E130" s="11">
        <v>620</v>
      </c>
      <c r="F130" s="21" t="s">
        <v>2649</v>
      </c>
      <c r="G130" s="11" t="s">
        <v>2650</v>
      </c>
      <c r="H130" s="11" t="s">
        <v>2783</v>
      </c>
      <c r="I130" s="12" t="s">
        <v>82</v>
      </c>
      <c r="J130" s="11" t="s">
        <v>2800</v>
      </c>
      <c r="K130" s="10"/>
      <c r="L130" s="10"/>
    </row>
    <row r="131" spans="1:12" x14ac:dyDescent="0.25">
      <c r="A131" s="21" t="s">
        <v>2260</v>
      </c>
      <c r="B131" s="12" t="s">
        <v>2261</v>
      </c>
      <c r="C131" s="11" t="s">
        <v>2800</v>
      </c>
      <c r="D131" s="13" t="s">
        <v>2262</v>
      </c>
      <c r="E131" s="11">
        <v>2317</v>
      </c>
      <c r="F131" s="21" t="s">
        <v>2263</v>
      </c>
      <c r="G131" s="11" t="s">
        <v>2261</v>
      </c>
      <c r="H131" s="11" t="s">
        <v>2783</v>
      </c>
      <c r="I131" s="12" t="s">
        <v>2261</v>
      </c>
      <c r="J131" s="11" t="s">
        <v>2800</v>
      </c>
      <c r="K131" s="10"/>
      <c r="L131" s="10"/>
    </row>
    <row r="132" spans="1:12" x14ac:dyDescent="0.25">
      <c r="A132" s="21" t="s">
        <v>2651</v>
      </c>
      <c r="B132" s="12" t="s">
        <v>2652</v>
      </c>
      <c r="C132" s="11" t="s">
        <v>2805</v>
      </c>
      <c r="D132" s="13" t="s">
        <v>2783</v>
      </c>
      <c r="E132" s="11">
        <v>677</v>
      </c>
      <c r="F132" s="21" t="s">
        <v>2653</v>
      </c>
      <c r="G132" s="11" t="s">
        <v>2652</v>
      </c>
      <c r="H132" s="11" t="s">
        <v>2783</v>
      </c>
      <c r="I132" s="12" t="s">
        <v>2652</v>
      </c>
      <c r="J132" s="11" t="s">
        <v>2805</v>
      </c>
      <c r="K132" s="10"/>
      <c r="L132" s="10"/>
    </row>
    <row r="133" spans="1:12" x14ac:dyDescent="0.25">
      <c r="A133" s="21" t="s">
        <v>1463</v>
      </c>
      <c r="B133" s="12" t="s">
        <v>1464</v>
      </c>
      <c r="C133" s="11" t="s">
        <v>2805</v>
      </c>
      <c r="D133" s="13" t="s">
        <v>4655</v>
      </c>
      <c r="E133" s="11">
        <v>50</v>
      </c>
      <c r="F133" s="21" t="s">
        <v>1465</v>
      </c>
      <c r="G133" s="11" t="s">
        <v>1464</v>
      </c>
      <c r="H133" s="11" t="s">
        <v>2783</v>
      </c>
      <c r="I133" s="12" t="s">
        <v>1464</v>
      </c>
      <c r="J133" s="11" t="s">
        <v>2805</v>
      </c>
      <c r="K133" s="10"/>
      <c r="L133" s="10"/>
    </row>
    <row r="134" spans="1:12" x14ac:dyDescent="0.25">
      <c r="A134" s="21" t="s">
        <v>2860</v>
      </c>
      <c r="B134" s="12" t="s">
        <v>2861</v>
      </c>
      <c r="C134" s="11" t="s">
        <v>2805</v>
      </c>
      <c r="D134" s="13" t="s">
        <v>4646</v>
      </c>
      <c r="E134" s="11">
        <v>500</v>
      </c>
      <c r="F134" s="21" t="s">
        <v>297</v>
      </c>
      <c r="G134" s="11" t="s">
        <v>298</v>
      </c>
      <c r="H134" s="11" t="s">
        <v>2783</v>
      </c>
      <c r="I134" s="12" t="s">
        <v>2861</v>
      </c>
      <c r="J134" s="11" t="s">
        <v>2805</v>
      </c>
      <c r="K134" s="10"/>
      <c r="L134" s="10"/>
    </row>
    <row r="135" spans="1:12" x14ac:dyDescent="0.25">
      <c r="A135" s="21" t="s">
        <v>2654</v>
      </c>
      <c r="B135" s="12" t="s">
        <v>2655</v>
      </c>
      <c r="C135" s="11" t="s">
        <v>2805</v>
      </c>
      <c r="D135" s="13" t="s">
        <v>4646</v>
      </c>
      <c r="E135" s="11">
        <v>209</v>
      </c>
      <c r="F135" s="21" t="s">
        <v>2656</v>
      </c>
      <c r="G135" s="11" t="s">
        <v>2657</v>
      </c>
      <c r="H135" s="11" t="s">
        <v>2783</v>
      </c>
      <c r="I135" s="12" t="s">
        <v>2655</v>
      </c>
      <c r="J135" s="11" t="s">
        <v>2805</v>
      </c>
      <c r="K135" s="10"/>
      <c r="L135" s="10"/>
    </row>
    <row r="136" spans="1:12" x14ac:dyDescent="0.25">
      <c r="A136" s="21" t="s">
        <v>1466</v>
      </c>
      <c r="B136" s="12" t="s">
        <v>1467</v>
      </c>
      <c r="C136" s="11" t="s">
        <v>2800</v>
      </c>
      <c r="D136" s="13" t="s">
        <v>1468</v>
      </c>
      <c r="E136" s="11">
        <v>4491</v>
      </c>
      <c r="F136" s="21" t="s">
        <v>1469</v>
      </c>
      <c r="G136" s="11" t="s">
        <v>1467</v>
      </c>
      <c r="H136" s="11" t="s">
        <v>2783</v>
      </c>
      <c r="I136" s="12" t="s">
        <v>1467</v>
      </c>
      <c r="J136" s="11" t="s">
        <v>2800</v>
      </c>
      <c r="K136" s="10"/>
      <c r="L136" s="10"/>
    </row>
    <row r="137" spans="1:12" x14ac:dyDescent="0.25">
      <c r="A137" s="21" t="s">
        <v>2658</v>
      </c>
      <c r="B137" s="12" t="s">
        <v>2659</v>
      </c>
      <c r="C137" s="11" t="s">
        <v>2805</v>
      </c>
      <c r="D137" s="13" t="s">
        <v>255</v>
      </c>
      <c r="E137" s="11">
        <v>501</v>
      </c>
      <c r="F137" s="21" t="s">
        <v>2660</v>
      </c>
      <c r="G137" s="11" t="s">
        <v>2659</v>
      </c>
      <c r="H137" s="11" t="s">
        <v>2783</v>
      </c>
      <c r="I137" s="12" t="s">
        <v>2659</v>
      </c>
      <c r="J137" s="11" t="s">
        <v>2805</v>
      </c>
      <c r="K137" s="10"/>
      <c r="L137" s="10"/>
    </row>
    <row r="138" spans="1:12" x14ac:dyDescent="0.25">
      <c r="A138" s="21" t="s">
        <v>2333</v>
      </c>
      <c r="B138" s="12" t="s">
        <v>2334</v>
      </c>
      <c r="C138" s="11" t="s">
        <v>2805</v>
      </c>
      <c r="D138" s="13" t="s">
        <v>2335</v>
      </c>
      <c r="E138" s="11">
        <v>502</v>
      </c>
      <c r="F138" s="21" t="s">
        <v>2336</v>
      </c>
      <c r="G138" s="11" t="s">
        <v>3045</v>
      </c>
      <c r="H138" s="11" t="s">
        <v>2783</v>
      </c>
      <c r="I138" s="12" t="s">
        <v>2334</v>
      </c>
      <c r="J138" s="11" t="s">
        <v>2805</v>
      </c>
      <c r="K138" s="10"/>
      <c r="L138" s="10"/>
    </row>
    <row r="139" spans="1:12" x14ac:dyDescent="0.25">
      <c r="A139" s="21" t="s">
        <v>2216</v>
      </c>
      <c r="B139" s="12" t="s">
        <v>2217</v>
      </c>
      <c r="C139" s="11" t="s">
        <v>2805</v>
      </c>
      <c r="D139" s="13" t="s">
        <v>2218</v>
      </c>
      <c r="E139" s="11">
        <v>1722</v>
      </c>
      <c r="F139" s="21" t="s">
        <v>2219</v>
      </c>
      <c r="G139" s="11" t="s">
        <v>2217</v>
      </c>
      <c r="H139" s="11" t="s">
        <v>2783</v>
      </c>
      <c r="I139" s="12" t="s">
        <v>2217</v>
      </c>
      <c r="J139" s="11" t="s">
        <v>2805</v>
      </c>
      <c r="K139" s="10"/>
      <c r="L139" s="10"/>
    </row>
    <row r="140" spans="1:12" x14ac:dyDescent="0.25">
      <c r="A140" s="21" t="s">
        <v>1442</v>
      </c>
      <c r="B140" s="12" t="s">
        <v>1443</v>
      </c>
      <c r="C140" s="11" t="s">
        <v>2800</v>
      </c>
      <c r="D140" s="13" t="s">
        <v>1444</v>
      </c>
      <c r="E140" s="11">
        <v>6006</v>
      </c>
      <c r="F140" s="21" t="s">
        <v>1445</v>
      </c>
      <c r="G140" s="11" t="s">
        <v>1446</v>
      </c>
      <c r="H140" s="11" t="s">
        <v>2783</v>
      </c>
      <c r="I140" s="12" t="s">
        <v>1443</v>
      </c>
      <c r="J140" s="11" t="s">
        <v>2800</v>
      </c>
      <c r="K140" s="10"/>
      <c r="L140" s="10"/>
    </row>
    <row r="141" spans="1:12" x14ac:dyDescent="0.25">
      <c r="A141" s="21" t="s">
        <v>3050</v>
      </c>
      <c r="B141" s="12" t="s">
        <v>3051</v>
      </c>
      <c r="C141" s="11" t="s">
        <v>2805</v>
      </c>
      <c r="D141" s="13" t="s">
        <v>2186</v>
      </c>
      <c r="E141" s="11">
        <v>653</v>
      </c>
      <c r="F141" s="21" t="s">
        <v>3052</v>
      </c>
      <c r="G141" s="11" t="s">
        <v>3053</v>
      </c>
      <c r="H141" s="11" t="s">
        <v>2783</v>
      </c>
      <c r="I141" s="12" t="s">
        <v>3051</v>
      </c>
      <c r="J141" s="11" t="s">
        <v>2805</v>
      </c>
      <c r="K141" s="10"/>
      <c r="L141" s="10"/>
    </row>
    <row r="142" spans="1:12" x14ac:dyDescent="0.25">
      <c r="A142" s="21" t="s">
        <v>4379</v>
      </c>
      <c r="B142" s="12" t="s">
        <v>4380</v>
      </c>
      <c r="C142" s="11" t="s">
        <v>2805</v>
      </c>
      <c r="D142" s="13">
        <v>5</v>
      </c>
      <c r="E142" s="11">
        <v>260</v>
      </c>
      <c r="F142" s="21" t="s">
        <v>4381</v>
      </c>
      <c r="G142" s="11" t="s">
        <v>4380</v>
      </c>
      <c r="H142" s="11" t="s">
        <v>2783</v>
      </c>
      <c r="I142" s="12" t="s">
        <v>4380</v>
      </c>
      <c r="J142" s="11" t="s">
        <v>2805</v>
      </c>
      <c r="K142" s="10"/>
      <c r="L142" s="10"/>
    </row>
    <row r="143" spans="1:12" x14ac:dyDescent="0.25">
      <c r="A143" s="21" t="s">
        <v>1470</v>
      </c>
      <c r="B143" s="12" t="s">
        <v>1637</v>
      </c>
      <c r="C143" s="11" t="s">
        <v>2805</v>
      </c>
      <c r="D143" s="13" t="s">
        <v>1638</v>
      </c>
      <c r="E143" s="11">
        <v>5443</v>
      </c>
      <c r="F143" s="21" t="s">
        <v>1639</v>
      </c>
      <c r="G143" s="11" t="s">
        <v>1640</v>
      </c>
      <c r="H143" s="11" t="s">
        <v>2783</v>
      </c>
      <c r="I143" s="12" t="s">
        <v>1637</v>
      </c>
      <c r="J143" s="11" t="s">
        <v>2805</v>
      </c>
      <c r="K143" s="10"/>
      <c r="L143" s="10"/>
    </row>
    <row r="144" spans="1:12" x14ac:dyDescent="0.25">
      <c r="A144" s="21" t="s">
        <v>4303</v>
      </c>
      <c r="B144" s="12" t="s">
        <v>4304</v>
      </c>
      <c r="C144" s="11" t="s">
        <v>2800</v>
      </c>
      <c r="D144" s="13" t="s">
        <v>1668</v>
      </c>
      <c r="E144" s="11">
        <v>16380</v>
      </c>
      <c r="F144" s="21" t="s">
        <v>4305</v>
      </c>
      <c r="G144" s="11" t="s">
        <v>4304</v>
      </c>
      <c r="H144" s="11" t="s">
        <v>2783</v>
      </c>
      <c r="I144" s="12" t="s">
        <v>4304</v>
      </c>
      <c r="J144" s="11" t="s">
        <v>2800</v>
      </c>
      <c r="K144" s="10"/>
      <c r="L144" s="10"/>
    </row>
    <row r="145" spans="1:12" x14ac:dyDescent="0.25">
      <c r="A145" s="21" t="s">
        <v>2661</v>
      </c>
      <c r="B145" s="12" t="s">
        <v>2662</v>
      </c>
      <c r="C145" s="11" t="s">
        <v>2805</v>
      </c>
      <c r="D145" s="13" t="s">
        <v>2290</v>
      </c>
      <c r="E145" s="11">
        <v>601</v>
      </c>
      <c r="F145" s="21" t="s">
        <v>2663</v>
      </c>
      <c r="G145" s="11" t="s">
        <v>2662</v>
      </c>
      <c r="H145" s="11" t="s">
        <v>2783</v>
      </c>
      <c r="I145" s="12" t="s">
        <v>2662</v>
      </c>
      <c r="J145" s="11" t="s">
        <v>2805</v>
      </c>
      <c r="K145" s="10"/>
      <c r="L145" s="10"/>
    </row>
    <row r="146" spans="1:12" x14ac:dyDescent="0.25">
      <c r="A146" s="21" t="s">
        <v>3054</v>
      </c>
      <c r="B146" s="12" t="s">
        <v>3055</v>
      </c>
      <c r="C146" s="11" t="s">
        <v>2805</v>
      </c>
      <c r="D146" s="13">
        <v>14</v>
      </c>
      <c r="E146" s="11">
        <v>61</v>
      </c>
      <c r="F146" s="21" t="s">
        <v>3056</v>
      </c>
      <c r="G146" s="11" t="s">
        <v>3055</v>
      </c>
      <c r="H146" s="11" t="s">
        <v>2783</v>
      </c>
      <c r="I146" s="12" t="s">
        <v>3055</v>
      </c>
      <c r="J146" s="11" t="s">
        <v>2805</v>
      </c>
      <c r="K146" s="10"/>
      <c r="L146" s="10"/>
    </row>
    <row r="147" spans="1:12" x14ac:dyDescent="0.25">
      <c r="A147" s="21" t="s">
        <v>3057</v>
      </c>
      <c r="B147" s="12" t="s">
        <v>3058</v>
      </c>
      <c r="C147" s="11" t="s">
        <v>2805</v>
      </c>
      <c r="D147" s="13" t="s">
        <v>4311</v>
      </c>
      <c r="E147" s="11">
        <v>312</v>
      </c>
      <c r="F147" s="21" t="s">
        <v>3059</v>
      </c>
      <c r="G147" s="11" t="s">
        <v>3058</v>
      </c>
      <c r="H147" s="11" t="s">
        <v>2783</v>
      </c>
      <c r="I147" s="12" t="s">
        <v>3058</v>
      </c>
      <c r="J147" s="11" t="s">
        <v>2805</v>
      </c>
      <c r="K147" s="10"/>
      <c r="L147" s="10"/>
    </row>
    <row r="148" spans="1:12" x14ac:dyDescent="0.25">
      <c r="A148" s="21" t="s">
        <v>3060</v>
      </c>
      <c r="B148" s="12" t="s">
        <v>3061</v>
      </c>
      <c r="C148" s="11" t="s">
        <v>2805</v>
      </c>
      <c r="D148" s="13" t="s">
        <v>1471</v>
      </c>
      <c r="E148" s="11">
        <v>364</v>
      </c>
      <c r="F148" s="21" t="s">
        <v>3062</v>
      </c>
      <c r="G148" s="11" t="s">
        <v>3061</v>
      </c>
      <c r="H148" s="11" t="s">
        <v>2783</v>
      </c>
      <c r="I148" s="12" t="s">
        <v>3061</v>
      </c>
      <c r="J148" s="11" t="s">
        <v>2805</v>
      </c>
      <c r="K148" s="10"/>
      <c r="L148" s="10"/>
    </row>
    <row r="149" spans="1:12" x14ac:dyDescent="0.25">
      <c r="A149" s="21" t="s">
        <v>2200</v>
      </c>
      <c r="B149" s="12" t="s">
        <v>2201</v>
      </c>
      <c r="C149" s="11" t="s">
        <v>2800</v>
      </c>
      <c r="D149" s="13" t="s">
        <v>2202</v>
      </c>
      <c r="E149" s="11">
        <v>1305</v>
      </c>
      <c r="F149" s="21" t="s">
        <v>2203</v>
      </c>
      <c r="G149" s="11" t="s">
        <v>2201</v>
      </c>
      <c r="H149" s="11" t="s">
        <v>2783</v>
      </c>
      <c r="I149" s="12" t="s">
        <v>2201</v>
      </c>
      <c r="J149" s="11" t="s">
        <v>2800</v>
      </c>
      <c r="K149" s="10"/>
      <c r="L149" s="10"/>
    </row>
    <row r="150" spans="1:12" x14ac:dyDescent="0.25">
      <c r="A150" s="21" t="s">
        <v>3063</v>
      </c>
      <c r="B150" s="12" t="s">
        <v>3064</v>
      </c>
      <c r="C150" s="11" t="s">
        <v>2805</v>
      </c>
      <c r="D150" s="13" t="s">
        <v>3065</v>
      </c>
      <c r="E150" s="11">
        <v>50</v>
      </c>
      <c r="F150" s="21" t="s">
        <v>3066</v>
      </c>
      <c r="G150" s="11" t="s">
        <v>3064</v>
      </c>
      <c r="H150" s="11" t="s">
        <v>2783</v>
      </c>
      <c r="I150" s="12" t="s">
        <v>3064</v>
      </c>
      <c r="J150" s="11" t="s">
        <v>2805</v>
      </c>
      <c r="K150" s="10"/>
      <c r="L150" s="10"/>
    </row>
    <row r="151" spans="1:12" x14ac:dyDescent="0.25">
      <c r="A151" s="21" t="s">
        <v>2664</v>
      </c>
      <c r="B151" s="12" t="s">
        <v>2665</v>
      </c>
      <c r="C151" s="11" t="s">
        <v>2805</v>
      </c>
      <c r="D151" s="13" t="s">
        <v>4438</v>
      </c>
      <c r="E151" s="11">
        <v>0</v>
      </c>
      <c r="F151" s="21" t="s">
        <v>2666</v>
      </c>
      <c r="G151" s="11" t="s">
        <v>2665</v>
      </c>
      <c r="H151" s="11" t="s">
        <v>2783</v>
      </c>
      <c r="I151" s="12" t="s">
        <v>2665</v>
      </c>
      <c r="J151" s="11" t="s">
        <v>2805</v>
      </c>
      <c r="K151" s="10"/>
      <c r="L151" s="10"/>
    </row>
    <row r="152" spans="1:12" x14ac:dyDescent="0.25">
      <c r="A152" s="21" t="s">
        <v>299</v>
      </c>
      <c r="B152" s="12" t="s">
        <v>300</v>
      </c>
      <c r="C152" s="11" t="s">
        <v>2800</v>
      </c>
      <c r="D152" s="13" t="s">
        <v>301</v>
      </c>
      <c r="E152" s="11">
        <v>1125</v>
      </c>
      <c r="F152" s="21" t="s">
        <v>302</v>
      </c>
      <c r="G152" s="11" t="s">
        <v>303</v>
      </c>
      <c r="H152" s="11" t="s">
        <v>2783</v>
      </c>
      <c r="I152" s="12" t="s">
        <v>300</v>
      </c>
      <c r="J152" s="11" t="s">
        <v>2800</v>
      </c>
      <c r="K152" s="10"/>
      <c r="L152" s="10"/>
    </row>
    <row r="153" spans="1:12" x14ac:dyDescent="0.25">
      <c r="A153" s="21" t="s">
        <v>3067</v>
      </c>
      <c r="B153" s="12" t="s">
        <v>3068</v>
      </c>
      <c r="C153" s="11" t="s">
        <v>2805</v>
      </c>
      <c r="D153" s="13" t="s">
        <v>4646</v>
      </c>
      <c r="E153" s="11">
        <v>3654</v>
      </c>
      <c r="F153" s="21" t="s">
        <v>3069</v>
      </c>
      <c r="G153" s="11" t="s">
        <v>3070</v>
      </c>
      <c r="H153" s="11" t="s">
        <v>2783</v>
      </c>
      <c r="I153" s="12" t="s">
        <v>3068</v>
      </c>
      <c r="J153" s="11" t="s">
        <v>2805</v>
      </c>
      <c r="K153" s="10"/>
      <c r="L153" s="10"/>
    </row>
    <row r="154" spans="1:12" x14ac:dyDescent="0.25">
      <c r="A154" s="21" t="s">
        <v>2264</v>
      </c>
      <c r="B154" s="12" t="s">
        <v>2265</v>
      </c>
      <c r="C154" s="11" t="s">
        <v>2800</v>
      </c>
      <c r="D154" s="13" t="s">
        <v>2266</v>
      </c>
      <c r="E154" s="11">
        <v>6801</v>
      </c>
      <c r="F154" s="21" t="s">
        <v>2267</v>
      </c>
      <c r="G154" s="11" t="s">
        <v>2265</v>
      </c>
      <c r="H154" s="11" t="s">
        <v>2783</v>
      </c>
      <c r="I154" s="12" t="s">
        <v>2265</v>
      </c>
      <c r="J154" s="11" t="s">
        <v>2800</v>
      </c>
      <c r="K154" s="10"/>
      <c r="L154" s="10"/>
    </row>
    <row r="155" spans="1:12" x14ac:dyDescent="0.25">
      <c r="A155" s="21" t="s">
        <v>1675</v>
      </c>
      <c r="B155" s="12" t="s">
        <v>2234</v>
      </c>
      <c r="C155" s="11" t="s">
        <v>2800</v>
      </c>
      <c r="D155" s="13" t="s">
        <v>4297</v>
      </c>
      <c r="E155" s="11">
        <v>728</v>
      </c>
      <c r="F155" s="21" t="s">
        <v>4298</v>
      </c>
      <c r="G155" s="11" t="s">
        <v>2234</v>
      </c>
      <c r="H155" s="11" t="s">
        <v>2783</v>
      </c>
      <c r="I155" s="12" t="s">
        <v>2234</v>
      </c>
      <c r="J155" s="11" t="s">
        <v>2800</v>
      </c>
      <c r="K155" s="10"/>
      <c r="L155" s="10"/>
    </row>
    <row r="156" spans="1:12" x14ac:dyDescent="0.25">
      <c r="A156" s="21" t="s">
        <v>2667</v>
      </c>
      <c r="B156" s="12" t="s">
        <v>2668</v>
      </c>
      <c r="C156" s="11" t="s">
        <v>2805</v>
      </c>
      <c r="D156" s="13" t="s">
        <v>2669</v>
      </c>
      <c r="E156" s="11">
        <v>248</v>
      </c>
      <c r="F156" s="21" t="s">
        <v>2670</v>
      </c>
      <c r="G156" s="11" t="s">
        <v>2671</v>
      </c>
      <c r="H156" s="11" t="s">
        <v>2783</v>
      </c>
      <c r="I156" s="12" t="s">
        <v>2668</v>
      </c>
      <c r="J156" s="11" t="s">
        <v>2805</v>
      </c>
      <c r="K156" s="10"/>
      <c r="L156" s="10"/>
    </row>
    <row r="157" spans="1:12" x14ac:dyDescent="0.25">
      <c r="A157" s="21" t="s">
        <v>2204</v>
      </c>
      <c r="B157" s="12" t="s">
        <v>2205</v>
      </c>
      <c r="C157" s="11" t="s">
        <v>2800</v>
      </c>
      <c r="D157" s="13" t="s">
        <v>2206</v>
      </c>
      <c r="E157" s="11">
        <v>5009</v>
      </c>
      <c r="F157" s="21" t="s">
        <v>2207</v>
      </c>
      <c r="G157" s="11" t="s">
        <v>2208</v>
      </c>
      <c r="H157" s="11" t="s">
        <v>2783</v>
      </c>
      <c r="I157" s="12" t="s">
        <v>2205</v>
      </c>
      <c r="J157" s="11" t="s">
        <v>2800</v>
      </c>
      <c r="K157" s="10"/>
      <c r="L157" s="10"/>
    </row>
    <row r="158" spans="1:12" x14ac:dyDescent="0.25">
      <c r="A158" s="21" t="s">
        <v>4790</v>
      </c>
      <c r="B158" s="12" t="s">
        <v>4699</v>
      </c>
      <c r="C158" s="11" t="s">
        <v>2805</v>
      </c>
      <c r="D158" s="13" t="s">
        <v>2783</v>
      </c>
      <c r="E158" s="11">
        <v>7479</v>
      </c>
      <c r="F158" s="21" t="s">
        <v>4700</v>
      </c>
      <c r="G158" s="11" t="s">
        <v>4699</v>
      </c>
      <c r="H158" s="11" t="s">
        <v>2783</v>
      </c>
      <c r="I158" s="12" t="s">
        <v>4699</v>
      </c>
      <c r="J158" s="11" t="s">
        <v>2805</v>
      </c>
      <c r="K158" s="10"/>
      <c r="L158" s="10"/>
    </row>
    <row r="159" spans="1:12" x14ac:dyDescent="0.25">
      <c r="A159" s="21" t="s">
        <v>2268</v>
      </c>
      <c r="B159" s="12" t="s">
        <v>2269</v>
      </c>
      <c r="C159" s="11" t="s">
        <v>2805</v>
      </c>
      <c r="D159" s="13" t="s">
        <v>2270</v>
      </c>
      <c r="E159" s="11">
        <v>2204</v>
      </c>
      <c r="F159" s="21" t="s">
        <v>2271</v>
      </c>
      <c r="G159" s="11" t="s">
        <v>2269</v>
      </c>
      <c r="H159" s="11" t="s">
        <v>2783</v>
      </c>
      <c r="I159" s="12" t="s">
        <v>2269</v>
      </c>
      <c r="J159" s="11" t="s">
        <v>2805</v>
      </c>
      <c r="K159" s="10"/>
      <c r="L159" s="10"/>
    </row>
    <row r="160" spans="1:12" x14ac:dyDescent="0.25">
      <c r="A160" s="21" t="s">
        <v>2672</v>
      </c>
      <c r="B160" s="12" t="s">
        <v>2673</v>
      </c>
      <c r="C160" s="11" t="s">
        <v>2805</v>
      </c>
      <c r="D160" s="13" t="s">
        <v>2674</v>
      </c>
      <c r="E160" s="11">
        <v>250</v>
      </c>
      <c r="F160" s="21" t="s">
        <v>2675</v>
      </c>
      <c r="G160" s="11" t="s">
        <v>2676</v>
      </c>
      <c r="H160" s="11" t="s">
        <v>2783</v>
      </c>
      <c r="I160" s="12" t="s">
        <v>2673</v>
      </c>
      <c r="J160" s="11" t="s">
        <v>2805</v>
      </c>
      <c r="K160" s="10"/>
      <c r="L160" s="10"/>
    </row>
    <row r="161" spans="1:12" x14ac:dyDescent="0.25">
      <c r="A161" s="21" t="s">
        <v>432</v>
      </c>
      <c r="B161" s="12" t="s">
        <v>433</v>
      </c>
      <c r="C161" s="11" t="s">
        <v>2805</v>
      </c>
      <c r="D161" s="13" t="s">
        <v>434</v>
      </c>
      <c r="E161" s="11">
        <v>283</v>
      </c>
      <c r="F161" s="21" t="s">
        <v>435</v>
      </c>
      <c r="G161" s="11" t="s">
        <v>433</v>
      </c>
      <c r="H161" s="11" t="s">
        <v>2783</v>
      </c>
      <c r="I161" s="12" t="s">
        <v>433</v>
      </c>
      <c r="J161" s="11" t="s">
        <v>2805</v>
      </c>
      <c r="K161" s="10"/>
      <c r="L161" s="10"/>
    </row>
    <row r="162" spans="1:12" x14ac:dyDescent="0.25">
      <c r="A162" s="21" t="s">
        <v>2677</v>
      </c>
      <c r="B162" s="12" t="s">
        <v>2678</v>
      </c>
      <c r="C162" s="11" t="s">
        <v>2805</v>
      </c>
      <c r="D162" s="13" t="s">
        <v>2679</v>
      </c>
      <c r="E162" s="11">
        <v>323</v>
      </c>
      <c r="F162" s="21" t="s">
        <v>2680</v>
      </c>
      <c r="G162" s="11" t="s">
        <v>2681</v>
      </c>
      <c r="H162" s="11" t="s">
        <v>2783</v>
      </c>
      <c r="I162" s="12" t="s">
        <v>2678</v>
      </c>
      <c r="J162" s="11" t="s">
        <v>2805</v>
      </c>
      <c r="K162" s="10"/>
      <c r="L162" s="10"/>
    </row>
    <row r="163" spans="1:12" x14ac:dyDescent="0.25">
      <c r="A163" s="21" t="s">
        <v>3399</v>
      </c>
      <c r="B163" s="12" t="s">
        <v>4249</v>
      </c>
      <c r="C163" s="11" t="s">
        <v>2805</v>
      </c>
      <c r="D163" s="13">
        <v>455</v>
      </c>
      <c r="E163" s="11">
        <v>721</v>
      </c>
      <c r="F163" s="21" t="s">
        <v>4250</v>
      </c>
      <c r="G163" s="11" t="s">
        <v>4249</v>
      </c>
      <c r="H163" s="11" t="s">
        <v>2783</v>
      </c>
      <c r="I163" s="12" t="s">
        <v>4249</v>
      </c>
      <c r="J163" s="11" t="s">
        <v>2805</v>
      </c>
      <c r="K163" s="10"/>
      <c r="L163" s="10"/>
    </row>
    <row r="164" spans="1:12" x14ac:dyDescent="0.25">
      <c r="A164" s="21" t="s">
        <v>2421</v>
      </c>
      <c r="B164" s="12" t="s">
        <v>2422</v>
      </c>
      <c r="C164" s="11" t="s">
        <v>2805</v>
      </c>
      <c r="D164" s="13">
        <v>37</v>
      </c>
      <c r="E164" s="11">
        <v>1298</v>
      </c>
      <c r="F164" s="21" t="s">
        <v>2423</v>
      </c>
      <c r="G164" s="11" t="s">
        <v>2424</v>
      </c>
      <c r="H164" s="11" t="s">
        <v>2783</v>
      </c>
      <c r="I164" s="12" t="s">
        <v>2422</v>
      </c>
      <c r="J164" s="11" t="s">
        <v>2805</v>
      </c>
      <c r="K164" s="10"/>
      <c r="L164" s="10"/>
    </row>
    <row r="165" spans="1:12" x14ac:dyDescent="0.25">
      <c r="A165" s="21" t="s">
        <v>2685</v>
      </c>
      <c r="B165" s="12" t="s">
        <v>2686</v>
      </c>
      <c r="C165" s="11" t="s">
        <v>2805</v>
      </c>
      <c r="D165" s="13" t="s">
        <v>1668</v>
      </c>
      <c r="E165" s="11">
        <v>1014</v>
      </c>
      <c r="F165" s="21" t="s">
        <v>2687</v>
      </c>
      <c r="G165" s="11" t="s">
        <v>2683</v>
      </c>
      <c r="H165" s="11" t="s">
        <v>2783</v>
      </c>
      <c r="I165" s="12" t="s">
        <v>2686</v>
      </c>
      <c r="J165" s="11" t="s">
        <v>2805</v>
      </c>
      <c r="K165" s="10"/>
      <c r="L165" s="10"/>
    </row>
    <row r="166" spans="1:12" x14ac:dyDescent="0.25">
      <c r="A166" s="21" t="s">
        <v>2682</v>
      </c>
      <c r="B166" s="12" t="s">
        <v>2683</v>
      </c>
      <c r="C166" s="11" t="s">
        <v>2800</v>
      </c>
      <c r="D166" s="13" t="s">
        <v>1668</v>
      </c>
      <c r="E166" s="11">
        <v>5</v>
      </c>
      <c r="F166" s="21" t="s">
        <v>2684</v>
      </c>
      <c r="G166" s="11" t="s">
        <v>2683</v>
      </c>
      <c r="H166" s="11" t="s">
        <v>2783</v>
      </c>
      <c r="I166" s="12" t="s">
        <v>2683</v>
      </c>
      <c r="J166" s="11" t="s">
        <v>2800</v>
      </c>
      <c r="K166" s="10"/>
      <c r="L166" s="10"/>
    </row>
    <row r="167" spans="1:12" x14ac:dyDescent="0.25">
      <c r="A167" s="21" t="s">
        <v>3071</v>
      </c>
      <c r="B167" s="12" t="s">
        <v>3072</v>
      </c>
      <c r="C167" s="11" t="s">
        <v>2805</v>
      </c>
      <c r="D167" s="13" t="s">
        <v>3073</v>
      </c>
      <c r="E167" s="11">
        <v>75</v>
      </c>
      <c r="F167" s="21" t="s">
        <v>3074</v>
      </c>
      <c r="G167" s="11" t="s">
        <v>3072</v>
      </c>
      <c r="H167" s="11" t="s">
        <v>2783</v>
      </c>
      <c r="I167" s="12" t="s">
        <v>3072</v>
      </c>
      <c r="J167" s="11" t="s">
        <v>2805</v>
      </c>
      <c r="K167" s="10"/>
      <c r="L167" s="10"/>
    </row>
    <row r="168" spans="1:12" x14ac:dyDescent="0.25">
      <c r="A168" s="21" t="s">
        <v>2425</v>
      </c>
      <c r="B168" s="12" t="s">
        <v>2426</v>
      </c>
      <c r="C168" s="11" t="s">
        <v>2805</v>
      </c>
      <c r="D168" s="13">
        <v>24</v>
      </c>
      <c r="E168" s="11">
        <v>875</v>
      </c>
      <c r="F168" s="21" t="s">
        <v>4256</v>
      </c>
      <c r="G168" s="11" t="s">
        <v>2426</v>
      </c>
      <c r="H168" s="11" t="s">
        <v>2783</v>
      </c>
      <c r="I168" s="12" t="s">
        <v>2426</v>
      </c>
      <c r="J168" s="11" t="s">
        <v>2805</v>
      </c>
      <c r="K168" s="10"/>
      <c r="L168" s="10"/>
    </row>
    <row r="169" spans="1:12" x14ac:dyDescent="0.25">
      <c r="A169" s="21" t="s">
        <v>1749</v>
      </c>
      <c r="B169" s="12" t="s">
        <v>1750</v>
      </c>
      <c r="C169" s="11" t="s">
        <v>2800</v>
      </c>
      <c r="D169" s="13">
        <v>51</v>
      </c>
      <c r="E169" s="11">
        <v>456</v>
      </c>
      <c r="F169" s="21" t="s">
        <v>1751</v>
      </c>
      <c r="G169" s="11" t="s">
        <v>1750</v>
      </c>
      <c r="H169" s="11" t="s">
        <v>2783</v>
      </c>
      <c r="I169" s="12" t="s">
        <v>1750</v>
      </c>
      <c r="J169" s="11" t="s">
        <v>2800</v>
      </c>
      <c r="K169" s="10"/>
      <c r="L169" s="10"/>
    </row>
    <row r="170" spans="1:12" x14ac:dyDescent="0.25">
      <c r="A170" s="21" t="s">
        <v>3431</v>
      </c>
      <c r="B170" s="12" t="s">
        <v>3432</v>
      </c>
      <c r="C170" s="11" t="s">
        <v>2800</v>
      </c>
      <c r="D170" s="13">
        <v>74</v>
      </c>
      <c r="E170" s="11">
        <v>1342</v>
      </c>
      <c r="F170" s="21" t="s">
        <v>3433</v>
      </c>
      <c r="G170" s="11" t="s">
        <v>1750</v>
      </c>
      <c r="H170" s="11" t="s">
        <v>2783</v>
      </c>
      <c r="I170" s="12" t="s">
        <v>3432</v>
      </c>
      <c r="J170" s="11" t="s">
        <v>2800</v>
      </c>
      <c r="K170" s="10"/>
      <c r="L170" s="10"/>
    </row>
    <row r="171" spans="1:12" x14ac:dyDescent="0.25">
      <c r="A171" s="21" t="s">
        <v>1752</v>
      </c>
      <c r="B171" s="12" t="s">
        <v>1753</v>
      </c>
      <c r="C171" s="11" t="s">
        <v>2805</v>
      </c>
      <c r="D171" s="13">
        <v>44</v>
      </c>
      <c r="E171" s="11">
        <v>1871</v>
      </c>
      <c r="F171" s="21" t="s">
        <v>1754</v>
      </c>
      <c r="G171" s="11" t="s">
        <v>1750</v>
      </c>
      <c r="H171" s="11" t="s">
        <v>2783</v>
      </c>
      <c r="I171" s="12" t="s">
        <v>1753</v>
      </c>
      <c r="J171" s="11" t="s">
        <v>2805</v>
      </c>
      <c r="K171" s="10"/>
      <c r="L171" s="10"/>
    </row>
    <row r="172" spans="1:12" x14ac:dyDescent="0.25">
      <c r="A172" s="21" t="s">
        <v>1755</v>
      </c>
      <c r="B172" s="12" t="s">
        <v>1756</v>
      </c>
      <c r="C172" s="11" t="s">
        <v>2805</v>
      </c>
      <c r="D172" s="13">
        <v>7</v>
      </c>
      <c r="E172" s="11">
        <v>1921</v>
      </c>
      <c r="F172" s="21" t="s">
        <v>1757</v>
      </c>
      <c r="G172" s="11" t="s">
        <v>1750</v>
      </c>
      <c r="H172" s="11" t="s">
        <v>2783</v>
      </c>
      <c r="I172" s="12" t="s">
        <v>1756</v>
      </c>
      <c r="J172" s="11" t="s">
        <v>2805</v>
      </c>
      <c r="K172" s="10"/>
      <c r="L172" s="10"/>
    </row>
    <row r="173" spans="1:12" x14ac:dyDescent="0.25">
      <c r="A173" s="21" t="s">
        <v>1758</v>
      </c>
      <c r="B173" s="12" t="s">
        <v>1759</v>
      </c>
      <c r="C173" s="11" t="s">
        <v>2800</v>
      </c>
      <c r="D173" s="13">
        <v>12</v>
      </c>
      <c r="E173" s="11">
        <v>1493</v>
      </c>
      <c r="F173" s="21" t="s">
        <v>1760</v>
      </c>
      <c r="G173" s="11" t="s">
        <v>1750</v>
      </c>
      <c r="H173" s="11" t="s">
        <v>2783</v>
      </c>
      <c r="I173" s="12" t="s">
        <v>1759</v>
      </c>
      <c r="J173" s="11" t="s">
        <v>2800</v>
      </c>
      <c r="K173" s="10"/>
      <c r="L173" s="10"/>
    </row>
    <row r="174" spans="1:12" x14ac:dyDescent="0.25">
      <c r="A174" s="21" t="s">
        <v>1761</v>
      </c>
      <c r="B174" s="12" t="s">
        <v>1762</v>
      </c>
      <c r="C174" s="11" t="s">
        <v>2805</v>
      </c>
      <c r="D174" s="13">
        <v>63</v>
      </c>
      <c r="E174" s="11">
        <v>2115</v>
      </c>
      <c r="F174" s="21" t="s">
        <v>1763</v>
      </c>
      <c r="G174" s="11" t="s">
        <v>1750</v>
      </c>
      <c r="H174" s="11" t="s">
        <v>2783</v>
      </c>
      <c r="I174" s="12" t="s">
        <v>1762</v>
      </c>
      <c r="J174" s="11" t="s">
        <v>2805</v>
      </c>
      <c r="K174" s="10"/>
      <c r="L174" s="10"/>
    </row>
    <row r="175" spans="1:12" x14ac:dyDescent="0.25">
      <c r="A175" s="21" t="s">
        <v>1764</v>
      </c>
      <c r="B175" s="12" t="s">
        <v>1765</v>
      </c>
      <c r="C175" s="11" t="s">
        <v>2805</v>
      </c>
      <c r="D175" s="13">
        <v>520</v>
      </c>
      <c r="E175" s="11">
        <v>1422</v>
      </c>
      <c r="F175" s="21" t="s">
        <v>1766</v>
      </c>
      <c r="G175" s="11" t="s">
        <v>1750</v>
      </c>
      <c r="H175" s="11" t="s">
        <v>2783</v>
      </c>
      <c r="I175" s="12" t="s">
        <v>1765</v>
      </c>
      <c r="J175" s="11" t="s">
        <v>2805</v>
      </c>
      <c r="K175" s="10"/>
      <c r="L175" s="10"/>
    </row>
    <row r="176" spans="1:12" x14ac:dyDescent="0.25">
      <c r="A176" s="21" t="s">
        <v>2292</v>
      </c>
      <c r="B176" s="12" t="s">
        <v>2293</v>
      </c>
      <c r="C176" s="11" t="s">
        <v>2800</v>
      </c>
      <c r="D176" s="13" t="s">
        <v>2294</v>
      </c>
      <c r="E176" s="11">
        <v>3035</v>
      </c>
      <c r="F176" s="21" t="s">
        <v>2295</v>
      </c>
      <c r="G176" s="11" t="s">
        <v>2293</v>
      </c>
      <c r="H176" s="11" t="s">
        <v>2783</v>
      </c>
      <c r="I176" s="12" t="s">
        <v>2293</v>
      </c>
      <c r="J176" s="11" t="s">
        <v>2800</v>
      </c>
      <c r="K176" s="10"/>
      <c r="L176" s="10"/>
    </row>
    <row r="177" spans="1:29" x14ac:dyDescent="0.25">
      <c r="A177" s="21" t="s">
        <v>1493</v>
      </c>
      <c r="B177" s="12" t="s">
        <v>1494</v>
      </c>
      <c r="C177" s="11" t="s">
        <v>2805</v>
      </c>
      <c r="D177" s="13" t="s">
        <v>1495</v>
      </c>
      <c r="E177" s="11">
        <v>10</v>
      </c>
      <c r="F177" s="21" t="s">
        <v>1496</v>
      </c>
      <c r="G177" s="11" t="s">
        <v>2293</v>
      </c>
      <c r="H177" s="11" t="s">
        <v>2783</v>
      </c>
      <c r="I177" s="12" t="s">
        <v>1494</v>
      </c>
      <c r="J177" s="11" t="s">
        <v>2805</v>
      </c>
      <c r="K177" s="10"/>
      <c r="L177" s="10"/>
    </row>
    <row r="178" spans="1:29" x14ac:dyDescent="0.25">
      <c r="A178" s="21" t="s">
        <v>2272</v>
      </c>
      <c r="B178" s="12" t="s">
        <v>2273</v>
      </c>
      <c r="C178" s="11" t="s">
        <v>2800</v>
      </c>
      <c r="D178" s="13" t="s">
        <v>2274</v>
      </c>
      <c r="E178" s="11">
        <v>2055</v>
      </c>
      <c r="F178" s="21" t="s">
        <v>2275</v>
      </c>
      <c r="G178" s="11" t="s">
        <v>2276</v>
      </c>
      <c r="H178" s="11" t="s">
        <v>2783</v>
      </c>
      <c r="I178" s="12" t="s">
        <v>2273</v>
      </c>
      <c r="J178" s="11" t="s">
        <v>2800</v>
      </c>
      <c r="K178" s="10"/>
      <c r="L178" s="10"/>
    </row>
    <row r="179" spans="1:29" x14ac:dyDescent="0.25">
      <c r="A179" s="21" t="s">
        <v>1506</v>
      </c>
      <c r="B179" s="12" t="s">
        <v>4049</v>
      </c>
      <c r="C179" s="11" t="s">
        <v>2805</v>
      </c>
      <c r="D179" s="13" t="s">
        <v>4050</v>
      </c>
      <c r="E179" s="11">
        <v>1471</v>
      </c>
      <c r="F179" s="21" t="s">
        <v>4051</v>
      </c>
      <c r="G179" s="11" t="s">
        <v>2276</v>
      </c>
      <c r="H179" s="11" t="s">
        <v>2783</v>
      </c>
      <c r="I179" s="12" t="s">
        <v>4049</v>
      </c>
      <c r="J179" s="11" t="s">
        <v>2805</v>
      </c>
      <c r="K179" s="10"/>
      <c r="L179" s="10"/>
    </row>
    <row r="180" spans="1:29" x14ac:dyDescent="0.25">
      <c r="A180" s="21" t="s">
        <v>1488</v>
      </c>
      <c r="B180" s="12" t="s">
        <v>1489</v>
      </c>
      <c r="C180" s="11" t="s">
        <v>2800</v>
      </c>
      <c r="D180" s="13" t="s">
        <v>1490</v>
      </c>
      <c r="E180" s="11">
        <v>1638</v>
      </c>
      <c r="F180" s="21" t="s">
        <v>1491</v>
      </c>
      <c r="G180" s="11" t="s">
        <v>1492</v>
      </c>
      <c r="H180" s="11" t="s">
        <v>2783</v>
      </c>
      <c r="I180" s="12" t="s">
        <v>1489</v>
      </c>
      <c r="J180" s="11" t="s">
        <v>2800</v>
      </c>
      <c r="K180" s="10"/>
      <c r="L180" s="10"/>
    </row>
    <row r="181" spans="1:29" x14ac:dyDescent="0.25">
      <c r="A181" s="21" t="s">
        <v>3075</v>
      </c>
      <c r="B181" s="12" t="s">
        <v>3076</v>
      </c>
      <c r="C181" s="11" t="s">
        <v>2805</v>
      </c>
      <c r="D181" s="13" t="s">
        <v>3077</v>
      </c>
      <c r="E181" s="11">
        <v>1133</v>
      </c>
      <c r="F181" s="21" t="s">
        <v>3078</v>
      </c>
      <c r="G181" s="11" t="s">
        <v>3076</v>
      </c>
      <c r="H181" s="11" t="s">
        <v>2783</v>
      </c>
      <c r="I181" s="12" t="s">
        <v>3076</v>
      </c>
      <c r="J181" s="11" t="s">
        <v>2805</v>
      </c>
      <c r="K181" s="10"/>
      <c r="L181" s="10"/>
    </row>
    <row r="182" spans="1:29" x14ac:dyDescent="0.25">
      <c r="A182" s="21" t="s">
        <v>4385</v>
      </c>
      <c r="B182" s="12" t="s">
        <v>4386</v>
      </c>
      <c r="C182" s="11" t="s">
        <v>2805</v>
      </c>
      <c r="D182" s="13" t="s">
        <v>2247</v>
      </c>
      <c r="E182" s="11">
        <v>564</v>
      </c>
      <c r="F182" s="21" t="s">
        <v>4387</v>
      </c>
      <c r="G182" s="11" t="s">
        <v>4386</v>
      </c>
      <c r="H182" s="11" t="s">
        <v>2783</v>
      </c>
      <c r="I182" s="12" t="s">
        <v>4386</v>
      </c>
      <c r="J182" s="11" t="s">
        <v>2805</v>
      </c>
      <c r="K182" s="10"/>
      <c r="L182" s="10"/>
    </row>
    <row r="183" spans="1:29" x14ac:dyDescent="0.25">
      <c r="A183" s="21" t="s">
        <v>4382</v>
      </c>
      <c r="B183" s="12" t="s">
        <v>4383</v>
      </c>
      <c r="C183" s="11" t="s">
        <v>2805</v>
      </c>
      <c r="D183" s="13">
        <v>26</v>
      </c>
      <c r="E183" s="11">
        <v>899</v>
      </c>
      <c r="F183" s="21" t="s">
        <v>4384</v>
      </c>
      <c r="G183" s="11" t="s">
        <v>4383</v>
      </c>
      <c r="H183" s="11" t="s">
        <v>2783</v>
      </c>
      <c r="I183" s="12" t="s">
        <v>4383</v>
      </c>
      <c r="J183" s="11" t="s">
        <v>2805</v>
      </c>
      <c r="K183" s="10"/>
      <c r="L183" s="10"/>
    </row>
    <row r="184" spans="1:29" x14ac:dyDescent="0.25">
      <c r="A184" s="21" t="s">
        <v>2688</v>
      </c>
      <c r="B184" s="12" t="s">
        <v>2689</v>
      </c>
      <c r="C184" s="11" t="s">
        <v>2805</v>
      </c>
      <c r="D184" s="13" t="s">
        <v>2690</v>
      </c>
      <c r="E184" s="11">
        <v>573</v>
      </c>
      <c r="F184" s="21" t="s">
        <v>2691</v>
      </c>
      <c r="G184" s="11" t="s">
        <v>938</v>
      </c>
      <c r="H184" s="11" t="s">
        <v>2783</v>
      </c>
      <c r="I184" s="12" t="s">
        <v>2689</v>
      </c>
      <c r="J184" s="11" t="s">
        <v>2805</v>
      </c>
      <c r="K184" s="10"/>
      <c r="L184" s="10"/>
    </row>
    <row r="185" spans="1:29" x14ac:dyDescent="0.25">
      <c r="A185" s="21" t="s">
        <v>4402</v>
      </c>
      <c r="B185" s="12" t="s">
        <v>4403</v>
      </c>
      <c r="C185" s="11" t="s">
        <v>2805</v>
      </c>
      <c r="D185" s="13" t="s">
        <v>4404</v>
      </c>
      <c r="E185" s="11">
        <v>132</v>
      </c>
      <c r="F185" s="21" t="s">
        <v>4405</v>
      </c>
      <c r="G185" s="11" t="s">
        <v>4403</v>
      </c>
      <c r="H185" s="11" t="s">
        <v>2783</v>
      </c>
      <c r="I185" s="12" t="s">
        <v>4403</v>
      </c>
      <c r="J185" s="11" t="s">
        <v>2805</v>
      </c>
      <c r="K185" s="10"/>
      <c r="L185" s="10"/>
    </row>
    <row r="186" spans="1:29" s="10" customFormat="1" x14ac:dyDescent="0.25">
      <c r="A186" s="21" t="s">
        <v>4299</v>
      </c>
      <c r="B186" s="12" t="s">
        <v>4300</v>
      </c>
      <c r="C186" s="11" t="s">
        <v>2805</v>
      </c>
      <c r="D186" s="13" t="s">
        <v>4301</v>
      </c>
      <c r="E186" s="11">
        <v>2670</v>
      </c>
      <c r="F186" s="21" t="s">
        <v>4302</v>
      </c>
      <c r="G186" s="11" t="s">
        <v>4300</v>
      </c>
      <c r="H186" s="11" t="s">
        <v>2783</v>
      </c>
      <c r="I186" s="12" t="s">
        <v>4300</v>
      </c>
      <c r="J186" s="11" t="s">
        <v>2805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21" t="s">
        <v>309</v>
      </c>
      <c r="B187" s="12" t="s">
        <v>310</v>
      </c>
      <c r="C187" s="11" t="s">
        <v>2805</v>
      </c>
      <c r="D187" s="13">
        <v>11</v>
      </c>
      <c r="E187" s="11">
        <v>171</v>
      </c>
      <c r="F187" s="21" t="s">
        <v>311</v>
      </c>
      <c r="G187" s="11" t="s">
        <v>310</v>
      </c>
      <c r="H187" s="11" t="s">
        <v>2783</v>
      </c>
      <c r="I187" s="12" t="s">
        <v>310</v>
      </c>
      <c r="J187" s="11" t="s">
        <v>2805</v>
      </c>
      <c r="K187" s="10"/>
      <c r="L187" s="10"/>
    </row>
    <row r="188" spans="1:29" x14ac:dyDescent="0.25">
      <c r="A188" s="21" t="s">
        <v>939</v>
      </c>
      <c r="B188" s="12" t="s">
        <v>940</v>
      </c>
      <c r="C188" s="11" t="s">
        <v>2805</v>
      </c>
      <c r="D188" s="13" t="s">
        <v>2226</v>
      </c>
      <c r="E188" s="11">
        <v>98</v>
      </c>
      <c r="F188" s="21" t="s">
        <v>941</v>
      </c>
      <c r="G188" s="11" t="s">
        <v>940</v>
      </c>
      <c r="H188" s="11" t="s">
        <v>2783</v>
      </c>
      <c r="I188" s="12" t="s">
        <v>940</v>
      </c>
      <c r="J188" s="11" t="s">
        <v>2805</v>
      </c>
      <c r="K188" s="10"/>
      <c r="L188" s="10"/>
    </row>
    <row r="189" spans="1:29" x14ac:dyDescent="0.25">
      <c r="A189" s="21" t="s">
        <v>4406</v>
      </c>
      <c r="B189" s="12" t="s">
        <v>4407</v>
      </c>
      <c r="C189" s="11" t="s">
        <v>2805</v>
      </c>
      <c r="D189" s="13">
        <v>44</v>
      </c>
      <c r="E189" s="11">
        <v>5278</v>
      </c>
      <c r="F189" s="21" t="s">
        <v>4408</v>
      </c>
      <c r="G189" s="11" t="s">
        <v>4409</v>
      </c>
      <c r="H189" s="11" t="s">
        <v>2783</v>
      </c>
      <c r="I189" s="12" t="s">
        <v>4407</v>
      </c>
      <c r="J189" s="11" t="s">
        <v>2805</v>
      </c>
      <c r="K189" s="10"/>
      <c r="L189" s="10"/>
    </row>
    <row r="190" spans="1:29" x14ac:dyDescent="0.25">
      <c r="A190" s="21" t="s">
        <v>1641</v>
      </c>
      <c r="B190" s="12" t="s">
        <v>1642</v>
      </c>
      <c r="C190" s="11" t="s">
        <v>2800</v>
      </c>
      <c r="D190" s="13" t="s">
        <v>1437</v>
      </c>
      <c r="E190" s="11">
        <v>1620</v>
      </c>
      <c r="F190" s="21" t="s">
        <v>1643</v>
      </c>
      <c r="G190" s="11" t="s">
        <v>1642</v>
      </c>
      <c r="H190" s="11" t="s">
        <v>2783</v>
      </c>
      <c r="I190" s="12" t="s">
        <v>1642</v>
      </c>
      <c r="J190" s="11" t="s">
        <v>2800</v>
      </c>
      <c r="K190" s="10"/>
      <c r="L190" s="10"/>
    </row>
    <row r="191" spans="1:29" x14ac:dyDescent="0.25">
      <c r="A191" s="21" t="s">
        <v>4257</v>
      </c>
      <c r="B191" s="12" t="s">
        <v>4258</v>
      </c>
      <c r="C191" s="11" t="s">
        <v>2805</v>
      </c>
      <c r="D191" s="13" t="s">
        <v>4259</v>
      </c>
      <c r="E191" s="11">
        <v>49</v>
      </c>
      <c r="F191" s="21" t="s">
        <v>4260</v>
      </c>
      <c r="G191" s="11" t="s">
        <v>4258</v>
      </c>
      <c r="H191" s="11" t="s">
        <v>2783</v>
      </c>
      <c r="I191" s="12" t="s">
        <v>4258</v>
      </c>
      <c r="J191" s="11" t="s">
        <v>2805</v>
      </c>
      <c r="K191" s="10"/>
      <c r="L191" s="10"/>
    </row>
    <row r="192" spans="1:29" x14ac:dyDescent="0.25">
      <c r="A192" s="21" t="s">
        <v>4410</v>
      </c>
      <c r="B192" s="12" t="s">
        <v>4411</v>
      </c>
      <c r="C192" s="11" t="s">
        <v>2805</v>
      </c>
      <c r="D192" s="13" t="s">
        <v>4412</v>
      </c>
      <c r="E192" s="11">
        <v>299</v>
      </c>
      <c r="F192" s="21" t="s">
        <v>4413</v>
      </c>
      <c r="G192" s="11" t="s">
        <v>4411</v>
      </c>
      <c r="H192" s="11" t="s">
        <v>2783</v>
      </c>
      <c r="I192" s="12" t="s">
        <v>4411</v>
      </c>
      <c r="J192" s="11" t="s">
        <v>2805</v>
      </c>
      <c r="K192" s="10"/>
      <c r="L192" s="10"/>
    </row>
    <row r="193" spans="1:29" x14ac:dyDescent="0.25">
      <c r="A193" s="21" t="s">
        <v>4701</v>
      </c>
      <c r="B193" s="12" t="s">
        <v>4702</v>
      </c>
      <c r="C193" s="11" t="s">
        <v>2800</v>
      </c>
      <c r="D193" s="13" t="s">
        <v>4703</v>
      </c>
      <c r="E193" s="11">
        <v>9718</v>
      </c>
      <c r="F193" s="21" t="s">
        <v>4704</v>
      </c>
      <c r="G193" s="11" t="s">
        <v>4702</v>
      </c>
      <c r="H193" s="11" t="s">
        <v>2783</v>
      </c>
      <c r="I193" s="12" t="s">
        <v>4702</v>
      </c>
      <c r="J193" s="11" t="s">
        <v>2800</v>
      </c>
      <c r="K193" s="10"/>
      <c r="L193" s="10"/>
    </row>
    <row r="194" spans="1:29" x14ac:dyDescent="0.25">
      <c r="A194" s="21" t="s">
        <v>3420</v>
      </c>
      <c r="B194" s="12" t="s">
        <v>3421</v>
      </c>
      <c r="C194" s="11" t="s">
        <v>2805</v>
      </c>
      <c r="D194" s="13" t="s">
        <v>3422</v>
      </c>
      <c r="E194" s="11">
        <v>1379</v>
      </c>
      <c r="F194" s="21" t="s">
        <v>3423</v>
      </c>
      <c r="G194" s="11" t="s">
        <v>3421</v>
      </c>
      <c r="H194" s="11" t="s">
        <v>2783</v>
      </c>
      <c r="I194" s="12" t="s">
        <v>3421</v>
      </c>
      <c r="J194" s="11" t="s">
        <v>2805</v>
      </c>
      <c r="K194" s="10"/>
      <c r="L194" s="10"/>
    </row>
    <row r="195" spans="1:29" x14ac:dyDescent="0.25">
      <c r="A195" s="21" t="s">
        <v>4148</v>
      </c>
      <c r="B195" s="12" t="s">
        <v>4149</v>
      </c>
      <c r="C195" s="11" t="s">
        <v>2800</v>
      </c>
      <c r="D195" s="13" t="s">
        <v>2262</v>
      </c>
      <c r="E195" s="11">
        <v>9109</v>
      </c>
      <c r="F195" s="21" t="s">
        <v>4150</v>
      </c>
      <c r="G195" s="11" t="s">
        <v>4149</v>
      </c>
      <c r="H195" s="11" t="s">
        <v>2783</v>
      </c>
      <c r="I195" s="12" t="s">
        <v>4149</v>
      </c>
      <c r="J195" s="11" t="s">
        <v>2800</v>
      </c>
      <c r="K195" s="10"/>
      <c r="L195" s="10"/>
    </row>
    <row r="196" spans="1:29" x14ac:dyDescent="0.25">
      <c r="A196" s="21" t="s">
        <v>2282</v>
      </c>
      <c r="B196" s="12" t="s">
        <v>2283</v>
      </c>
      <c r="C196" s="11" t="s">
        <v>2800</v>
      </c>
      <c r="D196" s="13" t="s">
        <v>2266</v>
      </c>
      <c r="E196" s="11">
        <v>691</v>
      </c>
      <c r="F196" s="21" t="s">
        <v>2284</v>
      </c>
      <c r="G196" s="11" t="s">
        <v>2283</v>
      </c>
      <c r="H196" s="11" t="s">
        <v>2783</v>
      </c>
      <c r="I196" s="12" t="s">
        <v>2283</v>
      </c>
      <c r="J196" s="11" t="s">
        <v>2800</v>
      </c>
      <c r="K196" s="10"/>
      <c r="L196" s="10"/>
    </row>
    <row r="197" spans="1:29" x14ac:dyDescent="0.25">
      <c r="A197" s="21" t="s">
        <v>1644</v>
      </c>
      <c r="B197" s="12" t="s">
        <v>1645</v>
      </c>
      <c r="C197" s="11" t="s">
        <v>2800</v>
      </c>
      <c r="D197" s="13" t="s">
        <v>2248</v>
      </c>
      <c r="E197" s="11">
        <v>1453</v>
      </c>
      <c r="F197" s="21" t="s">
        <v>1646</v>
      </c>
      <c r="G197" s="11" t="s">
        <v>1645</v>
      </c>
      <c r="H197" s="11" t="s">
        <v>2783</v>
      </c>
      <c r="I197" s="12" t="s">
        <v>1645</v>
      </c>
      <c r="J197" s="11" t="s">
        <v>2800</v>
      </c>
      <c r="K197" s="10"/>
      <c r="L197" s="10"/>
    </row>
    <row r="198" spans="1:29" x14ac:dyDescent="0.25">
      <c r="A198" s="21" t="s">
        <v>3424</v>
      </c>
      <c r="B198" s="12" t="s">
        <v>3425</v>
      </c>
      <c r="C198" s="11" t="s">
        <v>2805</v>
      </c>
      <c r="D198" s="13" t="s">
        <v>4430</v>
      </c>
      <c r="E198" s="11">
        <v>173</v>
      </c>
      <c r="F198" s="21" t="s">
        <v>3426</v>
      </c>
      <c r="G198" s="11" t="s">
        <v>3425</v>
      </c>
      <c r="H198" s="11" t="s">
        <v>2783</v>
      </c>
      <c r="I198" s="12" t="s">
        <v>3425</v>
      </c>
      <c r="J198" s="11" t="s">
        <v>2805</v>
      </c>
      <c r="K198" s="10"/>
      <c r="L198" s="10"/>
    </row>
    <row r="199" spans="1:29" x14ac:dyDescent="0.25">
      <c r="A199" s="21" t="s">
        <v>2224</v>
      </c>
      <c r="B199" s="12" t="s">
        <v>2225</v>
      </c>
      <c r="C199" s="11" t="s">
        <v>2800</v>
      </c>
      <c r="D199" s="13" t="s">
        <v>2226</v>
      </c>
      <c r="E199" s="11">
        <v>2639</v>
      </c>
      <c r="F199" s="21" t="s">
        <v>2227</v>
      </c>
      <c r="G199" s="11" t="s">
        <v>2225</v>
      </c>
      <c r="H199" s="11" t="s">
        <v>2783</v>
      </c>
      <c r="I199" s="12" t="s">
        <v>2225</v>
      </c>
      <c r="J199" s="11" t="s">
        <v>2800</v>
      </c>
      <c r="K199" s="10"/>
      <c r="L199" s="10"/>
    </row>
    <row r="200" spans="1:29" x14ac:dyDescent="0.25">
      <c r="A200" s="21" t="s">
        <v>942</v>
      </c>
      <c r="B200" s="12" t="s">
        <v>943</v>
      </c>
      <c r="C200" s="11" t="s">
        <v>2805</v>
      </c>
      <c r="D200" s="13" t="s">
        <v>2247</v>
      </c>
      <c r="E200" s="11">
        <v>464</v>
      </c>
      <c r="F200" s="21" t="s">
        <v>944</v>
      </c>
      <c r="G200" s="11" t="s">
        <v>943</v>
      </c>
      <c r="H200" s="11" t="s">
        <v>2783</v>
      </c>
      <c r="I200" s="12" t="s">
        <v>943</v>
      </c>
      <c r="J200" s="11" t="s">
        <v>2805</v>
      </c>
      <c r="K200" s="10"/>
      <c r="L200" s="10"/>
    </row>
    <row r="201" spans="1:29" x14ac:dyDescent="0.25">
      <c r="A201" s="21" t="s">
        <v>1647</v>
      </c>
      <c r="B201" s="12" t="s">
        <v>1648</v>
      </c>
      <c r="C201" s="11" t="s">
        <v>2805</v>
      </c>
      <c r="D201" s="13" t="s">
        <v>2783</v>
      </c>
      <c r="E201" s="11">
        <v>1758</v>
      </c>
      <c r="F201" s="21" t="s">
        <v>1649</v>
      </c>
      <c r="G201" s="11" t="s">
        <v>1648</v>
      </c>
      <c r="H201" s="11" t="s">
        <v>2783</v>
      </c>
      <c r="I201" s="12" t="s">
        <v>1648</v>
      </c>
      <c r="J201" s="11" t="s">
        <v>2805</v>
      </c>
      <c r="K201" s="10"/>
      <c r="L201" s="10"/>
    </row>
    <row r="202" spans="1:29" x14ac:dyDescent="0.25">
      <c r="A202" s="21" t="s">
        <v>945</v>
      </c>
      <c r="B202" s="12" t="s">
        <v>946</v>
      </c>
      <c r="C202" s="11" t="s">
        <v>2800</v>
      </c>
      <c r="D202" s="13" t="s">
        <v>4311</v>
      </c>
      <c r="E202" s="11">
        <v>571</v>
      </c>
      <c r="F202" s="21" t="s">
        <v>947</v>
      </c>
      <c r="G202" s="11" t="s">
        <v>946</v>
      </c>
      <c r="H202" s="11" t="s">
        <v>2783</v>
      </c>
      <c r="I202" s="12" t="s">
        <v>946</v>
      </c>
      <c r="J202" s="11" t="s">
        <v>2800</v>
      </c>
      <c r="K202" s="10"/>
      <c r="L202" s="10"/>
    </row>
    <row r="203" spans="1:29" x14ac:dyDescent="0.25">
      <c r="A203" s="21" t="s">
        <v>4417</v>
      </c>
      <c r="B203" s="12" t="s">
        <v>4418</v>
      </c>
      <c r="C203" s="11" t="s">
        <v>2805</v>
      </c>
      <c r="D203" s="13" t="s">
        <v>4419</v>
      </c>
      <c r="E203" s="11">
        <v>811</v>
      </c>
      <c r="F203" s="21" t="s">
        <v>4472</v>
      </c>
      <c r="G203" s="11" t="s">
        <v>4418</v>
      </c>
      <c r="H203" s="11" t="s">
        <v>2783</v>
      </c>
      <c r="I203" s="12" t="s">
        <v>4418</v>
      </c>
      <c r="J203" s="11" t="s">
        <v>2805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21" t="s">
        <v>3408</v>
      </c>
      <c r="B204" s="12" t="s">
        <v>4731</v>
      </c>
      <c r="C204" s="11" t="s">
        <v>2805</v>
      </c>
      <c r="D204" s="13" t="s">
        <v>2190</v>
      </c>
      <c r="E204" s="11">
        <v>359</v>
      </c>
      <c r="F204" s="21" t="s">
        <v>3409</v>
      </c>
      <c r="G204" s="11" t="s">
        <v>4731</v>
      </c>
      <c r="H204" s="11" t="s">
        <v>2783</v>
      </c>
      <c r="I204" s="12" t="s">
        <v>4731</v>
      </c>
      <c r="J204" s="11" t="s">
        <v>2805</v>
      </c>
      <c r="K204" s="10"/>
      <c r="L204" s="10"/>
    </row>
    <row r="205" spans="1:29" x14ac:dyDescent="0.25">
      <c r="A205" s="21" t="s">
        <v>4480</v>
      </c>
      <c r="B205" s="12" t="s">
        <v>6</v>
      </c>
      <c r="C205" s="11" t="s">
        <v>2805</v>
      </c>
      <c r="D205" s="13">
        <v>502</v>
      </c>
      <c r="E205" s="11">
        <v>2032</v>
      </c>
      <c r="F205" s="21" t="s">
        <v>7</v>
      </c>
      <c r="G205" s="11" t="s">
        <v>8</v>
      </c>
      <c r="H205" s="11" t="s">
        <v>2783</v>
      </c>
      <c r="I205" s="12" t="s">
        <v>6</v>
      </c>
      <c r="J205" s="11" t="s">
        <v>2805</v>
      </c>
      <c r="K205" s="10"/>
      <c r="L205" s="10"/>
    </row>
    <row r="206" spans="1:29" x14ac:dyDescent="0.25">
      <c r="A206" s="21" t="s">
        <v>315</v>
      </c>
      <c r="B206" s="12" t="s">
        <v>316</v>
      </c>
      <c r="C206" s="11" t="s">
        <v>2805</v>
      </c>
      <c r="D206" s="13" t="s">
        <v>2182</v>
      </c>
      <c r="E206" s="11">
        <v>122</v>
      </c>
      <c r="F206" s="21" t="s">
        <v>317</v>
      </c>
      <c r="G206" s="11" t="s">
        <v>318</v>
      </c>
      <c r="H206" s="11" t="s">
        <v>2783</v>
      </c>
      <c r="I206" s="12" t="s">
        <v>316</v>
      </c>
      <c r="J206" s="11" t="s">
        <v>2805</v>
      </c>
      <c r="K206" s="10"/>
      <c r="L206" s="10"/>
    </row>
    <row r="207" spans="1:29" x14ac:dyDescent="0.25">
      <c r="A207" s="21" t="s">
        <v>3410</v>
      </c>
      <c r="B207" s="12" t="s">
        <v>3411</v>
      </c>
      <c r="C207" s="11" t="s">
        <v>2800</v>
      </c>
      <c r="D207" s="13" t="s">
        <v>3412</v>
      </c>
      <c r="E207" s="11">
        <v>55</v>
      </c>
      <c r="F207" s="21" t="s">
        <v>3413</v>
      </c>
      <c r="G207" s="11" t="s">
        <v>3411</v>
      </c>
      <c r="H207" s="11" t="s">
        <v>2783</v>
      </c>
      <c r="I207" s="12" t="s">
        <v>3411</v>
      </c>
      <c r="J207" s="11" t="s">
        <v>2800</v>
      </c>
      <c r="K207" s="10"/>
      <c r="L207" s="10"/>
    </row>
    <row r="208" spans="1:29" x14ac:dyDescent="0.25">
      <c r="A208" s="21" t="s">
        <v>2372</v>
      </c>
      <c r="B208" s="12" t="s">
        <v>2373</v>
      </c>
      <c r="C208" s="11" t="s">
        <v>2805</v>
      </c>
      <c r="D208" s="13" t="s">
        <v>2374</v>
      </c>
      <c r="E208" s="11">
        <v>1333</v>
      </c>
      <c r="F208" s="21" t="s">
        <v>2375</v>
      </c>
      <c r="G208" s="11" t="s">
        <v>2371</v>
      </c>
      <c r="H208" s="11" t="s">
        <v>2783</v>
      </c>
      <c r="I208" s="12" t="s">
        <v>2373</v>
      </c>
      <c r="J208" s="11" t="s">
        <v>2805</v>
      </c>
      <c r="K208" s="10"/>
      <c r="L208" s="10"/>
    </row>
    <row r="209" spans="1:12" x14ac:dyDescent="0.25">
      <c r="A209" s="21" t="s">
        <v>2369</v>
      </c>
      <c r="B209" s="12" t="s">
        <v>230</v>
      </c>
      <c r="C209" s="11" t="s">
        <v>2805</v>
      </c>
      <c r="D209" s="13" t="s">
        <v>2806</v>
      </c>
      <c r="E209" s="11">
        <v>2714</v>
      </c>
      <c r="F209" s="21" t="s">
        <v>2370</v>
      </c>
      <c r="G209" s="11" t="s">
        <v>2371</v>
      </c>
      <c r="H209" s="11" t="s">
        <v>2783</v>
      </c>
      <c r="I209" s="12" t="s">
        <v>230</v>
      </c>
      <c r="J209" s="11" t="s">
        <v>2805</v>
      </c>
      <c r="K209" s="10"/>
      <c r="L209" s="10"/>
    </row>
    <row r="210" spans="1:12" x14ac:dyDescent="0.25">
      <c r="A210" s="21" t="s">
        <v>4157</v>
      </c>
      <c r="B210" s="12" t="s">
        <v>2371</v>
      </c>
      <c r="C210" s="11" t="s">
        <v>2800</v>
      </c>
      <c r="D210" s="13" t="s">
        <v>4158</v>
      </c>
      <c r="E210" s="11">
        <v>2460</v>
      </c>
      <c r="F210" s="21" t="s">
        <v>4159</v>
      </c>
      <c r="G210" s="11" t="s">
        <v>2371</v>
      </c>
      <c r="H210" s="11" t="s">
        <v>2783</v>
      </c>
      <c r="I210" s="12" t="s">
        <v>2371</v>
      </c>
      <c r="J210" s="11" t="s">
        <v>2800</v>
      </c>
      <c r="K210" s="10"/>
      <c r="L210" s="10"/>
    </row>
    <row r="211" spans="1:12" x14ac:dyDescent="0.25">
      <c r="A211" s="21" t="s">
        <v>4160</v>
      </c>
      <c r="B211" s="12" t="s">
        <v>4161</v>
      </c>
      <c r="C211" s="11" t="s">
        <v>2800</v>
      </c>
      <c r="D211" s="13" t="s">
        <v>4162</v>
      </c>
      <c r="E211" s="11">
        <v>5556</v>
      </c>
      <c r="F211" s="21" t="s">
        <v>4163</v>
      </c>
      <c r="G211" s="11" t="s">
        <v>2371</v>
      </c>
      <c r="H211" s="11" t="s">
        <v>2783</v>
      </c>
      <c r="I211" s="12" t="s">
        <v>4161</v>
      </c>
      <c r="J211" s="11" t="s">
        <v>2800</v>
      </c>
      <c r="K211" s="10"/>
      <c r="L211" s="10"/>
    </row>
    <row r="212" spans="1:12" x14ac:dyDescent="0.25">
      <c r="A212" s="21" t="s">
        <v>4164</v>
      </c>
      <c r="B212" s="12" t="s">
        <v>4165</v>
      </c>
      <c r="C212" s="11" t="s">
        <v>2800</v>
      </c>
      <c r="D212" s="13" t="s">
        <v>4166</v>
      </c>
      <c r="E212" s="11">
        <v>350</v>
      </c>
      <c r="F212" s="21" t="s">
        <v>4167</v>
      </c>
      <c r="G212" s="11" t="s">
        <v>2371</v>
      </c>
      <c r="H212" s="11" t="s">
        <v>2783</v>
      </c>
      <c r="I212" s="12" t="s">
        <v>4165</v>
      </c>
      <c r="J212" s="11" t="s">
        <v>2800</v>
      </c>
      <c r="K212" s="10"/>
      <c r="L212" s="10"/>
    </row>
    <row r="213" spans="1:12" x14ac:dyDescent="0.25">
      <c r="A213" s="21" t="s">
        <v>4168</v>
      </c>
      <c r="B213" s="12" t="s">
        <v>4169</v>
      </c>
      <c r="C213" s="11" t="s">
        <v>2805</v>
      </c>
      <c r="D213" s="13" t="s">
        <v>4170</v>
      </c>
      <c r="E213" s="11">
        <v>865</v>
      </c>
      <c r="F213" s="21" t="s">
        <v>4171</v>
      </c>
      <c r="G213" s="11" t="s">
        <v>2371</v>
      </c>
      <c r="H213" s="11" t="s">
        <v>2783</v>
      </c>
      <c r="I213" s="12" t="s">
        <v>4169</v>
      </c>
      <c r="J213" s="11" t="s">
        <v>2805</v>
      </c>
      <c r="K213" s="10"/>
      <c r="L213" s="10"/>
    </row>
    <row r="214" spans="1:12" x14ac:dyDescent="0.25">
      <c r="A214" s="21" t="s">
        <v>2390</v>
      </c>
      <c r="B214" s="12" t="s">
        <v>2391</v>
      </c>
      <c r="C214" s="11" t="s">
        <v>2800</v>
      </c>
      <c r="D214" s="13" t="s">
        <v>4438</v>
      </c>
      <c r="E214" s="11">
        <v>2702</v>
      </c>
      <c r="F214" s="21" t="s">
        <v>2392</v>
      </c>
      <c r="G214" s="11" t="s">
        <v>2371</v>
      </c>
      <c r="H214" s="11" t="s">
        <v>2783</v>
      </c>
      <c r="I214" s="12" t="s">
        <v>2391</v>
      </c>
      <c r="J214" s="11" t="s">
        <v>2800</v>
      </c>
      <c r="K214" s="10"/>
      <c r="L214" s="10"/>
    </row>
    <row r="215" spans="1:12" x14ac:dyDescent="0.25">
      <c r="A215" s="21" t="s">
        <v>4267</v>
      </c>
      <c r="B215" s="12" t="s">
        <v>4268</v>
      </c>
      <c r="C215" s="11" t="s">
        <v>2805</v>
      </c>
      <c r="D215" s="13">
        <v>2</v>
      </c>
      <c r="E215" s="11">
        <v>7454</v>
      </c>
      <c r="F215" s="21" t="s">
        <v>4269</v>
      </c>
      <c r="G215" s="11" t="s">
        <v>4268</v>
      </c>
      <c r="H215" s="11" t="s">
        <v>2783</v>
      </c>
      <c r="I215" s="12" t="s">
        <v>4268</v>
      </c>
      <c r="J215" s="11" t="s">
        <v>2805</v>
      </c>
      <c r="K215" s="10"/>
      <c r="L215" s="10"/>
    </row>
    <row r="216" spans="1:12" x14ac:dyDescent="0.25">
      <c r="A216" s="21" t="s">
        <v>4473</v>
      </c>
      <c r="B216" s="12" t="s">
        <v>4474</v>
      </c>
      <c r="C216" s="11" t="s">
        <v>2805</v>
      </c>
      <c r="D216" s="13" t="s">
        <v>2248</v>
      </c>
      <c r="E216" s="11">
        <v>2097</v>
      </c>
      <c r="F216" s="21" t="s">
        <v>4475</v>
      </c>
      <c r="G216" s="11" t="s">
        <v>4474</v>
      </c>
      <c r="H216" s="11" t="s">
        <v>2783</v>
      </c>
      <c r="I216" s="12" t="s">
        <v>4474</v>
      </c>
      <c r="J216" s="11" t="s">
        <v>2805</v>
      </c>
      <c r="K216" s="10"/>
      <c r="L216" s="10"/>
    </row>
    <row r="217" spans="1:12" x14ac:dyDescent="0.25">
      <c r="A217" s="21" t="s">
        <v>4335</v>
      </c>
      <c r="B217" s="12" t="s">
        <v>1746</v>
      </c>
      <c r="C217" s="11" t="s">
        <v>2805</v>
      </c>
      <c r="D217" s="13" t="s">
        <v>1747</v>
      </c>
      <c r="E217" s="11">
        <v>507</v>
      </c>
      <c r="F217" s="21" t="s">
        <v>1748</v>
      </c>
      <c r="G217" s="11" t="s">
        <v>1746</v>
      </c>
      <c r="H217" s="11" t="s">
        <v>2783</v>
      </c>
      <c r="I217" s="12" t="s">
        <v>1746</v>
      </c>
      <c r="J217" s="11" t="s">
        <v>2805</v>
      </c>
      <c r="K217" s="10"/>
      <c r="L217" s="10"/>
    </row>
    <row r="218" spans="1:12" x14ac:dyDescent="0.25">
      <c r="A218" s="21" t="s">
        <v>2379</v>
      </c>
      <c r="B218" s="12" t="s">
        <v>4711</v>
      </c>
      <c r="C218" s="11" t="s">
        <v>2800</v>
      </c>
      <c r="D218" s="13" t="s">
        <v>2171</v>
      </c>
      <c r="E218" s="11">
        <v>2052</v>
      </c>
      <c r="F218" s="21" t="s">
        <v>2380</v>
      </c>
      <c r="G218" s="11" t="s">
        <v>4711</v>
      </c>
      <c r="H218" s="11" t="s">
        <v>2783</v>
      </c>
      <c r="I218" s="12" t="s">
        <v>4711</v>
      </c>
      <c r="J218" s="11" t="s">
        <v>2800</v>
      </c>
      <c r="K218" s="10"/>
      <c r="L218" s="10"/>
    </row>
    <row r="219" spans="1:12" x14ac:dyDescent="0.25">
      <c r="A219" s="21" t="s">
        <v>4708</v>
      </c>
      <c r="B219" s="12" t="s">
        <v>4709</v>
      </c>
      <c r="C219" s="11" t="s">
        <v>2800</v>
      </c>
      <c r="D219" s="13" t="s">
        <v>4780</v>
      </c>
      <c r="E219" s="11">
        <v>3745</v>
      </c>
      <c r="F219" s="21" t="s">
        <v>4710</v>
      </c>
      <c r="G219" s="11" t="s">
        <v>4711</v>
      </c>
      <c r="H219" s="11" t="s">
        <v>2783</v>
      </c>
      <c r="I219" s="12" t="s">
        <v>4709</v>
      </c>
      <c r="J219" s="11" t="s">
        <v>2800</v>
      </c>
      <c r="K219" s="10"/>
      <c r="L219" s="10"/>
    </row>
    <row r="220" spans="1:12" x14ac:dyDescent="0.25">
      <c r="A220" s="21" t="s">
        <v>312</v>
      </c>
      <c r="B220" s="12" t="s">
        <v>313</v>
      </c>
      <c r="C220" s="11" t="s">
        <v>2805</v>
      </c>
      <c r="D220" s="13" t="s">
        <v>4310</v>
      </c>
      <c r="E220" s="11">
        <v>226</v>
      </c>
      <c r="F220" s="21" t="s">
        <v>314</v>
      </c>
      <c r="G220" s="11" t="s">
        <v>313</v>
      </c>
      <c r="H220" s="11" t="s">
        <v>2783</v>
      </c>
      <c r="I220" s="12" t="s">
        <v>313</v>
      </c>
      <c r="J220" s="11" t="s">
        <v>2805</v>
      </c>
      <c r="K220" s="10"/>
      <c r="L220" s="10"/>
    </row>
    <row r="221" spans="1:12" x14ac:dyDescent="0.25">
      <c r="A221" s="21" t="s">
        <v>3079</v>
      </c>
      <c r="B221" s="12" t="s">
        <v>3080</v>
      </c>
      <c r="C221" s="11" t="s">
        <v>2805</v>
      </c>
      <c r="D221" s="13" t="s">
        <v>3081</v>
      </c>
      <c r="E221" s="11">
        <v>1101</v>
      </c>
      <c r="F221" s="21" t="s">
        <v>3082</v>
      </c>
      <c r="G221" s="11" t="s">
        <v>3080</v>
      </c>
      <c r="H221" s="11" t="s">
        <v>2783</v>
      </c>
      <c r="I221" s="12" t="s">
        <v>3080</v>
      </c>
      <c r="J221" s="11" t="s">
        <v>2805</v>
      </c>
      <c r="K221" s="10"/>
      <c r="L221" s="10"/>
    </row>
    <row r="222" spans="1:12" x14ac:dyDescent="0.25">
      <c r="A222" s="21" t="s">
        <v>948</v>
      </c>
      <c r="B222" s="12" t="s">
        <v>949</v>
      </c>
      <c r="C222" s="11" t="s">
        <v>2805</v>
      </c>
      <c r="D222" s="13" t="s">
        <v>950</v>
      </c>
      <c r="E222" s="11">
        <v>2015</v>
      </c>
      <c r="F222" s="21" t="s">
        <v>951</v>
      </c>
      <c r="G222" s="11" t="s">
        <v>949</v>
      </c>
      <c r="H222" s="11" t="s">
        <v>2783</v>
      </c>
      <c r="I222" s="12" t="s">
        <v>949</v>
      </c>
      <c r="J222" s="11" t="s">
        <v>2805</v>
      </c>
      <c r="K222" s="10"/>
      <c r="L222" s="10"/>
    </row>
    <row r="223" spans="1:12" x14ac:dyDescent="0.25">
      <c r="A223" s="21" t="s">
        <v>502</v>
      </c>
      <c r="B223" s="12" t="s">
        <v>503</v>
      </c>
      <c r="C223" s="11" t="s">
        <v>2805</v>
      </c>
      <c r="D223" s="13" t="s">
        <v>2270</v>
      </c>
      <c r="E223" s="11">
        <v>650</v>
      </c>
      <c r="F223" s="21" t="s">
        <v>504</v>
      </c>
      <c r="G223" s="11" t="s">
        <v>505</v>
      </c>
      <c r="H223" s="11" t="s">
        <v>2783</v>
      </c>
      <c r="I223" s="12" t="s">
        <v>503</v>
      </c>
      <c r="J223" s="11" t="s">
        <v>2805</v>
      </c>
      <c r="K223" s="10"/>
      <c r="L223" s="10"/>
    </row>
    <row r="224" spans="1:12" x14ac:dyDescent="0.25">
      <c r="A224" s="21" t="s">
        <v>4414</v>
      </c>
      <c r="B224" s="12" t="s">
        <v>4415</v>
      </c>
      <c r="C224" s="11" t="s">
        <v>2805</v>
      </c>
      <c r="D224" s="13">
        <v>519</v>
      </c>
      <c r="E224" s="11">
        <v>7476</v>
      </c>
      <c r="F224" s="21" t="s">
        <v>4416</v>
      </c>
      <c r="G224" s="11" t="s">
        <v>4415</v>
      </c>
      <c r="H224" s="11" t="s">
        <v>2783</v>
      </c>
      <c r="I224" s="12" t="s">
        <v>4415</v>
      </c>
      <c r="J224" s="11" t="s">
        <v>2805</v>
      </c>
      <c r="K224" s="10"/>
      <c r="L224" s="10"/>
    </row>
    <row r="225" spans="1:12" x14ac:dyDescent="0.25">
      <c r="A225" s="21" t="s">
        <v>9</v>
      </c>
      <c r="B225" s="12" t="s">
        <v>10</v>
      </c>
      <c r="C225" s="11" t="s">
        <v>2800</v>
      </c>
      <c r="D225" s="13">
        <v>29</v>
      </c>
      <c r="E225" s="11">
        <v>645</v>
      </c>
      <c r="F225" s="21" t="s">
        <v>4420</v>
      </c>
      <c r="G225" s="11" t="s">
        <v>10</v>
      </c>
      <c r="H225" s="11" t="s">
        <v>2783</v>
      </c>
      <c r="I225" s="12" t="s">
        <v>10</v>
      </c>
      <c r="J225" s="11" t="s">
        <v>2800</v>
      </c>
      <c r="K225" s="10"/>
      <c r="L225" s="10"/>
    </row>
    <row r="226" spans="1:12" x14ac:dyDescent="0.25">
      <c r="A226" s="21" t="s">
        <v>4306</v>
      </c>
      <c r="B226" s="12" t="s">
        <v>4307</v>
      </c>
      <c r="C226" s="11" t="s">
        <v>2800</v>
      </c>
      <c r="D226" s="13" t="s">
        <v>4776</v>
      </c>
      <c r="E226" s="11">
        <v>556</v>
      </c>
      <c r="F226" s="21" t="s">
        <v>4308</v>
      </c>
      <c r="G226" s="11" t="s">
        <v>4307</v>
      </c>
      <c r="H226" s="11" t="s">
        <v>2783</v>
      </c>
      <c r="I226" s="12" t="s">
        <v>4307</v>
      </c>
      <c r="J226" s="11" t="s">
        <v>2800</v>
      </c>
      <c r="K226" s="10"/>
      <c r="L226" s="10"/>
    </row>
    <row r="227" spans="1:12" x14ac:dyDescent="0.25">
      <c r="A227" s="21" t="s">
        <v>506</v>
      </c>
      <c r="B227" s="12" t="s">
        <v>507</v>
      </c>
      <c r="C227" s="11" t="s">
        <v>2805</v>
      </c>
      <c r="D227" s="13" t="s">
        <v>508</v>
      </c>
      <c r="E227" s="11">
        <v>300</v>
      </c>
      <c r="F227" s="21" t="s">
        <v>509</v>
      </c>
      <c r="G227" s="11" t="s">
        <v>507</v>
      </c>
      <c r="H227" s="11" t="s">
        <v>2783</v>
      </c>
      <c r="I227" s="12" t="s">
        <v>507</v>
      </c>
      <c r="J227" s="11" t="s">
        <v>2805</v>
      </c>
      <c r="K227" s="10"/>
      <c r="L227" s="10"/>
    </row>
    <row r="228" spans="1:12" x14ac:dyDescent="0.25">
      <c r="A228" s="21" t="s">
        <v>4264</v>
      </c>
      <c r="B228" s="12" t="s">
        <v>4265</v>
      </c>
      <c r="C228" s="11" t="s">
        <v>2800</v>
      </c>
      <c r="D228" s="13">
        <v>17</v>
      </c>
      <c r="E228" s="11">
        <v>1602</v>
      </c>
      <c r="F228" s="21" t="s">
        <v>4266</v>
      </c>
      <c r="G228" s="11" t="s">
        <v>4265</v>
      </c>
      <c r="H228" s="11" t="s">
        <v>2783</v>
      </c>
      <c r="I228" s="12" t="s">
        <v>4265</v>
      </c>
      <c r="J228" s="11" t="s">
        <v>2800</v>
      </c>
      <c r="K228" s="10"/>
      <c r="L228" s="10"/>
    </row>
    <row r="229" spans="1:12" x14ac:dyDescent="0.25">
      <c r="A229" s="21" t="s">
        <v>952</v>
      </c>
      <c r="B229" s="12" t="s">
        <v>953</v>
      </c>
      <c r="C229" s="11" t="s">
        <v>2805</v>
      </c>
      <c r="D229" s="13" t="s">
        <v>954</v>
      </c>
      <c r="E229" s="11">
        <v>395</v>
      </c>
      <c r="F229" s="21" t="s">
        <v>955</v>
      </c>
      <c r="G229" s="11" t="s">
        <v>953</v>
      </c>
      <c r="H229" s="11" t="s">
        <v>2783</v>
      </c>
      <c r="I229" s="12" t="s">
        <v>953</v>
      </c>
      <c r="J229" s="11" t="s">
        <v>2805</v>
      </c>
      <c r="K229" s="10"/>
      <c r="L229" s="10"/>
    </row>
    <row r="230" spans="1:12" x14ac:dyDescent="0.25">
      <c r="A230" s="21" t="s">
        <v>1650</v>
      </c>
      <c r="B230" s="12" t="s">
        <v>1651</v>
      </c>
      <c r="C230" s="11" t="s">
        <v>2800</v>
      </c>
      <c r="D230" s="13" t="s">
        <v>4784</v>
      </c>
      <c r="E230" s="11">
        <v>448</v>
      </c>
      <c r="F230" s="21" t="s">
        <v>1652</v>
      </c>
      <c r="G230" s="11" t="s">
        <v>1651</v>
      </c>
      <c r="H230" s="11" t="s">
        <v>2783</v>
      </c>
      <c r="I230" s="12" t="s">
        <v>1651</v>
      </c>
      <c r="J230" s="11" t="s">
        <v>2800</v>
      </c>
      <c r="K230" s="10"/>
      <c r="L230" s="10"/>
    </row>
    <row r="231" spans="1:12" x14ac:dyDescent="0.25">
      <c r="A231" s="21" t="s">
        <v>447</v>
      </c>
      <c r="B231" s="12" t="s">
        <v>448</v>
      </c>
      <c r="C231" s="11" t="s">
        <v>2805</v>
      </c>
      <c r="D231" s="13" t="s">
        <v>449</v>
      </c>
      <c r="E231" s="11">
        <v>363</v>
      </c>
      <c r="F231" s="21" t="s">
        <v>450</v>
      </c>
      <c r="G231" s="11" t="s">
        <v>448</v>
      </c>
      <c r="H231" s="11" t="s">
        <v>2783</v>
      </c>
      <c r="I231" s="12" t="s">
        <v>448</v>
      </c>
      <c r="J231" s="11" t="s">
        <v>2805</v>
      </c>
      <c r="K231" s="10"/>
      <c r="L231" s="10"/>
    </row>
    <row r="232" spans="1:12" x14ac:dyDescent="0.25">
      <c r="A232" s="21" t="s">
        <v>4309</v>
      </c>
      <c r="B232" s="12" t="s">
        <v>4310</v>
      </c>
      <c r="C232" s="11" t="s">
        <v>2800</v>
      </c>
      <c r="D232" s="13" t="s">
        <v>4311</v>
      </c>
      <c r="E232" s="11">
        <v>2402</v>
      </c>
      <c r="F232" s="21" t="s">
        <v>4312</v>
      </c>
      <c r="G232" s="11" t="s">
        <v>4310</v>
      </c>
      <c r="H232" s="11" t="s">
        <v>2783</v>
      </c>
      <c r="I232" s="12" t="s">
        <v>4310</v>
      </c>
      <c r="J232" s="11" t="s">
        <v>2800</v>
      </c>
      <c r="K232" s="10"/>
      <c r="L232" s="10"/>
    </row>
    <row r="233" spans="1:12" x14ac:dyDescent="0.25">
      <c r="A233" s="21" t="s">
        <v>4151</v>
      </c>
      <c r="B233" s="12" t="s">
        <v>4152</v>
      </c>
      <c r="C233" s="11" t="s">
        <v>2800</v>
      </c>
      <c r="D233" s="13" t="s">
        <v>4646</v>
      </c>
      <c r="E233" s="11">
        <v>252</v>
      </c>
      <c r="F233" s="21" t="s">
        <v>4153</v>
      </c>
      <c r="G233" s="11" t="s">
        <v>4152</v>
      </c>
      <c r="H233" s="11" t="s">
        <v>2783</v>
      </c>
      <c r="I233" s="12" t="s">
        <v>4152</v>
      </c>
      <c r="J233" s="11" t="s">
        <v>2800</v>
      </c>
      <c r="K233" s="10"/>
      <c r="L233" s="10"/>
    </row>
    <row r="234" spans="1:12" x14ac:dyDescent="0.25">
      <c r="A234" s="21" t="s">
        <v>4144</v>
      </c>
      <c r="B234" s="12" t="s">
        <v>4145</v>
      </c>
      <c r="C234" s="11" t="s">
        <v>2800</v>
      </c>
      <c r="D234" s="13" t="s">
        <v>4146</v>
      </c>
      <c r="E234" s="11">
        <v>4319</v>
      </c>
      <c r="F234" s="21" t="s">
        <v>4147</v>
      </c>
      <c r="G234" s="11" t="s">
        <v>4145</v>
      </c>
      <c r="H234" s="11" t="s">
        <v>2783</v>
      </c>
      <c r="I234" s="12" t="s">
        <v>4145</v>
      </c>
      <c r="J234" s="11" t="s">
        <v>2800</v>
      </c>
      <c r="K234" s="10"/>
      <c r="L234" s="10"/>
    </row>
    <row r="235" spans="1:12" x14ac:dyDescent="0.25">
      <c r="A235" s="21" t="s">
        <v>2478</v>
      </c>
      <c r="B235" s="12" t="s">
        <v>2479</v>
      </c>
      <c r="C235" s="11" t="s">
        <v>2805</v>
      </c>
      <c r="D235" s="13" t="s">
        <v>2480</v>
      </c>
      <c r="E235" s="11">
        <v>167</v>
      </c>
      <c r="F235" s="21" t="s">
        <v>2481</v>
      </c>
      <c r="G235" s="11" t="s">
        <v>2479</v>
      </c>
      <c r="H235" s="11" t="s">
        <v>2783</v>
      </c>
      <c r="I235" s="12" t="s">
        <v>2479</v>
      </c>
      <c r="J235" s="11" t="s">
        <v>2805</v>
      </c>
      <c r="K235" s="10"/>
      <c r="L235" s="10"/>
    </row>
    <row r="236" spans="1:12" x14ac:dyDescent="0.25">
      <c r="A236" s="21" t="s">
        <v>4273</v>
      </c>
      <c r="B236" s="12" t="s">
        <v>4274</v>
      </c>
      <c r="C236" s="11" t="s">
        <v>2805</v>
      </c>
      <c r="D236" s="13">
        <v>6</v>
      </c>
      <c r="E236" s="11">
        <v>4071</v>
      </c>
      <c r="F236" s="21" t="s">
        <v>4275</v>
      </c>
      <c r="G236" s="11" t="s">
        <v>4271</v>
      </c>
      <c r="H236" s="11" t="s">
        <v>2783</v>
      </c>
      <c r="I236" s="12" t="s">
        <v>4274</v>
      </c>
      <c r="J236" s="11" t="s">
        <v>2805</v>
      </c>
      <c r="K236" s="10"/>
      <c r="L236" s="10"/>
    </row>
    <row r="237" spans="1:12" x14ac:dyDescent="0.25">
      <c r="A237" s="21" t="s">
        <v>4270</v>
      </c>
      <c r="B237" s="12" t="s">
        <v>4271</v>
      </c>
      <c r="C237" s="11" t="s">
        <v>2800</v>
      </c>
      <c r="D237" s="13">
        <v>58</v>
      </c>
      <c r="E237" s="11">
        <v>3088</v>
      </c>
      <c r="F237" s="21" t="s">
        <v>4272</v>
      </c>
      <c r="G237" s="11" t="s">
        <v>4271</v>
      </c>
      <c r="H237" s="11" t="s">
        <v>2783</v>
      </c>
      <c r="I237" s="12" t="s">
        <v>4271</v>
      </c>
      <c r="J237" s="11" t="s">
        <v>2800</v>
      </c>
      <c r="K237" s="10"/>
      <c r="L237" s="10"/>
    </row>
    <row r="238" spans="1:12" x14ac:dyDescent="0.25">
      <c r="A238" s="21" t="s">
        <v>956</v>
      </c>
      <c r="B238" s="12" t="s">
        <v>957</v>
      </c>
      <c r="C238" s="11" t="s">
        <v>2805</v>
      </c>
      <c r="D238" s="13" t="s">
        <v>958</v>
      </c>
      <c r="E238" s="11">
        <v>234</v>
      </c>
      <c r="F238" s="21" t="s">
        <v>959</v>
      </c>
      <c r="G238" s="11" t="s">
        <v>960</v>
      </c>
      <c r="H238" s="11" t="s">
        <v>2783</v>
      </c>
      <c r="I238" s="12" t="s">
        <v>957</v>
      </c>
      <c r="J238" s="11" t="s">
        <v>2805</v>
      </c>
      <c r="K238" s="10"/>
      <c r="L238" s="10"/>
    </row>
    <row r="239" spans="1:12" x14ac:dyDescent="0.25">
      <c r="A239" s="21" t="s">
        <v>966</v>
      </c>
      <c r="B239" s="12" t="s">
        <v>967</v>
      </c>
      <c r="C239" s="11" t="s">
        <v>2805</v>
      </c>
      <c r="D239" s="13" t="s">
        <v>4412</v>
      </c>
      <c r="E239" s="11">
        <v>181</v>
      </c>
      <c r="F239" s="21" t="s">
        <v>968</v>
      </c>
      <c r="G239" s="11" t="s">
        <v>967</v>
      </c>
      <c r="H239" s="11" t="s">
        <v>2783</v>
      </c>
      <c r="I239" s="12" t="s">
        <v>967</v>
      </c>
      <c r="J239" s="11" t="s">
        <v>2805</v>
      </c>
      <c r="K239" s="10"/>
      <c r="L239" s="10"/>
    </row>
    <row r="240" spans="1:12" x14ac:dyDescent="0.25">
      <c r="A240" s="21" t="s">
        <v>510</v>
      </c>
      <c r="B240" s="12" t="s">
        <v>511</v>
      </c>
      <c r="C240" s="11" t="s">
        <v>2800</v>
      </c>
      <c r="D240" s="13" t="s">
        <v>430</v>
      </c>
      <c r="E240" s="11">
        <v>2973</v>
      </c>
      <c r="F240" s="21" t="s">
        <v>512</v>
      </c>
      <c r="G240" s="11" t="s">
        <v>511</v>
      </c>
      <c r="H240" s="11" t="s">
        <v>2783</v>
      </c>
      <c r="I240" s="12" t="s">
        <v>511</v>
      </c>
      <c r="J240" s="11" t="s">
        <v>2800</v>
      </c>
      <c r="K240" s="10"/>
      <c r="L240" s="10"/>
    </row>
    <row r="241" spans="1:12" x14ac:dyDescent="0.25">
      <c r="A241" s="21" t="s">
        <v>4729</v>
      </c>
      <c r="B241" s="12" t="s">
        <v>4730</v>
      </c>
      <c r="C241" s="11" t="s">
        <v>2800</v>
      </c>
      <c r="D241" s="13" t="s">
        <v>4731</v>
      </c>
      <c r="E241" s="11">
        <v>2683</v>
      </c>
      <c r="F241" s="21" t="s">
        <v>4732</v>
      </c>
      <c r="G241" s="11" t="s">
        <v>4730</v>
      </c>
      <c r="H241" s="11" t="s">
        <v>2783</v>
      </c>
      <c r="I241" s="12" t="s">
        <v>4730</v>
      </c>
      <c r="J241" s="11" t="s">
        <v>2800</v>
      </c>
      <c r="K241" s="10"/>
      <c r="L241" s="10"/>
    </row>
    <row r="242" spans="1:12" x14ac:dyDescent="0.25">
      <c r="A242" s="21" t="s">
        <v>963</v>
      </c>
      <c r="B242" s="12" t="s">
        <v>964</v>
      </c>
      <c r="C242" s="11" t="s">
        <v>2805</v>
      </c>
      <c r="D242" s="13" t="s">
        <v>2853</v>
      </c>
      <c r="E242" s="11">
        <v>586</v>
      </c>
      <c r="F242" s="21" t="s">
        <v>965</v>
      </c>
      <c r="G242" s="11" t="s">
        <v>964</v>
      </c>
      <c r="H242" s="11" t="s">
        <v>2783</v>
      </c>
      <c r="I242" s="12" t="s">
        <v>964</v>
      </c>
      <c r="J242" s="11" t="s">
        <v>2805</v>
      </c>
      <c r="K242" s="10"/>
      <c r="L242" s="10"/>
    </row>
    <row r="243" spans="1:12" x14ac:dyDescent="0.25">
      <c r="A243" s="21" t="s">
        <v>4191</v>
      </c>
      <c r="B243" s="12" t="s">
        <v>4192</v>
      </c>
      <c r="C243" s="11" t="s">
        <v>2805</v>
      </c>
      <c r="D243" s="13" t="s">
        <v>255</v>
      </c>
      <c r="E243" s="11">
        <v>257</v>
      </c>
      <c r="F243" s="21" t="s">
        <v>4193</v>
      </c>
      <c r="G243" s="11" t="s">
        <v>4192</v>
      </c>
      <c r="H243" s="11" t="s">
        <v>2783</v>
      </c>
      <c r="I243" s="12" t="s">
        <v>4192</v>
      </c>
      <c r="J243" s="11" t="s">
        <v>2805</v>
      </c>
      <c r="K243" s="10"/>
      <c r="L243" s="10"/>
    </row>
    <row r="244" spans="1:12" x14ac:dyDescent="0.25">
      <c r="A244" s="21" t="s">
        <v>4194</v>
      </c>
      <c r="B244" s="12" t="s">
        <v>4195</v>
      </c>
      <c r="C244" s="11" t="s">
        <v>2805</v>
      </c>
      <c r="D244" s="13" t="s">
        <v>4196</v>
      </c>
      <c r="E244" s="11">
        <v>253</v>
      </c>
      <c r="F244" s="21" t="s">
        <v>4197</v>
      </c>
      <c r="G244" s="11" t="s">
        <v>4195</v>
      </c>
      <c r="H244" s="11" t="s">
        <v>2783</v>
      </c>
      <c r="I244" s="12" t="s">
        <v>4195</v>
      </c>
      <c r="J244" s="11" t="s">
        <v>2805</v>
      </c>
      <c r="K244" s="10"/>
      <c r="L244" s="10"/>
    </row>
    <row r="245" spans="1:12" x14ac:dyDescent="0.25">
      <c r="A245" s="21" t="s">
        <v>3427</v>
      </c>
      <c r="B245" s="12" t="s">
        <v>3428</v>
      </c>
      <c r="C245" s="11" t="s">
        <v>2805</v>
      </c>
      <c r="D245" s="13" t="s">
        <v>3429</v>
      </c>
      <c r="E245" s="11">
        <v>177</v>
      </c>
      <c r="F245" s="21" t="s">
        <v>3430</v>
      </c>
      <c r="G245" s="11" t="s">
        <v>3428</v>
      </c>
      <c r="H245" s="11" t="s">
        <v>2783</v>
      </c>
      <c r="I245" s="12" t="s">
        <v>3428</v>
      </c>
      <c r="J245" s="11" t="s">
        <v>2805</v>
      </c>
      <c r="K245" s="10"/>
      <c r="L245" s="10"/>
    </row>
    <row r="246" spans="1:12" x14ac:dyDescent="0.25">
      <c r="A246" s="21" t="s">
        <v>4327</v>
      </c>
      <c r="B246" s="12" t="s">
        <v>4328</v>
      </c>
      <c r="C246" s="11" t="s">
        <v>2805</v>
      </c>
      <c r="D246" s="13" t="s">
        <v>4329</v>
      </c>
      <c r="E246" s="11">
        <v>52</v>
      </c>
      <c r="F246" s="21" t="s">
        <v>4330</v>
      </c>
      <c r="G246" s="11" t="s">
        <v>4328</v>
      </c>
      <c r="H246" s="11" t="s">
        <v>2783</v>
      </c>
      <c r="I246" s="12" t="s">
        <v>4328</v>
      </c>
      <c r="J246" s="11" t="s">
        <v>2805</v>
      </c>
      <c r="K246" s="10"/>
      <c r="L246" s="10"/>
    </row>
    <row r="247" spans="1:12" x14ac:dyDescent="0.25">
      <c r="A247" s="21" t="s">
        <v>969</v>
      </c>
      <c r="B247" s="12" t="s">
        <v>970</v>
      </c>
      <c r="C247" s="11" t="s">
        <v>2805</v>
      </c>
      <c r="D247" s="13" t="s">
        <v>971</v>
      </c>
      <c r="E247" s="11">
        <v>635</v>
      </c>
      <c r="F247" s="21" t="s">
        <v>972</v>
      </c>
      <c r="G247" s="11" t="s">
        <v>970</v>
      </c>
      <c r="H247" s="11" t="s">
        <v>2783</v>
      </c>
      <c r="I247" s="12" t="s">
        <v>970</v>
      </c>
      <c r="J247" s="11" t="s">
        <v>2805</v>
      </c>
      <c r="K247" s="10"/>
      <c r="L247" s="10"/>
    </row>
    <row r="248" spans="1:12" x14ac:dyDescent="0.25">
      <c r="A248" s="21" t="s">
        <v>973</v>
      </c>
      <c r="B248" s="12" t="s">
        <v>974</v>
      </c>
      <c r="C248" s="11" t="s">
        <v>2805</v>
      </c>
      <c r="D248" s="13" t="s">
        <v>2248</v>
      </c>
      <c r="E248" s="11">
        <v>401</v>
      </c>
      <c r="F248" s="21" t="s">
        <v>975</v>
      </c>
      <c r="G248" s="11" t="s">
        <v>974</v>
      </c>
      <c r="H248" s="11" t="s">
        <v>2783</v>
      </c>
      <c r="I248" s="12" t="s">
        <v>974</v>
      </c>
      <c r="J248" s="11" t="s">
        <v>2805</v>
      </c>
      <c r="K248" s="10"/>
      <c r="L248" s="10"/>
    </row>
    <row r="249" spans="1:12" x14ac:dyDescent="0.25">
      <c r="A249" s="21" t="s">
        <v>4198</v>
      </c>
      <c r="B249" s="12" t="s">
        <v>4199</v>
      </c>
      <c r="C249" s="11" t="s">
        <v>2805</v>
      </c>
      <c r="D249" s="13">
        <v>24</v>
      </c>
      <c r="E249" s="11">
        <v>141</v>
      </c>
      <c r="F249" s="21" t="s">
        <v>4200</v>
      </c>
      <c r="G249" s="11" t="s">
        <v>4199</v>
      </c>
      <c r="H249" s="11" t="s">
        <v>2783</v>
      </c>
      <c r="I249" s="12" t="s">
        <v>4199</v>
      </c>
      <c r="J249" s="11" t="s">
        <v>2805</v>
      </c>
      <c r="K249" s="10"/>
      <c r="L249" s="10"/>
    </row>
    <row r="250" spans="1:12" x14ac:dyDescent="0.25">
      <c r="A250" s="21" t="s">
        <v>976</v>
      </c>
      <c r="B250" s="12" t="s">
        <v>977</v>
      </c>
      <c r="C250" s="11" t="s">
        <v>2800</v>
      </c>
      <c r="D250" s="13" t="s">
        <v>978</v>
      </c>
      <c r="E250" s="11">
        <v>345</v>
      </c>
      <c r="F250" s="21" t="s">
        <v>979</v>
      </c>
      <c r="G250" s="11" t="s">
        <v>977</v>
      </c>
      <c r="H250" s="11" t="s">
        <v>2783</v>
      </c>
      <c r="I250" s="12" t="s">
        <v>977</v>
      </c>
      <c r="J250" s="11" t="s">
        <v>2800</v>
      </c>
      <c r="K250" s="10"/>
      <c r="L250" s="10"/>
    </row>
    <row r="251" spans="1:12" x14ac:dyDescent="0.25">
      <c r="A251" s="21" t="s">
        <v>980</v>
      </c>
      <c r="B251" s="12" t="s">
        <v>981</v>
      </c>
      <c r="C251" s="11" t="s">
        <v>2805</v>
      </c>
      <c r="D251" s="13" t="s">
        <v>247</v>
      </c>
      <c r="E251" s="11">
        <v>197</v>
      </c>
      <c r="F251" s="21" t="s">
        <v>982</v>
      </c>
      <c r="G251" s="11" t="s">
        <v>981</v>
      </c>
      <c r="H251" s="11" t="s">
        <v>2783</v>
      </c>
      <c r="I251" s="12" t="s">
        <v>981</v>
      </c>
      <c r="J251" s="11" t="s">
        <v>2805</v>
      </c>
      <c r="K251" s="10"/>
      <c r="L251" s="10"/>
    </row>
    <row r="252" spans="1:12" x14ac:dyDescent="0.25">
      <c r="A252" s="21" t="s">
        <v>319</v>
      </c>
      <c r="B252" s="12" t="s">
        <v>320</v>
      </c>
      <c r="C252" s="11" t="s">
        <v>2805</v>
      </c>
      <c r="D252" s="13" t="s">
        <v>321</v>
      </c>
      <c r="E252" s="11">
        <v>672</v>
      </c>
      <c r="F252" s="21" t="s">
        <v>322</v>
      </c>
      <c r="G252" s="11" t="s">
        <v>320</v>
      </c>
      <c r="H252" s="11" t="s">
        <v>2783</v>
      </c>
      <c r="I252" s="12" t="s">
        <v>320</v>
      </c>
      <c r="J252" s="11" t="s">
        <v>2805</v>
      </c>
      <c r="K252" s="10"/>
      <c r="L252" s="10"/>
    </row>
    <row r="253" spans="1:12" x14ac:dyDescent="0.25">
      <c r="A253" s="21" t="s">
        <v>2829</v>
      </c>
      <c r="B253" s="12" t="s">
        <v>2830</v>
      </c>
      <c r="C253" s="11" t="s">
        <v>2800</v>
      </c>
      <c r="D253" s="13" t="s">
        <v>2831</v>
      </c>
      <c r="E253" s="11">
        <v>173</v>
      </c>
      <c r="F253" s="21" t="s">
        <v>2832</v>
      </c>
      <c r="G253" s="11" t="s">
        <v>2830</v>
      </c>
      <c r="H253" s="11" t="s">
        <v>2783</v>
      </c>
      <c r="I253" s="12" t="s">
        <v>2830</v>
      </c>
      <c r="J253" s="11" t="s">
        <v>2800</v>
      </c>
      <c r="K253" s="10"/>
      <c r="L253" s="10"/>
    </row>
    <row r="254" spans="1:12" s="17" customFormat="1" x14ac:dyDescent="0.25">
      <c r="A254" s="22" t="s">
        <v>983</v>
      </c>
      <c r="B254" s="15" t="s">
        <v>984</v>
      </c>
      <c r="C254" s="14" t="s">
        <v>2805</v>
      </c>
      <c r="D254" s="16" t="s">
        <v>2171</v>
      </c>
      <c r="E254" s="14">
        <v>624</v>
      </c>
      <c r="F254" s="22" t="s">
        <v>985</v>
      </c>
      <c r="G254" s="14" t="s">
        <v>984</v>
      </c>
      <c r="H254" s="14" t="s">
        <v>2783</v>
      </c>
      <c r="I254" s="15" t="s">
        <v>984</v>
      </c>
      <c r="J254" s="14" t="s">
        <v>2805</v>
      </c>
    </row>
    <row r="255" spans="1:12" x14ac:dyDescent="0.25">
      <c r="A255" s="21" t="s">
        <v>4201</v>
      </c>
      <c r="B255" s="12" t="s">
        <v>4202</v>
      </c>
      <c r="C255" s="11" t="s">
        <v>2805</v>
      </c>
      <c r="D255" s="13" t="s">
        <v>4203</v>
      </c>
      <c r="E255" s="11">
        <v>47</v>
      </c>
      <c r="F255" s="21" t="s">
        <v>4204</v>
      </c>
      <c r="G255" s="11" t="s">
        <v>4205</v>
      </c>
      <c r="H255" s="11" t="s">
        <v>2783</v>
      </c>
      <c r="I255" s="12" t="s">
        <v>4202</v>
      </c>
      <c r="J255" s="11" t="s">
        <v>2805</v>
      </c>
      <c r="K255" s="10"/>
      <c r="L255" s="10"/>
    </row>
    <row r="256" spans="1:12" x14ac:dyDescent="0.25">
      <c r="A256" s="21" t="s">
        <v>2482</v>
      </c>
      <c r="B256" s="12" t="s">
        <v>2483</v>
      </c>
      <c r="C256" s="11" t="s">
        <v>2805</v>
      </c>
      <c r="D256" s="13" t="s">
        <v>2262</v>
      </c>
      <c r="E256" s="11">
        <v>117</v>
      </c>
      <c r="F256" s="21" t="s">
        <v>2484</v>
      </c>
      <c r="G256" s="11" t="s">
        <v>2483</v>
      </c>
      <c r="H256" s="11" t="s">
        <v>2783</v>
      </c>
      <c r="I256" s="12" t="s">
        <v>2483</v>
      </c>
      <c r="J256" s="11" t="s">
        <v>2805</v>
      </c>
      <c r="K256" s="10"/>
      <c r="L256" s="10"/>
    </row>
    <row r="257" spans="1:12" x14ac:dyDescent="0.25">
      <c r="A257" s="21" t="s">
        <v>323</v>
      </c>
      <c r="B257" s="12" t="s">
        <v>324</v>
      </c>
      <c r="C257" s="11" t="s">
        <v>2800</v>
      </c>
      <c r="D257" s="13" t="s">
        <v>325</v>
      </c>
      <c r="E257" s="11">
        <v>451</v>
      </c>
      <c r="F257" s="21" t="s">
        <v>326</v>
      </c>
      <c r="G257" s="11" t="s">
        <v>324</v>
      </c>
      <c r="H257" s="11" t="s">
        <v>2783</v>
      </c>
      <c r="I257" s="12" t="s">
        <v>324</v>
      </c>
      <c r="J257" s="11" t="s">
        <v>2800</v>
      </c>
      <c r="K257" s="10"/>
      <c r="L257" s="10"/>
    </row>
    <row r="258" spans="1:12" x14ac:dyDescent="0.25">
      <c r="A258" s="21" t="s">
        <v>4280</v>
      </c>
      <c r="B258" s="12" t="s">
        <v>4281</v>
      </c>
      <c r="C258" s="11" t="s">
        <v>2800</v>
      </c>
      <c r="D258" s="13" t="s">
        <v>4282</v>
      </c>
      <c r="E258" s="11">
        <v>51</v>
      </c>
      <c r="F258" s="21" t="s">
        <v>4283</v>
      </c>
      <c r="G258" s="11" t="s">
        <v>4281</v>
      </c>
      <c r="H258" s="11" t="s">
        <v>2783</v>
      </c>
      <c r="I258" s="12" t="s">
        <v>4281</v>
      </c>
      <c r="J258" s="11" t="s">
        <v>2800</v>
      </c>
      <c r="K258" s="10"/>
      <c r="L258" s="10"/>
    </row>
    <row r="259" spans="1:12" x14ac:dyDescent="0.25">
      <c r="A259" s="21" t="s">
        <v>1497</v>
      </c>
      <c r="B259" s="12" t="s">
        <v>1498</v>
      </c>
      <c r="C259" s="11" t="s">
        <v>2800</v>
      </c>
      <c r="D259" s="13" t="s">
        <v>1499</v>
      </c>
      <c r="E259" s="11">
        <v>635</v>
      </c>
      <c r="F259" s="21" t="s">
        <v>1500</v>
      </c>
      <c r="G259" s="11" t="s">
        <v>1501</v>
      </c>
      <c r="H259" s="11" t="s">
        <v>2783</v>
      </c>
      <c r="I259" s="12" t="s">
        <v>1498</v>
      </c>
      <c r="J259" s="11" t="s">
        <v>2800</v>
      </c>
      <c r="K259" s="10"/>
      <c r="L259" s="10"/>
    </row>
    <row r="260" spans="1:12" x14ac:dyDescent="0.25">
      <c r="A260" s="21" t="s">
        <v>986</v>
      </c>
      <c r="B260" s="12" t="s">
        <v>987</v>
      </c>
      <c r="C260" s="11" t="s">
        <v>2805</v>
      </c>
      <c r="D260" s="13" t="s">
        <v>988</v>
      </c>
      <c r="E260" s="11">
        <v>214</v>
      </c>
      <c r="F260" s="21" t="s">
        <v>989</v>
      </c>
      <c r="G260" s="11" t="s">
        <v>987</v>
      </c>
      <c r="H260" s="11" t="s">
        <v>2783</v>
      </c>
      <c r="I260" s="12" t="s">
        <v>987</v>
      </c>
      <c r="J260" s="11" t="s">
        <v>2805</v>
      </c>
      <c r="K260" s="10"/>
      <c r="L260" s="10"/>
    </row>
    <row r="261" spans="1:12" x14ac:dyDescent="0.25">
      <c r="A261" s="21" t="s">
        <v>327</v>
      </c>
      <c r="B261" s="12" t="s">
        <v>328</v>
      </c>
      <c r="C261" s="11" t="s">
        <v>2805</v>
      </c>
      <c r="D261" s="13" t="s">
        <v>1668</v>
      </c>
      <c r="E261" s="11">
        <v>389</v>
      </c>
      <c r="F261" s="21" t="s">
        <v>329</v>
      </c>
      <c r="G261" s="11" t="s">
        <v>328</v>
      </c>
      <c r="H261" s="11" t="s">
        <v>2783</v>
      </c>
      <c r="I261" s="12" t="s">
        <v>328</v>
      </c>
      <c r="J261" s="11" t="s">
        <v>2805</v>
      </c>
      <c r="K261" s="10"/>
      <c r="L261" s="10"/>
    </row>
    <row r="262" spans="1:12" x14ac:dyDescent="0.25">
      <c r="A262" s="21" t="s">
        <v>4206</v>
      </c>
      <c r="B262" s="12" t="s">
        <v>4207</v>
      </c>
      <c r="C262" s="11" t="s">
        <v>2805</v>
      </c>
      <c r="D262" s="13" t="s">
        <v>4310</v>
      </c>
      <c r="E262" s="11">
        <v>682</v>
      </c>
      <c r="F262" s="21" t="s">
        <v>4208</v>
      </c>
      <c r="G262" s="11" t="s">
        <v>4209</v>
      </c>
      <c r="H262" s="11" t="s">
        <v>2783</v>
      </c>
      <c r="I262" s="12" t="s">
        <v>4207</v>
      </c>
      <c r="J262" s="11" t="s">
        <v>2805</v>
      </c>
      <c r="K262" s="10"/>
      <c r="L262" s="10"/>
    </row>
    <row r="263" spans="1:12" x14ac:dyDescent="0.25">
      <c r="A263" s="21" t="s">
        <v>4210</v>
      </c>
      <c r="B263" s="12" t="s">
        <v>4211</v>
      </c>
      <c r="C263" s="11" t="s">
        <v>2805</v>
      </c>
      <c r="D263" s="13" t="s">
        <v>4212</v>
      </c>
      <c r="E263" s="11">
        <v>0</v>
      </c>
      <c r="F263" s="21" t="s">
        <v>4213</v>
      </c>
      <c r="G263" s="11" t="s">
        <v>4211</v>
      </c>
      <c r="H263" s="11" t="s">
        <v>2783</v>
      </c>
      <c r="I263" s="12" t="s">
        <v>4211</v>
      </c>
      <c r="J263" s="11" t="s">
        <v>2805</v>
      </c>
      <c r="K263" s="10"/>
      <c r="L263" s="10"/>
    </row>
    <row r="264" spans="1:12" x14ac:dyDescent="0.25">
      <c r="A264" s="21" t="s">
        <v>2337</v>
      </c>
      <c r="B264" s="12" t="s">
        <v>2338</v>
      </c>
      <c r="C264" s="11" t="s">
        <v>2800</v>
      </c>
      <c r="D264" s="13" t="s">
        <v>2247</v>
      </c>
      <c r="E264" s="11">
        <v>602</v>
      </c>
      <c r="F264" s="21" t="s">
        <v>2339</v>
      </c>
      <c r="G264" s="11" t="s">
        <v>2338</v>
      </c>
      <c r="H264" s="11" t="s">
        <v>2783</v>
      </c>
      <c r="I264" s="12" t="s">
        <v>2338</v>
      </c>
      <c r="J264" s="11" t="s">
        <v>2800</v>
      </c>
      <c r="K264" s="10"/>
      <c r="L264" s="10"/>
    </row>
    <row r="265" spans="1:12" x14ac:dyDescent="0.25">
      <c r="A265" s="21" t="s">
        <v>3417</v>
      </c>
      <c r="B265" s="12" t="s">
        <v>3418</v>
      </c>
      <c r="C265" s="11" t="s">
        <v>2805</v>
      </c>
      <c r="D265" s="13">
        <v>11</v>
      </c>
      <c r="E265" s="11">
        <v>0</v>
      </c>
      <c r="F265" s="21" t="s">
        <v>3419</v>
      </c>
      <c r="G265" s="11" t="s">
        <v>3418</v>
      </c>
      <c r="H265" s="11" t="s">
        <v>2783</v>
      </c>
      <c r="I265" s="12" t="s">
        <v>3418</v>
      </c>
      <c r="J265" s="11" t="s">
        <v>2805</v>
      </c>
      <c r="K265" s="10"/>
      <c r="L265" s="10"/>
    </row>
    <row r="266" spans="1:12" x14ac:dyDescent="0.25">
      <c r="A266" s="21" t="s">
        <v>2459</v>
      </c>
      <c r="B266" s="12" t="s">
        <v>2460</v>
      </c>
      <c r="C266" s="11" t="s">
        <v>2805</v>
      </c>
      <c r="D266" s="13" t="s">
        <v>2461</v>
      </c>
      <c r="E266" s="11">
        <v>2602</v>
      </c>
      <c r="F266" s="21" t="s">
        <v>2462</v>
      </c>
      <c r="G266" s="11" t="s">
        <v>2460</v>
      </c>
      <c r="H266" s="11" t="s">
        <v>2783</v>
      </c>
      <c r="I266" s="12" t="s">
        <v>2460</v>
      </c>
      <c r="J266" s="11" t="s">
        <v>2805</v>
      </c>
      <c r="K266" s="10"/>
      <c r="L266" s="10"/>
    </row>
    <row r="267" spans="1:12" x14ac:dyDescent="0.25">
      <c r="A267" s="21" t="s">
        <v>2381</v>
      </c>
      <c r="B267" s="12" t="s">
        <v>2382</v>
      </c>
      <c r="C267" s="11" t="s">
        <v>2800</v>
      </c>
      <c r="D267" s="13" t="s">
        <v>2374</v>
      </c>
      <c r="E267" s="11">
        <v>405</v>
      </c>
      <c r="F267" s="21" t="s">
        <v>2383</v>
      </c>
      <c r="G267" s="11" t="s">
        <v>2382</v>
      </c>
      <c r="H267" s="11" t="s">
        <v>2783</v>
      </c>
      <c r="I267" s="12" t="s">
        <v>2382</v>
      </c>
      <c r="J267" s="11" t="s">
        <v>2800</v>
      </c>
      <c r="K267" s="10"/>
      <c r="L267" s="10"/>
    </row>
    <row r="268" spans="1:12" x14ac:dyDescent="0.25">
      <c r="A268" s="21" t="s">
        <v>1481</v>
      </c>
      <c r="B268" s="12" t="s">
        <v>1482</v>
      </c>
      <c r="C268" s="11" t="s">
        <v>2800</v>
      </c>
      <c r="D268" s="13" t="s">
        <v>1483</v>
      </c>
      <c r="E268" s="11">
        <v>2498</v>
      </c>
      <c r="F268" s="21" t="s">
        <v>1484</v>
      </c>
      <c r="G268" s="11" t="s">
        <v>1482</v>
      </c>
      <c r="H268" s="11" t="s">
        <v>2783</v>
      </c>
      <c r="I268" s="12" t="s">
        <v>1482</v>
      </c>
      <c r="J268" s="11" t="s">
        <v>2800</v>
      </c>
      <c r="K268" s="10"/>
      <c r="L268" s="10"/>
    </row>
    <row r="269" spans="1:12" x14ac:dyDescent="0.25">
      <c r="A269" s="21" t="s">
        <v>990</v>
      </c>
      <c r="B269" s="12" t="s">
        <v>991</v>
      </c>
      <c r="C269" s="11" t="s">
        <v>2805</v>
      </c>
      <c r="D269" s="13" t="s">
        <v>992</v>
      </c>
      <c r="E269" s="11">
        <v>517</v>
      </c>
      <c r="F269" s="21" t="s">
        <v>993</v>
      </c>
      <c r="G269" s="11" t="s">
        <v>991</v>
      </c>
      <c r="H269" s="11" t="s">
        <v>2783</v>
      </c>
      <c r="I269" s="12" t="s">
        <v>991</v>
      </c>
      <c r="J269" s="11" t="s">
        <v>2805</v>
      </c>
      <c r="K269" s="10"/>
      <c r="L269" s="10"/>
    </row>
    <row r="270" spans="1:12" x14ac:dyDescent="0.25">
      <c r="A270" s="21" t="s">
        <v>1477</v>
      </c>
      <c r="B270" s="12" t="s">
        <v>1478</v>
      </c>
      <c r="C270" s="11" t="s">
        <v>2805</v>
      </c>
      <c r="D270" s="13" t="s">
        <v>1479</v>
      </c>
      <c r="E270" s="11">
        <v>3395</v>
      </c>
      <c r="F270" s="21" t="s">
        <v>1480</v>
      </c>
      <c r="G270" s="11" t="s">
        <v>1478</v>
      </c>
      <c r="H270" s="11" t="s">
        <v>2783</v>
      </c>
      <c r="I270" s="12" t="s">
        <v>1478</v>
      </c>
      <c r="J270" s="11" t="s">
        <v>2805</v>
      </c>
      <c r="K270" s="10"/>
      <c r="L270" s="10"/>
    </row>
    <row r="271" spans="1:12" x14ac:dyDescent="0.25">
      <c r="A271" s="21" t="s">
        <v>1451</v>
      </c>
      <c r="B271" s="12" t="s">
        <v>1452</v>
      </c>
      <c r="C271" s="11" t="s">
        <v>2805</v>
      </c>
      <c r="D271" s="13" t="s">
        <v>1453</v>
      </c>
      <c r="E271" s="11">
        <v>1071</v>
      </c>
      <c r="F271" s="21" t="s">
        <v>1454</v>
      </c>
      <c r="G271" s="11" t="s">
        <v>1452</v>
      </c>
      <c r="H271" s="11" t="s">
        <v>2783</v>
      </c>
      <c r="I271" s="12" t="s">
        <v>1452</v>
      </c>
      <c r="J271" s="11" t="s">
        <v>2805</v>
      </c>
      <c r="K271" s="10"/>
      <c r="L271" s="10"/>
    </row>
    <row r="272" spans="1:12" x14ac:dyDescent="0.25">
      <c r="A272" s="21" t="s">
        <v>330</v>
      </c>
      <c r="B272" s="12" t="s">
        <v>331</v>
      </c>
      <c r="C272" s="11" t="s">
        <v>2805</v>
      </c>
      <c r="D272" s="13" t="s">
        <v>4703</v>
      </c>
      <c r="E272" s="11">
        <v>698</v>
      </c>
      <c r="F272" s="21" t="s">
        <v>332</v>
      </c>
      <c r="G272" s="11" t="s">
        <v>331</v>
      </c>
      <c r="H272" s="11" t="s">
        <v>2783</v>
      </c>
      <c r="I272" s="12" t="s">
        <v>331</v>
      </c>
      <c r="J272" s="11" t="s">
        <v>2805</v>
      </c>
      <c r="K272" s="10"/>
      <c r="L272" s="10"/>
    </row>
    <row r="273" spans="1:12" x14ac:dyDescent="0.25">
      <c r="A273" s="21" t="s">
        <v>4313</v>
      </c>
      <c r="B273" s="12" t="s">
        <v>4314</v>
      </c>
      <c r="C273" s="11" t="s">
        <v>2800</v>
      </c>
      <c r="D273" s="13" t="s">
        <v>1668</v>
      </c>
      <c r="E273" s="11">
        <v>14178</v>
      </c>
      <c r="F273" s="21" t="s">
        <v>4315</v>
      </c>
      <c r="G273" s="11" t="s">
        <v>4314</v>
      </c>
      <c r="H273" s="11" t="s">
        <v>2783</v>
      </c>
      <c r="I273" s="12" t="s">
        <v>4314</v>
      </c>
      <c r="J273" s="11" t="s">
        <v>2800</v>
      </c>
      <c r="K273" s="10"/>
      <c r="L273" s="10"/>
    </row>
    <row r="274" spans="1:12" x14ac:dyDescent="0.25">
      <c r="A274" s="21" t="s">
        <v>2485</v>
      </c>
      <c r="B274" s="12" t="s">
        <v>2486</v>
      </c>
      <c r="C274" s="11" t="s">
        <v>2805</v>
      </c>
      <c r="D274" s="13" t="s">
        <v>781</v>
      </c>
      <c r="E274" s="11">
        <v>2836</v>
      </c>
      <c r="F274" s="21" t="s">
        <v>782</v>
      </c>
      <c r="G274" s="11" t="s">
        <v>2486</v>
      </c>
      <c r="H274" s="11" t="s">
        <v>2783</v>
      </c>
      <c r="I274" s="12" t="s">
        <v>2486</v>
      </c>
      <c r="J274" s="11" t="s">
        <v>2805</v>
      </c>
      <c r="K274" s="10"/>
      <c r="L274" s="10"/>
    </row>
    <row r="275" spans="1:12" x14ac:dyDescent="0.25">
      <c r="A275" s="21" t="s">
        <v>1447</v>
      </c>
      <c r="B275" s="12" t="s">
        <v>1448</v>
      </c>
      <c r="C275" s="11" t="s">
        <v>2805</v>
      </c>
      <c r="D275" s="13" t="s">
        <v>1449</v>
      </c>
      <c r="E275" s="11">
        <v>2009</v>
      </c>
      <c r="F275" s="21" t="s">
        <v>1450</v>
      </c>
      <c r="G275" s="11" t="s">
        <v>1448</v>
      </c>
      <c r="H275" s="11" t="s">
        <v>2783</v>
      </c>
      <c r="I275" s="12" t="s">
        <v>1448</v>
      </c>
      <c r="J275" s="11" t="s">
        <v>2805</v>
      </c>
      <c r="K275" s="10"/>
      <c r="L275" s="10"/>
    </row>
    <row r="276" spans="1:12" x14ac:dyDescent="0.25">
      <c r="A276" s="21" t="s">
        <v>783</v>
      </c>
      <c r="B276" s="12" t="s">
        <v>784</v>
      </c>
      <c r="C276" s="11" t="s">
        <v>2805</v>
      </c>
      <c r="D276" s="13" t="s">
        <v>785</v>
      </c>
      <c r="E276" s="11">
        <v>416</v>
      </c>
      <c r="F276" s="21" t="s">
        <v>786</v>
      </c>
      <c r="G276" s="11" t="s">
        <v>784</v>
      </c>
      <c r="H276" s="11" t="s">
        <v>2783</v>
      </c>
      <c r="I276" s="12" t="s">
        <v>784</v>
      </c>
      <c r="J276" s="11" t="s">
        <v>2805</v>
      </c>
      <c r="K276" s="10"/>
      <c r="L276" s="10"/>
    </row>
    <row r="277" spans="1:12" x14ac:dyDescent="0.25">
      <c r="A277" s="21" t="s">
        <v>994</v>
      </c>
      <c r="B277" s="12" t="s">
        <v>995</v>
      </c>
      <c r="C277" s="11" t="s">
        <v>2805</v>
      </c>
      <c r="D277" s="13" t="s">
        <v>1668</v>
      </c>
      <c r="E277" s="11">
        <v>156</v>
      </c>
      <c r="F277" s="21" t="s">
        <v>996</v>
      </c>
      <c r="G277" s="11" t="s">
        <v>995</v>
      </c>
      <c r="H277" s="11" t="s">
        <v>2783</v>
      </c>
      <c r="I277" s="12" t="s">
        <v>995</v>
      </c>
      <c r="J277" s="11" t="s">
        <v>2805</v>
      </c>
      <c r="K277" s="10"/>
      <c r="L277" s="10"/>
    </row>
    <row r="278" spans="1:12" x14ac:dyDescent="0.25">
      <c r="A278" s="21" t="s">
        <v>2285</v>
      </c>
      <c r="B278" s="12" t="s">
        <v>2286</v>
      </c>
      <c r="C278" s="11" t="s">
        <v>2800</v>
      </c>
      <c r="D278" s="13" t="s">
        <v>2262</v>
      </c>
      <c r="E278" s="11">
        <v>6133</v>
      </c>
      <c r="F278" s="21" t="s">
        <v>2287</v>
      </c>
      <c r="G278" s="11" t="s">
        <v>2286</v>
      </c>
      <c r="H278" s="11" t="s">
        <v>2783</v>
      </c>
      <c r="I278" s="12" t="s">
        <v>2286</v>
      </c>
      <c r="J278" s="11" t="s">
        <v>2800</v>
      </c>
      <c r="K278" s="10"/>
      <c r="L278" s="10"/>
    </row>
    <row r="279" spans="1:12" x14ac:dyDescent="0.25">
      <c r="A279" s="21" t="s">
        <v>333</v>
      </c>
      <c r="B279" s="12" t="s">
        <v>334</v>
      </c>
      <c r="C279" s="11" t="s">
        <v>2805</v>
      </c>
      <c r="D279" s="13" t="s">
        <v>2674</v>
      </c>
      <c r="E279" s="11">
        <v>115</v>
      </c>
      <c r="F279" s="21" t="s">
        <v>335</v>
      </c>
      <c r="G279" s="11" t="s">
        <v>334</v>
      </c>
      <c r="H279" s="11" t="s">
        <v>2783</v>
      </c>
      <c r="I279" s="12" t="s">
        <v>334</v>
      </c>
      <c r="J279" s="11" t="s">
        <v>2805</v>
      </c>
      <c r="K279" s="10"/>
      <c r="L279" s="10"/>
    </row>
    <row r="280" spans="1:12" x14ac:dyDescent="0.25">
      <c r="A280" s="21" t="s">
        <v>2340</v>
      </c>
      <c r="B280" s="12" t="s">
        <v>2279</v>
      </c>
      <c r="C280" s="11" t="s">
        <v>2805</v>
      </c>
      <c r="D280" s="13" t="s">
        <v>2226</v>
      </c>
      <c r="E280" s="11">
        <v>310</v>
      </c>
      <c r="F280" s="21" t="s">
        <v>2341</v>
      </c>
      <c r="G280" s="11" t="s">
        <v>2279</v>
      </c>
      <c r="H280" s="11" t="s">
        <v>2783</v>
      </c>
      <c r="I280" s="12" t="s">
        <v>2279</v>
      </c>
      <c r="J280" s="11" t="s">
        <v>2805</v>
      </c>
      <c r="K280" s="10"/>
      <c r="L280" s="10"/>
    </row>
    <row r="281" spans="1:12" x14ac:dyDescent="0.25">
      <c r="A281" s="21" t="s">
        <v>997</v>
      </c>
      <c r="B281" s="12" t="s">
        <v>998</v>
      </c>
      <c r="C281" s="11" t="s">
        <v>2805</v>
      </c>
      <c r="D281" s="13" t="s">
        <v>999</v>
      </c>
      <c r="E281" s="11">
        <v>1340</v>
      </c>
      <c r="F281" s="21" t="s">
        <v>1000</v>
      </c>
      <c r="G281" s="11" t="s">
        <v>998</v>
      </c>
      <c r="H281" s="11" t="s">
        <v>2783</v>
      </c>
      <c r="I281" s="12" t="s">
        <v>998</v>
      </c>
      <c r="J281" s="11" t="s">
        <v>2805</v>
      </c>
      <c r="K281" s="10"/>
      <c r="L281" s="10"/>
    </row>
    <row r="282" spans="1:12" x14ac:dyDescent="0.25">
      <c r="A282" s="21" t="s">
        <v>1001</v>
      </c>
      <c r="B282" s="12" t="s">
        <v>1002</v>
      </c>
      <c r="C282" s="11" t="s">
        <v>2805</v>
      </c>
      <c r="D282" s="13" t="s">
        <v>2226</v>
      </c>
      <c r="E282" s="11">
        <v>597</v>
      </c>
      <c r="F282" s="21" t="s">
        <v>1003</v>
      </c>
      <c r="G282" s="11" t="s">
        <v>1002</v>
      </c>
      <c r="H282" s="11" t="s">
        <v>2783</v>
      </c>
      <c r="I282" s="12" t="s">
        <v>1002</v>
      </c>
      <c r="J282" s="11" t="s">
        <v>2805</v>
      </c>
      <c r="K282" s="10"/>
      <c r="L282" s="10"/>
    </row>
    <row r="283" spans="1:12" x14ac:dyDescent="0.25">
      <c r="A283" s="21" t="s">
        <v>787</v>
      </c>
      <c r="B283" s="12" t="s">
        <v>788</v>
      </c>
      <c r="C283" s="11" t="s">
        <v>2805</v>
      </c>
      <c r="D283" s="13" t="s">
        <v>2186</v>
      </c>
      <c r="E283" s="11">
        <v>1144</v>
      </c>
      <c r="F283" s="21" t="s">
        <v>789</v>
      </c>
      <c r="G283" s="11" t="s">
        <v>788</v>
      </c>
      <c r="H283" s="11" t="s">
        <v>2783</v>
      </c>
      <c r="I283" s="12" t="s">
        <v>788</v>
      </c>
      <c r="J283" s="11" t="s">
        <v>2805</v>
      </c>
      <c r="K283" s="10"/>
      <c r="L283" s="10"/>
    </row>
    <row r="284" spans="1:12" x14ac:dyDescent="0.25">
      <c r="A284" s="21" t="s">
        <v>2342</v>
      </c>
      <c r="B284" s="12" t="s">
        <v>2343</v>
      </c>
      <c r="C284" s="11" t="s">
        <v>2805</v>
      </c>
      <c r="D284" s="13" t="s">
        <v>2344</v>
      </c>
      <c r="E284" s="11">
        <v>300</v>
      </c>
      <c r="F284" s="21" t="s">
        <v>2345</v>
      </c>
      <c r="G284" s="11" t="s">
        <v>2343</v>
      </c>
      <c r="H284" s="11" t="s">
        <v>2783</v>
      </c>
      <c r="I284" s="12" t="s">
        <v>2343</v>
      </c>
      <c r="J284" s="11" t="s">
        <v>2805</v>
      </c>
      <c r="K284" s="10"/>
      <c r="L284" s="10"/>
    </row>
    <row r="285" spans="1:12" x14ac:dyDescent="0.25">
      <c r="A285" s="21" t="s">
        <v>790</v>
      </c>
      <c r="B285" s="12" t="s">
        <v>791</v>
      </c>
      <c r="C285" s="11" t="s">
        <v>2805</v>
      </c>
      <c r="D285" s="13" t="s">
        <v>2674</v>
      </c>
      <c r="E285" s="11">
        <v>3001</v>
      </c>
      <c r="F285" s="21" t="s">
        <v>792</v>
      </c>
      <c r="G285" s="11" t="s">
        <v>791</v>
      </c>
      <c r="H285" s="11" t="s">
        <v>2783</v>
      </c>
      <c r="I285" s="12" t="s">
        <v>791</v>
      </c>
      <c r="J285" s="11" t="s">
        <v>2805</v>
      </c>
      <c r="K285" s="10"/>
      <c r="L285" s="10"/>
    </row>
    <row r="286" spans="1:12" x14ac:dyDescent="0.25">
      <c r="A286" s="21" t="s">
        <v>2346</v>
      </c>
      <c r="B286" s="12" t="s">
        <v>2347</v>
      </c>
      <c r="C286" s="11" t="s">
        <v>2805</v>
      </c>
      <c r="D286" s="13" t="s">
        <v>2348</v>
      </c>
      <c r="E286" s="11">
        <v>453</v>
      </c>
      <c r="F286" s="21" t="s">
        <v>2349</v>
      </c>
      <c r="G286" s="11" t="s">
        <v>2347</v>
      </c>
      <c r="H286" s="11" t="s">
        <v>2783</v>
      </c>
      <c r="I286" s="12" t="s">
        <v>2347</v>
      </c>
      <c r="J286" s="11" t="s">
        <v>2805</v>
      </c>
      <c r="K286" s="10"/>
      <c r="L286" s="10"/>
    </row>
    <row r="287" spans="1:12" x14ac:dyDescent="0.25">
      <c r="A287" s="21" t="s">
        <v>2350</v>
      </c>
      <c r="B287" s="12" t="s">
        <v>2351</v>
      </c>
      <c r="C287" s="11" t="s">
        <v>2805</v>
      </c>
      <c r="D287" s="13" t="s">
        <v>1750</v>
      </c>
      <c r="E287" s="11">
        <v>324</v>
      </c>
      <c r="F287" s="21" t="s">
        <v>2352</v>
      </c>
      <c r="G287" s="11" t="s">
        <v>2351</v>
      </c>
      <c r="H287" s="11" t="s">
        <v>2783</v>
      </c>
      <c r="I287" s="12" t="s">
        <v>2351</v>
      </c>
      <c r="J287" s="11" t="s">
        <v>2805</v>
      </c>
      <c r="K287" s="10"/>
      <c r="L287" s="10"/>
    </row>
    <row r="288" spans="1:12" x14ac:dyDescent="0.25">
      <c r="A288" s="21" t="s">
        <v>1080</v>
      </c>
      <c r="B288" s="12" t="s">
        <v>1081</v>
      </c>
      <c r="C288" s="11" t="s">
        <v>2805</v>
      </c>
      <c r="D288" s="13" t="s">
        <v>1082</v>
      </c>
      <c r="E288" s="11">
        <v>5</v>
      </c>
      <c r="F288" s="21" t="s">
        <v>1083</v>
      </c>
      <c r="G288" s="11" t="s">
        <v>1081</v>
      </c>
      <c r="H288" s="11" t="s">
        <v>2783</v>
      </c>
      <c r="I288" s="12" t="s">
        <v>1081</v>
      </c>
      <c r="J288" s="11" t="s">
        <v>2805</v>
      </c>
      <c r="K288" s="10"/>
      <c r="L288" s="10"/>
    </row>
    <row r="289" spans="1:12" x14ac:dyDescent="0.25">
      <c r="A289" s="21" t="s">
        <v>1084</v>
      </c>
      <c r="B289" s="12" t="s">
        <v>1085</v>
      </c>
      <c r="C289" s="11" t="s">
        <v>2805</v>
      </c>
      <c r="D289" s="13" t="s">
        <v>4655</v>
      </c>
      <c r="E289" s="11">
        <v>86</v>
      </c>
      <c r="F289" s="21" t="s">
        <v>1086</v>
      </c>
      <c r="G289" s="11" t="s">
        <v>1085</v>
      </c>
      <c r="H289" s="11" t="s">
        <v>2783</v>
      </c>
      <c r="I289" s="12" t="s">
        <v>1085</v>
      </c>
      <c r="J289" s="11" t="s">
        <v>2805</v>
      </c>
      <c r="K289" s="10"/>
      <c r="L289" s="10"/>
    </row>
    <row r="290" spans="1:12" x14ac:dyDescent="0.25">
      <c r="A290" s="21" t="s">
        <v>2303</v>
      </c>
      <c r="B290" s="12" t="s">
        <v>2304</v>
      </c>
      <c r="C290" s="11" t="s">
        <v>2805</v>
      </c>
      <c r="D290" s="13" t="s">
        <v>2305</v>
      </c>
      <c r="E290" s="11">
        <v>3063</v>
      </c>
      <c r="F290" s="21" t="s">
        <v>2306</v>
      </c>
      <c r="G290" s="11" t="s">
        <v>2304</v>
      </c>
      <c r="H290" s="11" t="s">
        <v>2783</v>
      </c>
      <c r="I290" s="12" t="s">
        <v>2304</v>
      </c>
      <c r="J290" s="11" t="s">
        <v>2805</v>
      </c>
      <c r="K290" s="10"/>
      <c r="L290" s="10"/>
    </row>
    <row r="291" spans="1:12" x14ac:dyDescent="0.25">
      <c r="A291" s="21" t="s">
        <v>1087</v>
      </c>
      <c r="B291" s="12" t="s">
        <v>1088</v>
      </c>
      <c r="C291" s="11" t="s">
        <v>2805</v>
      </c>
      <c r="D291" s="13" t="s">
        <v>1089</v>
      </c>
      <c r="E291" s="11">
        <v>501</v>
      </c>
      <c r="F291" s="21" t="s">
        <v>1090</v>
      </c>
      <c r="G291" s="11" t="s">
        <v>1088</v>
      </c>
      <c r="H291" s="11" t="s">
        <v>2783</v>
      </c>
      <c r="I291" s="12" t="s">
        <v>1088</v>
      </c>
      <c r="J291" s="11" t="s">
        <v>2805</v>
      </c>
      <c r="K291" s="10"/>
      <c r="L291" s="10"/>
    </row>
    <row r="292" spans="1:12" x14ac:dyDescent="0.25">
      <c r="A292" s="21" t="s">
        <v>336</v>
      </c>
      <c r="B292" s="12" t="s">
        <v>337</v>
      </c>
      <c r="C292" s="11" t="s">
        <v>2805</v>
      </c>
      <c r="D292" s="13" t="s">
        <v>1102</v>
      </c>
      <c r="E292" s="11">
        <v>355</v>
      </c>
      <c r="F292" s="21" t="s">
        <v>338</v>
      </c>
      <c r="G292" s="11" t="s">
        <v>339</v>
      </c>
      <c r="H292" s="11" t="s">
        <v>2783</v>
      </c>
      <c r="I292" s="12" t="s">
        <v>337</v>
      </c>
      <c r="J292" s="11" t="s">
        <v>2805</v>
      </c>
      <c r="K292" s="10"/>
      <c r="L292" s="10"/>
    </row>
    <row r="293" spans="1:12" x14ac:dyDescent="0.25">
      <c r="A293" s="21" t="s">
        <v>4320</v>
      </c>
      <c r="B293" s="12" t="s">
        <v>4321</v>
      </c>
      <c r="C293" s="11" t="s">
        <v>2805</v>
      </c>
      <c r="D293" s="13" t="s">
        <v>2230</v>
      </c>
      <c r="E293" s="11">
        <v>202</v>
      </c>
      <c r="F293" s="21" t="s">
        <v>4322</v>
      </c>
      <c r="G293" s="11" t="s">
        <v>4321</v>
      </c>
      <c r="H293" s="11" t="s">
        <v>2783</v>
      </c>
      <c r="I293" s="12" t="s">
        <v>4321</v>
      </c>
      <c r="J293" s="11" t="s">
        <v>2805</v>
      </c>
      <c r="K293" s="10"/>
      <c r="L293" s="10"/>
    </row>
    <row r="294" spans="1:12" x14ac:dyDescent="0.25">
      <c r="A294" s="21" t="s">
        <v>4276</v>
      </c>
      <c r="B294" s="12" t="s">
        <v>4277</v>
      </c>
      <c r="C294" s="11" t="s">
        <v>2800</v>
      </c>
      <c r="D294" s="13" t="s">
        <v>4278</v>
      </c>
      <c r="E294" s="11">
        <v>1660</v>
      </c>
      <c r="F294" s="21" t="s">
        <v>4279</v>
      </c>
      <c r="G294" s="11" t="s">
        <v>4277</v>
      </c>
      <c r="H294" s="11" t="s">
        <v>2783</v>
      </c>
      <c r="I294" s="12" t="s">
        <v>4277</v>
      </c>
      <c r="J294" s="11" t="s">
        <v>2800</v>
      </c>
      <c r="K294" s="10"/>
      <c r="L294" s="10"/>
    </row>
    <row r="295" spans="1:12" x14ac:dyDescent="0.25">
      <c r="A295" s="21" t="s">
        <v>2463</v>
      </c>
      <c r="B295" s="12" t="s">
        <v>2464</v>
      </c>
      <c r="C295" s="11" t="s">
        <v>2805</v>
      </c>
      <c r="D295" s="13" t="s">
        <v>4311</v>
      </c>
      <c r="E295" s="11">
        <v>325</v>
      </c>
      <c r="F295" s="21" t="s">
        <v>2465</v>
      </c>
      <c r="G295" s="11" t="s">
        <v>2464</v>
      </c>
      <c r="H295" s="11" t="s">
        <v>2783</v>
      </c>
      <c r="I295" s="12" t="s">
        <v>2464</v>
      </c>
      <c r="J295" s="11" t="s">
        <v>2805</v>
      </c>
      <c r="K295" s="10"/>
      <c r="L295" s="10"/>
    </row>
    <row r="296" spans="1:12" x14ac:dyDescent="0.25">
      <c r="A296" s="21" t="s">
        <v>2466</v>
      </c>
      <c r="B296" s="12" t="s">
        <v>2467</v>
      </c>
      <c r="C296" s="11" t="s">
        <v>2800</v>
      </c>
      <c r="D296" s="13">
        <v>4</v>
      </c>
      <c r="E296" s="11">
        <v>2037</v>
      </c>
      <c r="F296" s="21" t="s">
        <v>2468</v>
      </c>
      <c r="G296" s="11" t="s">
        <v>2467</v>
      </c>
      <c r="H296" s="11" t="s">
        <v>2783</v>
      </c>
      <c r="I296" s="12" t="s">
        <v>2467</v>
      </c>
      <c r="J296" s="11" t="s">
        <v>2800</v>
      </c>
      <c r="K296" s="10"/>
      <c r="L296" s="10"/>
    </row>
    <row r="297" spans="1:12" x14ac:dyDescent="0.25">
      <c r="A297" s="21" t="s">
        <v>4059</v>
      </c>
      <c r="B297" s="12" t="s">
        <v>4060</v>
      </c>
      <c r="C297" s="11" t="s">
        <v>2800</v>
      </c>
      <c r="D297" s="13" t="s">
        <v>2182</v>
      </c>
      <c r="E297" s="11">
        <v>555</v>
      </c>
      <c r="F297" s="21" t="s">
        <v>2183</v>
      </c>
      <c r="G297" s="11" t="s">
        <v>4060</v>
      </c>
      <c r="H297" s="11" t="s">
        <v>2783</v>
      </c>
      <c r="I297" s="12" t="s">
        <v>4060</v>
      </c>
      <c r="J297" s="11" t="s">
        <v>2800</v>
      </c>
      <c r="K297" s="10"/>
      <c r="L297" s="10"/>
    </row>
    <row r="298" spans="1:12" x14ac:dyDescent="0.25">
      <c r="A298" s="21" t="s">
        <v>2353</v>
      </c>
      <c r="B298" s="12" t="s">
        <v>2354</v>
      </c>
      <c r="C298" s="11" t="s">
        <v>2805</v>
      </c>
      <c r="D298" s="13" t="s">
        <v>2355</v>
      </c>
      <c r="E298" s="11">
        <v>567</v>
      </c>
      <c r="F298" s="21" t="s">
        <v>2356</v>
      </c>
      <c r="G298" s="11" t="s">
        <v>2357</v>
      </c>
      <c r="H298" s="11" t="s">
        <v>2783</v>
      </c>
      <c r="I298" s="12" t="s">
        <v>2354</v>
      </c>
      <c r="J298" s="11" t="s">
        <v>2805</v>
      </c>
      <c r="K298" s="10"/>
      <c r="L298" s="10"/>
    </row>
    <row r="299" spans="1:12" x14ac:dyDescent="0.25">
      <c r="A299" s="21" t="s">
        <v>1439</v>
      </c>
      <c r="B299" s="12" t="s">
        <v>1440</v>
      </c>
      <c r="C299" s="11" t="s">
        <v>2800</v>
      </c>
      <c r="D299" s="13">
        <v>897</v>
      </c>
      <c r="E299" s="11">
        <v>4115</v>
      </c>
      <c r="F299" s="21" t="s">
        <v>1441</v>
      </c>
      <c r="G299" s="11" t="s">
        <v>1440</v>
      </c>
      <c r="H299" s="11" t="s">
        <v>2783</v>
      </c>
      <c r="I299" s="12" t="s">
        <v>1440</v>
      </c>
      <c r="J299" s="11" t="s">
        <v>2800</v>
      </c>
      <c r="K299" s="10"/>
      <c r="L299" s="10"/>
    </row>
    <row r="300" spans="1:12" x14ac:dyDescent="0.25">
      <c r="A300" s="21" t="s">
        <v>2184</v>
      </c>
      <c r="B300" s="12" t="s">
        <v>2185</v>
      </c>
      <c r="C300" s="11" t="s">
        <v>2800</v>
      </c>
      <c r="D300" s="13" t="s">
        <v>2186</v>
      </c>
      <c r="E300" s="11">
        <v>102</v>
      </c>
      <c r="F300" s="21" t="s">
        <v>2187</v>
      </c>
      <c r="G300" s="11" t="s">
        <v>2185</v>
      </c>
      <c r="H300" s="11" t="s">
        <v>2783</v>
      </c>
      <c r="I300" s="12" t="s">
        <v>2185</v>
      </c>
      <c r="J300" s="11" t="s">
        <v>2800</v>
      </c>
      <c r="K300" s="10"/>
      <c r="L300" s="10"/>
    </row>
    <row r="301" spans="1:12" x14ac:dyDescent="0.25">
      <c r="A301" s="21" t="s">
        <v>2288</v>
      </c>
      <c r="B301" s="12" t="s">
        <v>2289</v>
      </c>
      <c r="C301" s="11" t="s">
        <v>2800</v>
      </c>
      <c r="D301" s="13" t="s">
        <v>2290</v>
      </c>
      <c r="E301" s="11">
        <v>3171</v>
      </c>
      <c r="F301" s="21" t="s">
        <v>2291</v>
      </c>
      <c r="G301" s="11" t="s">
        <v>2289</v>
      </c>
      <c r="H301" s="11" t="s">
        <v>2783</v>
      </c>
      <c r="I301" s="12" t="s">
        <v>2289</v>
      </c>
      <c r="J301" s="11" t="s">
        <v>2800</v>
      </c>
      <c r="K301" s="10"/>
      <c r="L301" s="10"/>
    </row>
    <row r="302" spans="1:12" x14ac:dyDescent="0.25">
      <c r="A302" s="21" t="s">
        <v>2188</v>
      </c>
      <c r="B302" s="12" t="s">
        <v>2189</v>
      </c>
      <c r="C302" s="11" t="s">
        <v>2800</v>
      </c>
      <c r="D302" s="13" t="s">
        <v>2190</v>
      </c>
      <c r="E302" s="11">
        <v>1398</v>
      </c>
      <c r="F302" s="21" t="s">
        <v>2191</v>
      </c>
      <c r="G302" s="11" t="s">
        <v>2189</v>
      </c>
      <c r="H302" s="11" t="s">
        <v>2783</v>
      </c>
      <c r="I302" s="12" t="s">
        <v>2189</v>
      </c>
      <c r="J302" s="11" t="s">
        <v>2800</v>
      </c>
      <c r="K302" s="10"/>
      <c r="L302" s="10"/>
    </row>
    <row r="303" spans="1:12" x14ac:dyDescent="0.25">
      <c r="A303" s="21" t="s">
        <v>2358</v>
      </c>
      <c r="B303" s="12" t="s">
        <v>2359</v>
      </c>
      <c r="C303" s="11" t="s">
        <v>2805</v>
      </c>
      <c r="D303" s="13" t="s">
        <v>2360</v>
      </c>
      <c r="E303" s="11">
        <v>175</v>
      </c>
      <c r="F303" s="21" t="s">
        <v>2361</v>
      </c>
      <c r="G303" s="11" t="s">
        <v>2359</v>
      </c>
      <c r="H303" s="11" t="s">
        <v>2783</v>
      </c>
      <c r="I303" s="12" t="s">
        <v>2359</v>
      </c>
      <c r="J303" s="11" t="s">
        <v>2805</v>
      </c>
      <c r="K303" s="10"/>
      <c r="L303" s="10"/>
    </row>
    <row r="304" spans="1:12" x14ac:dyDescent="0.25">
      <c r="A304" s="21" t="s">
        <v>4476</v>
      </c>
      <c r="B304" s="12" t="s">
        <v>4477</v>
      </c>
      <c r="C304" s="11" t="s">
        <v>2805</v>
      </c>
      <c r="D304" s="13" t="s">
        <v>4478</v>
      </c>
      <c r="E304" s="11">
        <v>878</v>
      </c>
      <c r="F304" s="21" t="s">
        <v>4479</v>
      </c>
      <c r="G304" s="11" t="s">
        <v>4477</v>
      </c>
      <c r="H304" s="11" t="s">
        <v>2783</v>
      </c>
      <c r="I304" s="12" t="s">
        <v>4477</v>
      </c>
      <c r="J304" s="11" t="s">
        <v>2805</v>
      </c>
      <c r="K304" s="10"/>
      <c r="L304" s="10"/>
    </row>
    <row r="305" spans="1:29" x14ac:dyDescent="0.25">
      <c r="A305" s="21" t="s">
        <v>304</v>
      </c>
      <c r="B305" s="12" t="s">
        <v>305</v>
      </c>
      <c r="C305" s="11" t="s">
        <v>2805</v>
      </c>
      <c r="D305" s="13" t="s">
        <v>306</v>
      </c>
      <c r="E305" s="11">
        <v>335</v>
      </c>
      <c r="F305" s="21" t="s">
        <v>307</v>
      </c>
      <c r="G305" s="11" t="s">
        <v>308</v>
      </c>
      <c r="H305" s="11" t="s">
        <v>2783</v>
      </c>
      <c r="I305" s="12" t="s">
        <v>305</v>
      </c>
      <c r="J305" s="11" t="s">
        <v>2805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21" t="s">
        <v>344</v>
      </c>
      <c r="B306" s="12" t="s">
        <v>345</v>
      </c>
      <c r="C306" s="11" t="s">
        <v>2805</v>
      </c>
      <c r="D306" s="13" t="s">
        <v>346</v>
      </c>
      <c r="E306" s="11">
        <v>629</v>
      </c>
      <c r="F306" s="21" t="s">
        <v>347</v>
      </c>
      <c r="G306" s="11" t="s">
        <v>308</v>
      </c>
      <c r="H306" s="11" t="s">
        <v>2783</v>
      </c>
      <c r="I306" s="12" t="s">
        <v>345</v>
      </c>
      <c r="J306" s="11" t="s">
        <v>2805</v>
      </c>
      <c r="K306" s="10"/>
      <c r="L306" s="10"/>
    </row>
    <row r="307" spans="1:29" x14ac:dyDescent="0.25">
      <c r="A307" s="21" t="s">
        <v>340</v>
      </c>
      <c r="B307" s="12" t="s">
        <v>341</v>
      </c>
      <c r="C307" s="11" t="s">
        <v>2800</v>
      </c>
      <c r="D307" s="13" t="s">
        <v>342</v>
      </c>
      <c r="E307" s="11">
        <v>175</v>
      </c>
      <c r="F307" s="21" t="s">
        <v>343</v>
      </c>
      <c r="G307" s="11" t="s">
        <v>308</v>
      </c>
      <c r="H307" s="11" t="s">
        <v>2783</v>
      </c>
      <c r="I307" s="12" t="s">
        <v>341</v>
      </c>
      <c r="J307" s="11" t="s">
        <v>2800</v>
      </c>
      <c r="K307" s="10"/>
      <c r="L307" s="10"/>
    </row>
    <row r="308" spans="1:29" x14ac:dyDescent="0.25">
      <c r="A308" s="21" t="s">
        <v>348</v>
      </c>
      <c r="B308" s="12" t="s">
        <v>349</v>
      </c>
      <c r="C308" s="11" t="s">
        <v>2800</v>
      </c>
      <c r="D308" s="13" t="s">
        <v>350</v>
      </c>
      <c r="E308" s="11">
        <v>58</v>
      </c>
      <c r="F308" s="21" t="s">
        <v>351</v>
      </c>
      <c r="G308" s="11" t="s">
        <v>349</v>
      </c>
      <c r="H308" s="11" t="s">
        <v>2783</v>
      </c>
      <c r="I308" s="12" t="s">
        <v>349</v>
      </c>
      <c r="J308" s="11" t="s">
        <v>2800</v>
      </c>
      <c r="K308" s="10"/>
      <c r="L308" s="10"/>
    </row>
    <row r="309" spans="1:29" x14ac:dyDescent="0.25">
      <c r="A309" s="21" t="s">
        <v>793</v>
      </c>
      <c r="B309" s="12" t="s">
        <v>794</v>
      </c>
      <c r="C309" s="11" t="s">
        <v>2805</v>
      </c>
      <c r="D309" s="13" t="s">
        <v>234</v>
      </c>
      <c r="E309" s="11">
        <v>37</v>
      </c>
      <c r="F309" s="21" t="s">
        <v>2544</v>
      </c>
      <c r="G309" s="11" t="s">
        <v>794</v>
      </c>
      <c r="H309" s="11" t="s">
        <v>2783</v>
      </c>
      <c r="I309" s="12" t="s">
        <v>794</v>
      </c>
      <c r="J309" s="11" t="s">
        <v>2805</v>
      </c>
      <c r="K309" s="10"/>
      <c r="L309" s="10"/>
    </row>
    <row r="310" spans="1:29" x14ac:dyDescent="0.25">
      <c r="A310" s="21" t="s">
        <v>2472</v>
      </c>
      <c r="B310" s="12" t="s">
        <v>2473</v>
      </c>
      <c r="C310" s="11" t="s">
        <v>2805</v>
      </c>
      <c r="D310" s="13" t="s">
        <v>2474</v>
      </c>
      <c r="E310" s="11">
        <v>472</v>
      </c>
      <c r="F310" s="21" t="s">
        <v>2475</v>
      </c>
      <c r="G310" s="11" t="s">
        <v>2473</v>
      </c>
      <c r="H310" s="11" t="s">
        <v>2783</v>
      </c>
      <c r="I310" s="12" t="s">
        <v>2473</v>
      </c>
      <c r="J310" s="11" t="s">
        <v>2805</v>
      </c>
      <c r="K310" s="10"/>
      <c r="L310" s="10"/>
    </row>
    <row r="311" spans="1:29" x14ac:dyDescent="0.25">
      <c r="A311" s="21" t="s">
        <v>352</v>
      </c>
      <c r="B311" s="12" t="s">
        <v>353</v>
      </c>
      <c r="C311" s="11" t="s">
        <v>2805</v>
      </c>
      <c r="D311" s="13" t="s">
        <v>354</v>
      </c>
      <c r="E311" s="11">
        <v>498</v>
      </c>
      <c r="F311" s="21" t="s">
        <v>355</v>
      </c>
      <c r="G311" s="11" t="s">
        <v>353</v>
      </c>
      <c r="H311" s="11" t="s">
        <v>2783</v>
      </c>
      <c r="I311" s="12" t="s">
        <v>353</v>
      </c>
      <c r="J311" s="11" t="s">
        <v>2805</v>
      </c>
      <c r="K311" s="10"/>
      <c r="L311" s="10"/>
    </row>
    <row r="312" spans="1:29" x14ac:dyDescent="0.25">
      <c r="A312" s="21" t="s">
        <v>1091</v>
      </c>
      <c r="B312" s="12" t="s">
        <v>1092</v>
      </c>
      <c r="C312" s="11" t="s">
        <v>2805</v>
      </c>
      <c r="D312" s="13" t="s">
        <v>4300</v>
      </c>
      <c r="E312" s="11">
        <v>0</v>
      </c>
      <c r="F312" s="21" t="s">
        <v>1093</v>
      </c>
      <c r="G312" s="11" t="s">
        <v>1092</v>
      </c>
      <c r="H312" s="11" t="s">
        <v>2783</v>
      </c>
      <c r="I312" s="12" t="s">
        <v>1092</v>
      </c>
      <c r="J312" s="11" t="s">
        <v>2805</v>
      </c>
      <c r="K312" s="10"/>
      <c r="L312" s="10"/>
    </row>
    <row r="313" spans="1:29" x14ac:dyDescent="0.25">
      <c r="A313" s="21" t="s">
        <v>2469</v>
      </c>
      <c r="B313" s="12" t="s">
        <v>2470</v>
      </c>
      <c r="C313" s="11" t="s">
        <v>2800</v>
      </c>
      <c r="D313" s="13">
        <v>37</v>
      </c>
      <c r="E313" s="11">
        <v>226</v>
      </c>
      <c r="F313" s="21" t="s">
        <v>2471</v>
      </c>
      <c r="G313" s="11" t="s">
        <v>2470</v>
      </c>
      <c r="H313" s="11" t="s">
        <v>2783</v>
      </c>
      <c r="I313" s="12" t="s">
        <v>2470</v>
      </c>
      <c r="J313" s="11" t="s">
        <v>2800</v>
      </c>
      <c r="K313" s="10"/>
      <c r="L313" s="10"/>
    </row>
    <row r="314" spans="1:29" x14ac:dyDescent="0.25">
      <c r="A314" s="21" t="s">
        <v>4316</v>
      </c>
      <c r="B314" s="12" t="s">
        <v>4317</v>
      </c>
      <c r="C314" s="11" t="s">
        <v>2800</v>
      </c>
      <c r="D314" s="13" t="s">
        <v>4318</v>
      </c>
      <c r="E314" s="11">
        <v>1846</v>
      </c>
      <c r="F314" s="21" t="s">
        <v>4319</v>
      </c>
      <c r="G314" s="11" t="s">
        <v>4317</v>
      </c>
      <c r="H314" s="11" t="s">
        <v>2783</v>
      </c>
      <c r="I314" s="12" t="s">
        <v>4317</v>
      </c>
      <c r="J314" s="11" t="s">
        <v>2800</v>
      </c>
      <c r="K314" s="10"/>
      <c r="L314" s="10"/>
    </row>
    <row r="315" spans="1:29" x14ac:dyDescent="0.25">
      <c r="A315" s="21" t="s">
        <v>1485</v>
      </c>
      <c r="B315" s="12" t="s">
        <v>1486</v>
      </c>
      <c r="C315" s="11" t="s">
        <v>2800</v>
      </c>
      <c r="D315" s="13" t="s">
        <v>2238</v>
      </c>
      <c r="E315" s="11">
        <v>3317</v>
      </c>
      <c r="F315" s="21" t="s">
        <v>1487</v>
      </c>
      <c r="G315" s="11" t="s">
        <v>2237</v>
      </c>
      <c r="H315" s="11" t="s">
        <v>2783</v>
      </c>
      <c r="I315" s="12" t="s">
        <v>1486</v>
      </c>
      <c r="J315" s="11" t="s">
        <v>2800</v>
      </c>
      <c r="K315" s="10"/>
      <c r="L315" s="10"/>
    </row>
    <row r="316" spans="1:29" x14ac:dyDescent="0.25">
      <c r="A316" s="21" t="s">
        <v>2362</v>
      </c>
      <c r="B316" s="12" t="s">
        <v>2363</v>
      </c>
      <c r="C316" s="11" t="s">
        <v>2805</v>
      </c>
      <c r="D316" s="13" t="s">
        <v>1457</v>
      </c>
      <c r="E316" s="11">
        <v>195</v>
      </c>
      <c r="F316" s="21" t="s">
        <v>2364</v>
      </c>
      <c r="G316" s="11" t="s">
        <v>2363</v>
      </c>
      <c r="H316" s="11" t="s">
        <v>2783</v>
      </c>
      <c r="I316" s="12" t="s">
        <v>2363</v>
      </c>
      <c r="J316" s="11" t="s">
        <v>2805</v>
      </c>
      <c r="K316" s="10"/>
      <c r="L316" s="10"/>
    </row>
    <row r="317" spans="1:29" x14ac:dyDescent="0.25">
      <c r="A317" s="21" t="s">
        <v>2365</v>
      </c>
      <c r="B317" s="12" t="s">
        <v>2366</v>
      </c>
      <c r="C317" s="11" t="s">
        <v>2805</v>
      </c>
      <c r="D317" s="13" t="s">
        <v>2367</v>
      </c>
      <c r="E317" s="11">
        <v>2190</v>
      </c>
      <c r="F317" s="21" t="s">
        <v>2368</v>
      </c>
      <c r="G317" s="11" t="s">
        <v>2366</v>
      </c>
      <c r="H317" s="11" t="s">
        <v>2783</v>
      </c>
      <c r="I317" s="12" t="s">
        <v>2366</v>
      </c>
      <c r="J317" s="11" t="s">
        <v>2805</v>
      </c>
      <c r="K317" s="10"/>
      <c r="L317" s="10"/>
    </row>
    <row r="318" spans="1:29" x14ac:dyDescent="0.25">
      <c r="A318" s="21" t="s">
        <v>2952</v>
      </c>
      <c r="B318" s="12" t="s">
        <v>4818</v>
      </c>
      <c r="C318" s="11" t="s">
        <v>2805</v>
      </c>
      <c r="D318" s="13" t="s">
        <v>1082</v>
      </c>
      <c r="E318" s="11">
        <v>76</v>
      </c>
      <c r="F318" s="21" t="s">
        <v>4819</v>
      </c>
      <c r="G318" s="11" t="s">
        <v>4818</v>
      </c>
      <c r="H318" s="11" t="s">
        <v>2783</v>
      </c>
      <c r="I318" s="12" t="s">
        <v>4818</v>
      </c>
      <c r="J318" s="11" t="s">
        <v>2805</v>
      </c>
      <c r="K318" s="10"/>
      <c r="L318" s="10"/>
    </row>
    <row r="319" spans="1:29" x14ac:dyDescent="0.25">
      <c r="A319" s="21" t="s">
        <v>1094</v>
      </c>
      <c r="B319" s="12" t="s">
        <v>113</v>
      </c>
      <c r="C319" s="11" t="s">
        <v>2805</v>
      </c>
      <c r="D319" s="13" t="s">
        <v>247</v>
      </c>
      <c r="E319" s="11">
        <v>213</v>
      </c>
      <c r="F319" s="21" t="s">
        <v>1095</v>
      </c>
      <c r="G319" s="11" t="s">
        <v>113</v>
      </c>
      <c r="H319" s="11" t="s">
        <v>2783</v>
      </c>
      <c r="I319" s="12" t="s">
        <v>113</v>
      </c>
      <c r="J319" s="11" t="s">
        <v>2805</v>
      </c>
      <c r="K319" s="10"/>
      <c r="L319" s="10"/>
    </row>
    <row r="320" spans="1:29" x14ac:dyDescent="0.25">
      <c r="A320" s="21" t="s">
        <v>2545</v>
      </c>
      <c r="B320" s="12" t="s">
        <v>2546</v>
      </c>
      <c r="C320" s="11" t="s">
        <v>2800</v>
      </c>
      <c r="D320" s="13" t="s">
        <v>2547</v>
      </c>
      <c r="E320" s="11">
        <v>623</v>
      </c>
      <c r="F320" s="21" t="s">
        <v>2548</v>
      </c>
      <c r="G320" s="11" t="s">
        <v>2546</v>
      </c>
      <c r="H320" s="11" t="s">
        <v>2783</v>
      </c>
      <c r="I320" s="12" t="s">
        <v>2546</v>
      </c>
      <c r="J320" s="11" t="s">
        <v>2800</v>
      </c>
      <c r="K320" s="10"/>
      <c r="L320" s="10"/>
    </row>
    <row r="321" spans="1:12" x14ac:dyDescent="0.25">
      <c r="A321" s="21" t="s">
        <v>2549</v>
      </c>
      <c r="B321" s="12" t="s">
        <v>2550</v>
      </c>
      <c r="C321" s="11" t="s">
        <v>2805</v>
      </c>
      <c r="D321" s="13" t="s">
        <v>2226</v>
      </c>
      <c r="E321" s="11">
        <v>599</v>
      </c>
      <c r="F321" s="21" t="s">
        <v>2551</v>
      </c>
      <c r="G321" s="11" t="s">
        <v>2550</v>
      </c>
      <c r="H321" s="11" t="s">
        <v>2783</v>
      </c>
      <c r="I321" s="12" t="s">
        <v>2550</v>
      </c>
      <c r="J321" s="11" t="s">
        <v>2805</v>
      </c>
      <c r="K321" s="10"/>
      <c r="L321" s="10"/>
    </row>
    <row r="322" spans="1:12" x14ac:dyDescent="0.25">
      <c r="A322" s="21" t="s">
        <v>1653</v>
      </c>
      <c r="B322" s="12" t="s">
        <v>1654</v>
      </c>
      <c r="C322" s="11" t="s">
        <v>2805</v>
      </c>
      <c r="D322" s="13" t="s">
        <v>1655</v>
      </c>
      <c r="E322" s="11">
        <v>3156</v>
      </c>
      <c r="F322" s="21" t="s">
        <v>3398</v>
      </c>
      <c r="G322" s="11" t="s">
        <v>2301</v>
      </c>
      <c r="H322" s="11" t="s">
        <v>2783</v>
      </c>
      <c r="I322" s="12" t="s">
        <v>1654</v>
      </c>
      <c r="J322" s="11" t="s">
        <v>2805</v>
      </c>
      <c r="K322" s="10"/>
      <c r="L322" s="10"/>
    </row>
    <row r="323" spans="1:12" x14ac:dyDescent="0.25">
      <c r="A323" s="21" t="s">
        <v>2300</v>
      </c>
      <c r="B323" s="12" t="s">
        <v>2301</v>
      </c>
      <c r="C323" s="11" t="s">
        <v>2800</v>
      </c>
      <c r="D323" s="13" t="s">
        <v>1471</v>
      </c>
      <c r="E323" s="11">
        <v>3394</v>
      </c>
      <c r="F323" s="21" t="s">
        <v>1472</v>
      </c>
      <c r="G323" s="11" t="s">
        <v>2301</v>
      </c>
      <c r="H323" s="11" t="s">
        <v>2783</v>
      </c>
      <c r="I323" s="12" t="s">
        <v>2301</v>
      </c>
      <c r="J323" s="11" t="s">
        <v>2800</v>
      </c>
      <c r="K323" s="10"/>
      <c r="L323" s="10"/>
    </row>
    <row r="324" spans="1:12" x14ac:dyDescent="0.25">
      <c r="A324" s="21" t="s">
        <v>4770</v>
      </c>
      <c r="B324" s="12" t="s">
        <v>4771</v>
      </c>
      <c r="C324" s="11" t="s">
        <v>2800</v>
      </c>
      <c r="D324" s="13" t="s">
        <v>4772</v>
      </c>
      <c r="E324" s="11">
        <v>1140</v>
      </c>
      <c r="F324" s="21" t="s">
        <v>4773</v>
      </c>
      <c r="G324" s="11" t="s">
        <v>4771</v>
      </c>
      <c r="H324" s="11" t="s">
        <v>2783</v>
      </c>
      <c r="I324" s="12" t="s">
        <v>4771</v>
      </c>
      <c r="J324" s="11" t="s">
        <v>2800</v>
      </c>
      <c r="K324" s="10"/>
      <c r="L324" s="10"/>
    </row>
    <row r="325" spans="1:12" x14ac:dyDescent="0.25">
      <c r="A325" s="21" t="s">
        <v>4820</v>
      </c>
      <c r="B325" s="12" t="s">
        <v>4821</v>
      </c>
      <c r="C325" s="11" t="s">
        <v>2805</v>
      </c>
      <c r="D325" s="13" t="s">
        <v>415</v>
      </c>
      <c r="E325" s="11">
        <v>198</v>
      </c>
      <c r="F325" s="21" t="s">
        <v>416</v>
      </c>
      <c r="G325" s="11" t="s">
        <v>4821</v>
      </c>
      <c r="H325" s="11" t="s">
        <v>2783</v>
      </c>
      <c r="I325" s="12" t="s">
        <v>4821</v>
      </c>
      <c r="J325" s="11" t="s">
        <v>2805</v>
      </c>
      <c r="K325" s="10"/>
      <c r="L325" s="10"/>
    </row>
    <row r="326" spans="1:12" x14ac:dyDescent="0.25">
      <c r="A326" s="21" t="s">
        <v>1096</v>
      </c>
      <c r="B326" s="12" t="s">
        <v>1097</v>
      </c>
      <c r="C326" s="11" t="s">
        <v>2805</v>
      </c>
      <c r="D326" s="13" t="s">
        <v>1098</v>
      </c>
      <c r="E326" s="11">
        <v>757</v>
      </c>
      <c r="F326" s="21" t="s">
        <v>1099</v>
      </c>
      <c r="G326" s="11" t="s">
        <v>1097</v>
      </c>
      <c r="H326" s="11" t="s">
        <v>2783</v>
      </c>
      <c r="I326" s="12" t="s">
        <v>1097</v>
      </c>
      <c r="J326" s="11" t="s">
        <v>2805</v>
      </c>
      <c r="K326" s="10"/>
      <c r="L326" s="10"/>
    </row>
    <row r="327" spans="1:12" x14ac:dyDescent="0.25">
      <c r="A327" s="21" t="s">
        <v>2228</v>
      </c>
      <c r="B327" s="12" t="s">
        <v>2229</v>
      </c>
      <c r="C327" s="11" t="s">
        <v>2800</v>
      </c>
      <c r="D327" s="13" t="s">
        <v>2230</v>
      </c>
      <c r="E327" s="11">
        <v>371</v>
      </c>
      <c r="F327" s="21" t="s">
        <v>2231</v>
      </c>
      <c r="G327" s="11" t="s">
        <v>2229</v>
      </c>
      <c r="H327" s="11" t="s">
        <v>2783</v>
      </c>
      <c r="I327" s="12" t="s">
        <v>2229</v>
      </c>
      <c r="J327" s="11" t="s">
        <v>2800</v>
      </c>
      <c r="K327" s="10"/>
      <c r="L327" s="10"/>
    </row>
    <row r="328" spans="1:12" x14ac:dyDescent="0.25">
      <c r="A328" s="21" t="s">
        <v>1104</v>
      </c>
      <c r="B328" s="12" t="s">
        <v>1105</v>
      </c>
      <c r="C328" s="11" t="s">
        <v>2800</v>
      </c>
      <c r="D328" s="13" t="s">
        <v>1106</v>
      </c>
      <c r="E328" s="11">
        <v>542</v>
      </c>
      <c r="F328" s="21" t="s">
        <v>1107</v>
      </c>
      <c r="G328" s="11" t="s">
        <v>1105</v>
      </c>
      <c r="H328" s="11" t="s">
        <v>2783</v>
      </c>
      <c r="I328" s="12" t="s">
        <v>1105</v>
      </c>
      <c r="J328" s="11" t="s">
        <v>2800</v>
      </c>
      <c r="K328" s="10"/>
      <c r="L328" s="10"/>
    </row>
    <row r="329" spans="1:12" x14ac:dyDescent="0.25">
      <c r="A329" s="21" t="s">
        <v>1108</v>
      </c>
      <c r="B329" s="12" t="s">
        <v>1109</v>
      </c>
      <c r="C329" s="11" t="s">
        <v>2805</v>
      </c>
      <c r="D329" s="13" t="s">
        <v>2262</v>
      </c>
      <c r="E329" s="11">
        <v>455</v>
      </c>
      <c r="F329" s="21" t="s">
        <v>1110</v>
      </c>
      <c r="G329" s="11" t="s">
        <v>1109</v>
      </c>
      <c r="H329" s="11" t="s">
        <v>2783</v>
      </c>
      <c r="I329" s="12" t="s">
        <v>1109</v>
      </c>
      <c r="J329" s="11" t="s">
        <v>2805</v>
      </c>
      <c r="K329" s="10"/>
      <c r="L329" s="10"/>
    </row>
    <row r="330" spans="1:12" x14ac:dyDescent="0.25">
      <c r="A330" s="21" t="s">
        <v>417</v>
      </c>
      <c r="B330" s="12" t="s">
        <v>418</v>
      </c>
      <c r="C330" s="11" t="s">
        <v>2800</v>
      </c>
      <c r="D330" s="13" t="s">
        <v>4310</v>
      </c>
      <c r="E330" s="11">
        <v>218</v>
      </c>
      <c r="F330" s="21" t="s">
        <v>419</v>
      </c>
      <c r="G330" s="11" t="s">
        <v>418</v>
      </c>
      <c r="H330" s="11" t="s">
        <v>2783</v>
      </c>
      <c r="I330" s="12" t="s">
        <v>418</v>
      </c>
      <c r="J330" s="11" t="s">
        <v>2800</v>
      </c>
      <c r="K330" s="10"/>
      <c r="L330" s="10"/>
    </row>
    <row r="331" spans="1:12" x14ac:dyDescent="0.25">
      <c r="A331" s="21" t="s">
        <v>1111</v>
      </c>
      <c r="B331" s="12" t="s">
        <v>1112</v>
      </c>
      <c r="C331" s="11" t="s">
        <v>2805</v>
      </c>
      <c r="D331" s="13" t="s">
        <v>234</v>
      </c>
      <c r="E331" s="11">
        <v>649</v>
      </c>
      <c r="F331" s="21" t="s">
        <v>1113</v>
      </c>
      <c r="G331" s="11" t="s">
        <v>1112</v>
      </c>
      <c r="H331" s="11" t="s">
        <v>2783</v>
      </c>
      <c r="I331" s="12" t="s">
        <v>1112</v>
      </c>
      <c r="J331" s="11" t="s">
        <v>2805</v>
      </c>
      <c r="K331" s="10"/>
      <c r="L331" s="10"/>
    </row>
    <row r="332" spans="1:12" x14ac:dyDescent="0.25">
      <c r="A332" s="21" t="s">
        <v>3414</v>
      </c>
      <c r="B332" s="12" t="s">
        <v>3415</v>
      </c>
      <c r="C332" s="11" t="s">
        <v>2805</v>
      </c>
      <c r="D332" s="13" t="s">
        <v>2248</v>
      </c>
      <c r="E332" s="11">
        <v>90</v>
      </c>
      <c r="F332" s="21" t="s">
        <v>3416</v>
      </c>
      <c r="G332" s="11" t="s">
        <v>3415</v>
      </c>
      <c r="H332" s="11" t="s">
        <v>2783</v>
      </c>
      <c r="I332" s="12" t="s">
        <v>3415</v>
      </c>
      <c r="J332" s="11" t="s">
        <v>2805</v>
      </c>
      <c r="K332" s="10"/>
      <c r="L332" s="10"/>
    </row>
    <row r="333" spans="1:12" x14ac:dyDescent="0.25">
      <c r="A333" s="21" t="s">
        <v>4057</v>
      </c>
      <c r="B333" s="12" t="s">
        <v>4058</v>
      </c>
      <c r="C333" s="11" t="s">
        <v>2805</v>
      </c>
      <c r="D333" s="13" t="s">
        <v>1437</v>
      </c>
      <c r="E333" s="11">
        <v>45</v>
      </c>
      <c r="F333" s="21" t="s">
        <v>1438</v>
      </c>
      <c r="G333" s="11" t="s">
        <v>4058</v>
      </c>
      <c r="H333" s="11" t="s">
        <v>2783</v>
      </c>
      <c r="I333" s="12" t="s">
        <v>4058</v>
      </c>
      <c r="J333" s="11" t="s">
        <v>2805</v>
      </c>
      <c r="K333" s="10"/>
      <c r="L333" s="10"/>
    </row>
    <row r="334" spans="1:12" x14ac:dyDescent="0.25">
      <c r="A334" s="21" t="s">
        <v>1114</v>
      </c>
      <c r="B334" s="12" t="s">
        <v>2817</v>
      </c>
      <c r="C334" s="11" t="s">
        <v>2805</v>
      </c>
      <c r="D334" s="13" t="s">
        <v>2674</v>
      </c>
      <c r="E334" s="11">
        <v>299</v>
      </c>
      <c r="F334" s="21" t="s">
        <v>2818</v>
      </c>
      <c r="G334" s="11" t="s">
        <v>2817</v>
      </c>
      <c r="H334" s="11" t="s">
        <v>2783</v>
      </c>
      <c r="I334" s="12" t="s">
        <v>2817</v>
      </c>
      <c r="J334" s="11" t="s">
        <v>2805</v>
      </c>
      <c r="K334" s="10"/>
      <c r="L334" s="10"/>
    </row>
    <row r="335" spans="1:12" x14ac:dyDescent="0.25">
      <c r="A335" s="21" t="s">
        <v>1473</v>
      </c>
      <c r="B335" s="12" t="s">
        <v>1474</v>
      </c>
      <c r="C335" s="11" t="s">
        <v>2800</v>
      </c>
      <c r="D335" s="13" t="s">
        <v>1475</v>
      </c>
      <c r="E335" s="11">
        <v>664</v>
      </c>
      <c r="F335" s="21" t="s">
        <v>1476</v>
      </c>
      <c r="G335" s="11" t="s">
        <v>1474</v>
      </c>
      <c r="H335" s="11" t="s">
        <v>2783</v>
      </c>
      <c r="I335" s="12" t="s">
        <v>1474</v>
      </c>
      <c r="J335" s="11" t="s">
        <v>2800</v>
      </c>
      <c r="K335" s="10"/>
      <c r="L335" s="10"/>
    </row>
    <row r="336" spans="1:12" x14ac:dyDescent="0.25">
      <c r="A336" s="21" t="s">
        <v>2819</v>
      </c>
      <c r="B336" s="12" t="s">
        <v>2820</v>
      </c>
      <c r="C336" s="11" t="s">
        <v>2805</v>
      </c>
      <c r="D336" s="13" t="s">
        <v>2821</v>
      </c>
      <c r="E336" s="11">
        <v>102</v>
      </c>
      <c r="F336" s="21" t="s">
        <v>2822</v>
      </c>
      <c r="G336" s="11" t="s">
        <v>2820</v>
      </c>
      <c r="H336" s="11" t="s">
        <v>2783</v>
      </c>
      <c r="I336" s="12" t="s">
        <v>2820</v>
      </c>
      <c r="J336" s="11" t="s">
        <v>2805</v>
      </c>
      <c r="K336" s="10"/>
      <c r="L336" s="10"/>
    </row>
    <row r="337" spans="1:12" x14ac:dyDescent="0.25">
      <c r="A337" s="21" t="s">
        <v>2552</v>
      </c>
      <c r="B337" s="12" t="s">
        <v>2553</v>
      </c>
      <c r="C337" s="11" t="s">
        <v>2805</v>
      </c>
      <c r="D337" s="13" t="s">
        <v>2546</v>
      </c>
      <c r="E337" s="11">
        <v>575</v>
      </c>
      <c r="F337" s="21" t="s">
        <v>2554</v>
      </c>
      <c r="G337" s="11" t="s">
        <v>2553</v>
      </c>
      <c r="H337" s="11" t="s">
        <v>2783</v>
      </c>
      <c r="I337" s="12" t="s">
        <v>2553</v>
      </c>
      <c r="J337" s="11" t="s">
        <v>2805</v>
      </c>
      <c r="K337" s="10"/>
      <c r="L337" s="10"/>
    </row>
    <row r="338" spans="1:12" x14ac:dyDescent="0.25">
      <c r="A338" s="21" t="s">
        <v>2555</v>
      </c>
      <c r="B338" s="12" t="s">
        <v>2556</v>
      </c>
      <c r="C338" s="11" t="s">
        <v>2805</v>
      </c>
      <c r="D338" s="13" t="s">
        <v>2557</v>
      </c>
      <c r="E338" s="11">
        <v>1597</v>
      </c>
      <c r="F338" s="21" t="s">
        <v>3391</v>
      </c>
      <c r="G338" s="11" t="s">
        <v>2556</v>
      </c>
      <c r="H338" s="11" t="s">
        <v>2783</v>
      </c>
      <c r="I338" s="12" t="s">
        <v>2556</v>
      </c>
      <c r="J338" s="11" t="s">
        <v>2805</v>
      </c>
      <c r="K338" s="10"/>
      <c r="L338" s="10"/>
    </row>
    <row r="339" spans="1:12" x14ac:dyDescent="0.25">
      <c r="A339" s="21" t="s">
        <v>4774</v>
      </c>
      <c r="B339" s="12" t="s">
        <v>4775</v>
      </c>
      <c r="C339" s="11" t="s">
        <v>2800</v>
      </c>
      <c r="D339" s="13" t="s">
        <v>4776</v>
      </c>
      <c r="E339" s="11">
        <v>1202</v>
      </c>
      <c r="F339" s="21" t="s">
        <v>4777</v>
      </c>
      <c r="G339" s="11" t="s">
        <v>4775</v>
      </c>
      <c r="H339" s="11" t="s">
        <v>2783</v>
      </c>
      <c r="I339" s="12" t="s">
        <v>4775</v>
      </c>
      <c r="J339" s="11" t="s">
        <v>2800</v>
      </c>
      <c r="K339" s="10"/>
      <c r="L339" s="10"/>
    </row>
    <row r="340" spans="1:12" x14ac:dyDescent="0.25">
      <c r="A340" s="21" t="s">
        <v>4716</v>
      </c>
      <c r="B340" s="12" t="s">
        <v>4717</v>
      </c>
      <c r="C340" s="11" t="s">
        <v>2800</v>
      </c>
      <c r="D340" s="13" t="s">
        <v>4718</v>
      </c>
      <c r="E340" s="11">
        <v>2579</v>
      </c>
      <c r="F340" s="21" t="s">
        <v>4719</v>
      </c>
      <c r="G340" s="11" t="s">
        <v>4717</v>
      </c>
      <c r="H340" s="11" t="s">
        <v>2783</v>
      </c>
      <c r="I340" s="12" t="s">
        <v>4717</v>
      </c>
      <c r="J340" s="11" t="s">
        <v>2800</v>
      </c>
      <c r="K340" s="10"/>
      <c r="L340" s="10"/>
    </row>
    <row r="341" spans="1:12" x14ac:dyDescent="0.25">
      <c r="A341" s="21" t="s">
        <v>4778</v>
      </c>
      <c r="B341" s="12" t="s">
        <v>4779</v>
      </c>
      <c r="C341" s="11" t="s">
        <v>2800</v>
      </c>
      <c r="D341" s="13" t="s">
        <v>4780</v>
      </c>
      <c r="E341" s="11">
        <v>6001</v>
      </c>
      <c r="F341" s="21" t="s">
        <v>4781</v>
      </c>
      <c r="G341" s="11" t="s">
        <v>4779</v>
      </c>
      <c r="H341" s="11" t="s">
        <v>2783</v>
      </c>
      <c r="I341" s="12" t="s">
        <v>4779</v>
      </c>
      <c r="J341" s="11" t="s">
        <v>2800</v>
      </c>
      <c r="K341" s="10"/>
      <c r="L341" s="10"/>
    </row>
    <row r="342" spans="1:12" x14ac:dyDescent="0.25">
      <c r="A342" s="21" t="s">
        <v>4782</v>
      </c>
      <c r="B342" s="12" t="s">
        <v>4783</v>
      </c>
      <c r="C342" s="11" t="s">
        <v>2800</v>
      </c>
      <c r="D342" s="13" t="s">
        <v>4784</v>
      </c>
      <c r="E342" s="11">
        <v>3044</v>
      </c>
      <c r="F342" s="21" t="s">
        <v>4785</v>
      </c>
      <c r="G342" s="11" t="s">
        <v>4783</v>
      </c>
      <c r="H342" s="11" t="s">
        <v>2783</v>
      </c>
      <c r="I342" s="12" t="s">
        <v>4783</v>
      </c>
      <c r="J342" s="11" t="s">
        <v>2800</v>
      </c>
      <c r="K342" s="10"/>
      <c r="L342" s="10"/>
    </row>
    <row r="343" spans="1:12" x14ac:dyDescent="0.25">
      <c r="A343" s="21" t="s">
        <v>4323</v>
      </c>
      <c r="B343" s="12" t="s">
        <v>4324</v>
      </c>
      <c r="C343" s="11" t="s">
        <v>2800</v>
      </c>
      <c r="D343" s="13" t="s">
        <v>4325</v>
      </c>
      <c r="E343" s="11">
        <v>6121</v>
      </c>
      <c r="F343" s="21" t="s">
        <v>4326</v>
      </c>
      <c r="G343" s="11" t="s">
        <v>4324</v>
      </c>
      <c r="H343" s="11" t="s">
        <v>2783</v>
      </c>
      <c r="I343" s="12" t="s">
        <v>4324</v>
      </c>
      <c r="J343" s="11" t="s">
        <v>2800</v>
      </c>
      <c r="K343" s="10"/>
      <c r="L343" s="10"/>
    </row>
    <row r="344" spans="1:12" x14ac:dyDescent="0.25">
      <c r="A344" s="21" t="s">
        <v>1777</v>
      </c>
      <c r="B344" s="12" t="s">
        <v>1778</v>
      </c>
      <c r="C344" s="11" t="s">
        <v>2805</v>
      </c>
      <c r="D344" s="13" t="s">
        <v>1779</v>
      </c>
      <c r="E344" s="11">
        <v>120</v>
      </c>
      <c r="F344" s="21" t="s">
        <v>1780</v>
      </c>
      <c r="G344" s="11" t="s">
        <v>1778</v>
      </c>
      <c r="H344" s="11" t="s">
        <v>2783</v>
      </c>
      <c r="I344" s="12" t="s">
        <v>1778</v>
      </c>
      <c r="J344" s="11" t="s">
        <v>2805</v>
      </c>
      <c r="K344" s="10"/>
      <c r="L344" s="10"/>
    </row>
    <row r="345" spans="1:12" x14ac:dyDescent="0.25">
      <c r="A345" s="21" t="s">
        <v>3390</v>
      </c>
      <c r="B345" s="12" t="s">
        <v>3405</v>
      </c>
      <c r="C345" s="11" t="s">
        <v>2805</v>
      </c>
      <c r="D345" s="13" t="s">
        <v>3406</v>
      </c>
      <c r="E345" s="11">
        <v>322</v>
      </c>
      <c r="F345" s="21" t="s">
        <v>3407</v>
      </c>
      <c r="G345" s="11" t="s">
        <v>3405</v>
      </c>
      <c r="H345" s="11" t="s">
        <v>2783</v>
      </c>
      <c r="I345" s="12" t="s">
        <v>3405</v>
      </c>
      <c r="J345" s="11" t="s">
        <v>2805</v>
      </c>
      <c r="K345" s="10"/>
      <c r="L345" s="10"/>
    </row>
    <row r="346" spans="1:12" x14ac:dyDescent="0.25">
      <c r="A346" s="21" t="s">
        <v>2376</v>
      </c>
      <c r="B346" s="12" t="s">
        <v>2377</v>
      </c>
      <c r="C346" s="11" t="s">
        <v>2805</v>
      </c>
      <c r="D346" s="13">
        <v>4</v>
      </c>
      <c r="E346" s="11">
        <v>4001</v>
      </c>
      <c r="F346" s="21" t="s">
        <v>2378</v>
      </c>
      <c r="G346" s="11" t="s">
        <v>2377</v>
      </c>
      <c r="H346" s="11" t="s">
        <v>2783</v>
      </c>
      <c r="I346" s="12" t="s">
        <v>2377</v>
      </c>
      <c r="J346" s="11" t="s">
        <v>2805</v>
      </c>
      <c r="K346" s="10"/>
      <c r="L346" s="10"/>
    </row>
    <row r="347" spans="1:12" x14ac:dyDescent="0.25">
      <c r="A347" s="21" t="s">
        <v>2476</v>
      </c>
      <c r="B347" s="12" t="s">
        <v>2377</v>
      </c>
      <c r="C347" s="11" t="s">
        <v>2800</v>
      </c>
      <c r="D347" s="13">
        <v>3</v>
      </c>
      <c r="E347" s="11">
        <v>806</v>
      </c>
      <c r="F347" s="21" t="s">
        <v>2477</v>
      </c>
      <c r="G347" s="11" t="s">
        <v>2377</v>
      </c>
      <c r="H347" s="11" t="s">
        <v>2783</v>
      </c>
      <c r="I347" s="12" t="s">
        <v>2377</v>
      </c>
      <c r="J347" s="11" t="s">
        <v>2800</v>
      </c>
      <c r="K347" s="10"/>
      <c r="L347" s="10"/>
    </row>
    <row r="348" spans="1:12" x14ac:dyDescent="0.25">
      <c r="A348" s="21" t="s">
        <v>420</v>
      </c>
      <c r="B348" s="12" t="s">
        <v>421</v>
      </c>
      <c r="C348" s="11" t="s">
        <v>2805</v>
      </c>
      <c r="D348" s="13" t="s">
        <v>422</v>
      </c>
      <c r="E348" s="11">
        <v>7</v>
      </c>
      <c r="F348" s="21" t="s">
        <v>423</v>
      </c>
      <c r="G348" s="11" t="s">
        <v>421</v>
      </c>
      <c r="H348" s="11" t="s">
        <v>2783</v>
      </c>
      <c r="I348" s="12" t="s">
        <v>421</v>
      </c>
      <c r="J348" s="11" t="s">
        <v>2805</v>
      </c>
      <c r="K348" s="10"/>
      <c r="L348" s="10"/>
    </row>
    <row r="349" spans="1:12" x14ac:dyDescent="0.25">
      <c r="A349" s="21" t="s">
        <v>4725</v>
      </c>
      <c r="B349" s="12" t="s">
        <v>4726</v>
      </c>
      <c r="C349" s="11" t="s">
        <v>2800</v>
      </c>
      <c r="D349" s="13" t="s">
        <v>4727</v>
      </c>
      <c r="E349" s="11">
        <v>4041</v>
      </c>
      <c r="F349" s="21" t="s">
        <v>4728</v>
      </c>
      <c r="G349" s="11" t="s">
        <v>4726</v>
      </c>
      <c r="H349" s="11" t="s">
        <v>2783</v>
      </c>
      <c r="I349" s="12" t="s">
        <v>4726</v>
      </c>
      <c r="J349" s="11" t="s">
        <v>2800</v>
      </c>
      <c r="K349" s="10"/>
      <c r="L349" s="10"/>
    </row>
    <row r="350" spans="1:12" x14ac:dyDescent="0.25">
      <c r="A350" s="21" t="s">
        <v>4786</v>
      </c>
      <c r="B350" s="12" t="s">
        <v>4787</v>
      </c>
      <c r="C350" s="11" t="s">
        <v>2800</v>
      </c>
      <c r="D350" s="13" t="s">
        <v>4788</v>
      </c>
      <c r="E350" s="11">
        <v>3586</v>
      </c>
      <c r="F350" s="21" t="s">
        <v>4789</v>
      </c>
      <c r="G350" s="11" t="s">
        <v>4787</v>
      </c>
      <c r="H350" s="11" t="s">
        <v>2783</v>
      </c>
      <c r="I350" s="12" t="s">
        <v>4787</v>
      </c>
      <c r="J350" s="11" t="s">
        <v>2800</v>
      </c>
      <c r="K350" s="10"/>
      <c r="L350" s="10"/>
    </row>
    <row r="351" spans="1:12" x14ac:dyDescent="0.25">
      <c r="A351" s="21" t="s">
        <v>3083</v>
      </c>
      <c r="B351" s="12" t="s">
        <v>3084</v>
      </c>
      <c r="C351" s="11" t="s">
        <v>2805</v>
      </c>
      <c r="D351" s="13" t="s">
        <v>2226</v>
      </c>
      <c r="E351" s="11">
        <v>265</v>
      </c>
      <c r="F351" s="21" t="s">
        <v>500</v>
      </c>
      <c r="G351" s="11" t="s">
        <v>501</v>
      </c>
      <c r="H351" s="11" t="s">
        <v>2783</v>
      </c>
      <c r="I351" s="12" t="s">
        <v>3084</v>
      </c>
      <c r="J351" s="11" t="s">
        <v>2805</v>
      </c>
      <c r="K351" s="10"/>
      <c r="L351" s="10"/>
    </row>
    <row r="352" spans="1:12" x14ac:dyDescent="0.25">
      <c r="A352" s="21" t="s">
        <v>2825</v>
      </c>
      <c r="B352" s="12" t="s">
        <v>2826</v>
      </c>
      <c r="C352" s="11" t="s">
        <v>2805</v>
      </c>
      <c r="D352" s="13" t="s">
        <v>2827</v>
      </c>
      <c r="E352" s="11">
        <v>396</v>
      </c>
      <c r="F352" s="21" t="s">
        <v>2828</v>
      </c>
      <c r="G352" s="11" t="s">
        <v>2826</v>
      </c>
      <c r="H352" s="11" t="s">
        <v>2783</v>
      </c>
      <c r="I352" s="12" t="s">
        <v>2826</v>
      </c>
      <c r="J352" s="11" t="s">
        <v>2805</v>
      </c>
      <c r="K352" s="10"/>
      <c r="L352" s="10"/>
    </row>
    <row r="353" spans="1:12" x14ac:dyDescent="0.25">
      <c r="A353" s="21" t="s">
        <v>356</v>
      </c>
      <c r="B353" s="12" t="s">
        <v>357</v>
      </c>
      <c r="C353" s="11" t="s">
        <v>2805</v>
      </c>
      <c r="D353" s="13" t="s">
        <v>1668</v>
      </c>
      <c r="E353" s="11">
        <v>711</v>
      </c>
      <c r="F353" s="21" t="s">
        <v>358</v>
      </c>
      <c r="G353" s="11" t="s">
        <v>359</v>
      </c>
      <c r="H353" s="11" t="s">
        <v>2783</v>
      </c>
      <c r="I353" s="12" t="s">
        <v>357</v>
      </c>
      <c r="J353" s="11" t="s">
        <v>2805</v>
      </c>
      <c r="K353" s="10"/>
      <c r="L353" s="10"/>
    </row>
    <row r="354" spans="1:12" x14ac:dyDescent="0.25">
      <c r="A354" s="21" t="s">
        <v>2209</v>
      </c>
      <c r="B354" s="12" t="s">
        <v>3963</v>
      </c>
      <c r="C354" s="11" t="s">
        <v>2805</v>
      </c>
      <c r="D354" s="13" t="s">
        <v>4791</v>
      </c>
      <c r="E354" s="11">
        <v>444</v>
      </c>
      <c r="F354" s="21" t="s">
        <v>2210</v>
      </c>
      <c r="G354" s="11" t="s">
        <v>2211</v>
      </c>
      <c r="H354" s="11" t="s">
        <v>2783</v>
      </c>
      <c r="I354" s="12" t="s">
        <v>3963</v>
      </c>
      <c r="J354" s="11" t="s">
        <v>2805</v>
      </c>
      <c r="K354" s="10"/>
      <c r="L354" s="10"/>
    </row>
    <row r="355" spans="1:12" x14ac:dyDescent="0.25">
      <c r="A355" s="21" t="s">
        <v>424</v>
      </c>
      <c r="B355" s="12" t="s">
        <v>425</v>
      </c>
      <c r="C355" s="11" t="s">
        <v>2805</v>
      </c>
      <c r="D355" s="13" t="s">
        <v>426</v>
      </c>
      <c r="E355" s="11">
        <v>170</v>
      </c>
      <c r="F355" s="21" t="s">
        <v>427</v>
      </c>
      <c r="G355" s="11" t="s">
        <v>425</v>
      </c>
      <c r="H355" s="11" t="s">
        <v>2783</v>
      </c>
      <c r="I355" s="12" t="s">
        <v>425</v>
      </c>
      <c r="J355" s="11" t="s">
        <v>2805</v>
      </c>
      <c r="K355" s="10"/>
      <c r="L355" s="10"/>
    </row>
    <row r="356" spans="1:12" x14ac:dyDescent="0.25">
      <c r="A356" s="21" t="s">
        <v>1502</v>
      </c>
      <c r="B356" s="12" t="s">
        <v>1503</v>
      </c>
      <c r="C356" s="11" t="s">
        <v>2800</v>
      </c>
      <c r="D356" s="13" t="s">
        <v>1504</v>
      </c>
      <c r="E356" s="11">
        <v>6185</v>
      </c>
      <c r="F356" s="21" t="s">
        <v>1505</v>
      </c>
      <c r="G356" s="11" t="s">
        <v>1503</v>
      </c>
      <c r="H356" s="11" t="s">
        <v>2783</v>
      </c>
      <c r="I356" s="12" t="s">
        <v>1503</v>
      </c>
      <c r="J356" s="11" t="s">
        <v>2800</v>
      </c>
      <c r="K356" s="10"/>
      <c r="L356" s="10"/>
    </row>
    <row r="357" spans="1:12" x14ac:dyDescent="0.25">
      <c r="A357" s="21" t="s">
        <v>3441</v>
      </c>
      <c r="B357" s="12" t="s">
        <v>3442</v>
      </c>
      <c r="C357" s="11" t="s">
        <v>2805</v>
      </c>
      <c r="D357" s="13" t="s">
        <v>3443</v>
      </c>
      <c r="E357" s="11">
        <v>1764</v>
      </c>
      <c r="F357" s="21" t="s">
        <v>3444</v>
      </c>
      <c r="G357" s="11" t="s">
        <v>3445</v>
      </c>
      <c r="H357" s="11" t="s">
        <v>2783</v>
      </c>
      <c r="I357" s="12" t="s">
        <v>3442</v>
      </c>
      <c r="J357" s="11" t="s">
        <v>2805</v>
      </c>
      <c r="K357" s="10"/>
      <c r="L357" s="10"/>
    </row>
    <row r="358" spans="1:12" x14ac:dyDescent="0.25">
      <c r="A358" s="21" t="s">
        <v>360</v>
      </c>
      <c r="B358" s="12" t="s">
        <v>361</v>
      </c>
      <c r="C358" s="11" t="s">
        <v>2800</v>
      </c>
      <c r="D358" s="13" t="s">
        <v>362</v>
      </c>
      <c r="E358" s="11">
        <v>35</v>
      </c>
      <c r="F358" s="21" t="s">
        <v>363</v>
      </c>
      <c r="G358" s="11" t="s">
        <v>361</v>
      </c>
      <c r="H358" s="11" t="s">
        <v>2783</v>
      </c>
      <c r="I358" s="12" t="s">
        <v>361</v>
      </c>
      <c r="J358" s="11" t="s">
        <v>2800</v>
      </c>
      <c r="K358" s="10"/>
      <c r="L358" s="10"/>
    </row>
    <row r="359" spans="1:12" x14ac:dyDescent="0.25">
      <c r="A359" s="21" t="s">
        <v>895</v>
      </c>
      <c r="B359" s="12" t="s">
        <v>896</v>
      </c>
      <c r="C359" s="11" t="s">
        <v>2800</v>
      </c>
      <c r="D359" s="13" t="s">
        <v>897</v>
      </c>
      <c r="E359" s="11">
        <v>3702</v>
      </c>
      <c r="F359" s="21" t="s">
        <v>898</v>
      </c>
      <c r="G359" s="11" t="s">
        <v>855</v>
      </c>
      <c r="H359" s="11" t="s">
        <v>2788</v>
      </c>
      <c r="I359" s="12" t="s">
        <v>896</v>
      </c>
      <c r="J359" s="11" t="s">
        <v>2800</v>
      </c>
      <c r="K359" s="10"/>
      <c r="L359" s="10"/>
    </row>
    <row r="360" spans="1:12" x14ac:dyDescent="0.25">
      <c r="A360" s="21" t="s">
        <v>866</v>
      </c>
      <c r="B360" s="12" t="s">
        <v>867</v>
      </c>
      <c r="C360" s="11" t="s">
        <v>2800</v>
      </c>
      <c r="D360" s="13" t="s">
        <v>868</v>
      </c>
      <c r="E360" s="11">
        <v>66</v>
      </c>
      <c r="F360" s="21" t="s">
        <v>869</v>
      </c>
      <c r="G360" s="11" t="s">
        <v>855</v>
      </c>
      <c r="H360" s="11" t="s">
        <v>2788</v>
      </c>
      <c r="I360" s="12" t="s">
        <v>867</v>
      </c>
      <c r="J360" s="11" t="s">
        <v>2800</v>
      </c>
      <c r="K360" s="10"/>
      <c r="L360" s="10"/>
    </row>
    <row r="361" spans="1:12" x14ac:dyDescent="0.25">
      <c r="A361" s="21" t="s">
        <v>856</v>
      </c>
      <c r="B361" s="12" t="s">
        <v>857</v>
      </c>
      <c r="C361" s="11" t="s">
        <v>2800</v>
      </c>
      <c r="D361" s="13" t="s">
        <v>858</v>
      </c>
      <c r="E361" s="11">
        <v>770</v>
      </c>
      <c r="F361" s="21" t="s">
        <v>859</v>
      </c>
      <c r="G361" s="11" t="s">
        <v>855</v>
      </c>
      <c r="H361" s="11" t="s">
        <v>2788</v>
      </c>
      <c r="I361" s="12" t="s">
        <v>857</v>
      </c>
      <c r="J361" s="11" t="s">
        <v>2800</v>
      </c>
      <c r="K361" s="10"/>
      <c r="L361" s="10"/>
    </row>
    <row r="362" spans="1:12" x14ac:dyDescent="0.25">
      <c r="A362" s="21" t="s">
        <v>3519</v>
      </c>
      <c r="B362" s="12" t="s">
        <v>3520</v>
      </c>
      <c r="C362" s="11" t="s">
        <v>2800</v>
      </c>
      <c r="D362" s="13" t="s">
        <v>3521</v>
      </c>
      <c r="E362" s="11">
        <v>1750</v>
      </c>
      <c r="F362" s="21" t="s">
        <v>3522</v>
      </c>
      <c r="G362" s="11" t="s">
        <v>855</v>
      </c>
      <c r="H362" s="11" t="s">
        <v>2788</v>
      </c>
      <c r="I362" s="12" t="s">
        <v>3520</v>
      </c>
      <c r="J362" s="11" t="s">
        <v>2800</v>
      </c>
      <c r="K362" s="10"/>
      <c r="L362" s="10"/>
    </row>
    <row r="363" spans="1:12" x14ac:dyDescent="0.25">
      <c r="A363" s="21" t="s">
        <v>891</v>
      </c>
      <c r="B363" s="12" t="s">
        <v>892</v>
      </c>
      <c r="C363" s="11" t="s">
        <v>2800</v>
      </c>
      <c r="D363" s="13" t="s">
        <v>893</v>
      </c>
      <c r="E363" s="11">
        <v>1352</v>
      </c>
      <c r="F363" s="21" t="s">
        <v>894</v>
      </c>
      <c r="G363" s="11" t="s">
        <v>855</v>
      </c>
      <c r="H363" s="11" t="s">
        <v>2788</v>
      </c>
      <c r="I363" s="12" t="s">
        <v>892</v>
      </c>
      <c r="J363" s="11" t="s">
        <v>2800</v>
      </c>
      <c r="K363" s="10"/>
      <c r="L363" s="10"/>
    </row>
    <row r="364" spans="1:12" x14ac:dyDescent="0.25">
      <c r="A364" s="21" t="s">
        <v>3503</v>
      </c>
      <c r="B364" s="12" t="s">
        <v>3504</v>
      </c>
      <c r="C364" s="11" t="s">
        <v>2800</v>
      </c>
      <c r="D364" s="13" t="s">
        <v>467</v>
      </c>
      <c r="E364" s="11">
        <v>2349</v>
      </c>
      <c r="F364" s="21" t="s">
        <v>3505</v>
      </c>
      <c r="G364" s="11" t="s">
        <v>855</v>
      </c>
      <c r="H364" s="11" t="s">
        <v>2788</v>
      </c>
      <c r="I364" s="12" t="s">
        <v>3504</v>
      </c>
      <c r="J364" s="11" t="s">
        <v>2800</v>
      </c>
      <c r="K364" s="10"/>
      <c r="L364" s="10"/>
    </row>
    <row r="365" spans="1:12" x14ac:dyDescent="0.25">
      <c r="A365" s="21" t="s">
        <v>1029</v>
      </c>
      <c r="B365" s="12" t="s">
        <v>1030</v>
      </c>
      <c r="C365" s="11" t="s">
        <v>2800</v>
      </c>
      <c r="D365" s="13" t="s">
        <v>2674</v>
      </c>
      <c r="E365" s="11">
        <v>5337</v>
      </c>
      <c r="F365" s="21" t="s">
        <v>1031</v>
      </c>
      <c r="G365" s="11" t="s">
        <v>855</v>
      </c>
      <c r="H365" s="11" t="s">
        <v>2788</v>
      </c>
      <c r="I365" s="12" t="s">
        <v>1030</v>
      </c>
      <c r="J365" s="11" t="s">
        <v>2800</v>
      </c>
      <c r="K365" s="10"/>
      <c r="L365" s="10"/>
    </row>
    <row r="366" spans="1:12" x14ac:dyDescent="0.25">
      <c r="A366" s="21" t="s">
        <v>3523</v>
      </c>
      <c r="B366" s="12" t="s">
        <v>3524</v>
      </c>
      <c r="C366" s="11" t="s">
        <v>2800</v>
      </c>
      <c r="D366" s="13" t="s">
        <v>1660</v>
      </c>
      <c r="E366" s="11">
        <v>1999</v>
      </c>
      <c r="F366" s="21" t="s">
        <v>3525</v>
      </c>
      <c r="G366" s="11" t="s">
        <v>855</v>
      </c>
      <c r="H366" s="11" t="s">
        <v>2788</v>
      </c>
      <c r="I366" s="12" t="s">
        <v>3524</v>
      </c>
      <c r="J366" s="11" t="s">
        <v>2800</v>
      </c>
      <c r="K366" s="10"/>
      <c r="L366" s="10"/>
    </row>
    <row r="367" spans="1:12" x14ac:dyDescent="0.25">
      <c r="A367" s="21" t="s">
        <v>1043</v>
      </c>
      <c r="B367" s="12" t="s">
        <v>1044</v>
      </c>
      <c r="C367" s="11" t="s">
        <v>2800</v>
      </c>
      <c r="D367" s="13" t="s">
        <v>1045</v>
      </c>
      <c r="E367" s="11">
        <v>616</v>
      </c>
      <c r="F367" s="21" t="s">
        <v>1046</v>
      </c>
      <c r="G367" s="11" t="s">
        <v>855</v>
      </c>
      <c r="H367" s="11" t="s">
        <v>2788</v>
      </c>
      <c r="I367" s="12" t="s">
        <v>1044</v>
      </c>
      <c r="J367" s="11" t="s">
        <v>2800</v>
      </c>
      <c r="K367" s="10"/>
      <c r="L367" s="10"/>
    </row>
    <row r="368" spans="1:12" x14ac:dyDescent="0.25">
      <c r="A368" s="21" t="s">
        <v>853</v>
      </c>
      <c r="B368" s="12" t="s">
        <v>3435</v>
      </c>
      <c r="C368" s="11" t="s">
        <v>2800</v>
      </c>
      <c r="D368" s="13" t="s">
        <v>854</v>
      </c>
      <c r="E368" s="11">
        <v>321</v>
      </c>
      <c r="F368" s="21" t="s">
        <v>2787</v>
      </c>
      <c r="G368" s="11" t="s">
        <v>855</v>
      </c>
      <c r="H368" s="11" t="s">
        <v>2788</v>
      </c>
      <c r="I368" s="12" t="s">
        <v>3435</v>
      </c>
      <c r="J368" s="11" t="s">
        <v>2800</v>
      </c>
      <c r="K368" s="10"/>
      <c r="L368" s="10"/>
    </row>
    <row r="369" spans="1:12" x14ac:dyDescent="0.25">
      <c r="A369" s="21" t="s">
        <v>1913</v>
      </c>
      <c r="B369" s="12" t="s">
        <v>1914</v>
      </c>
      <c r="C369" s="11" t="s">
        <v>2800</v>
      </c>
      <c r="D369" s="13" t="s">
        <v>1437</v>
      </c>
      <c r="E369" s="11">
        <v>1100</v>
      </c>
      <c r="F369" s="21" t="s">
        <v>1915</v>
      </c>
      <c r="G369" s="11" t="s">
        <v>855</v>
      </c>
      <c r="H369" s="11" t="s">
        <v>2788</v>
      </c>
      <c r="I369" s="12" t="s">
        <v>1914</v>
      </c>
      <c r="J369" s="11" t="s">
        <v>2800</v>
      </c>
      <c r="K369" s="10"/>
      <c r="L369" s="10"/>
    </row>
    <row r="370" spans="1:12" x14ac:dyDescent="0.25">
      <c r="A370" s="21" t="s">
        <v>3615</v>
      </c>
      <c r="B370" s="12" t="s">
        <v>1897</v>
      </c>
      <c r="C370" s="11" t="s">
        <v>2800</v>
      </c>
      <c r="D370" s="13" t="s">
        <v>3501</v>
      </c>
      <c r="E370" s="11">
        <v>4164</v>
      </c>
      <c r="F370" s="21" t="s">
        <v>1898</v>
      </c>
      <c r="G370" s="11" t="s">
        <v>855</v>
      </c>
      <c r="H370" s="11" t="s">
        <v>2788</v>
      </c>
      <c r="I370" s="12" t="s">
        <v>1897</v>
      </c>
      <c r="J370" s="11" t="s">
        <v>2800</v>
      </c>
      <c r="K370" s="10"/>
      <c r="L370" s="10"/>
    </row>
    <row r="371" spans="1:12" x14ac:dyDescent="0.25">
      <c r="A371" s="21" t="s">
        <v>3509</v>
      </c>
      <c r="B371" s="12" t="s">
        <v>3510</v>
      </c>
      <c r="C371" s="11" t="s">
        <v>2800</v>
      </c>
      <c r="D371" s="13" t="s">
        <v>3511</v>
      </c>
      <c r="E371" s="11">
        <v>3381</v>
      </c>
      <c r="F371" s="21" t="s">
        <v>3512</v>
      </c>
      <c r="G371" s="11" t="s">
        <v>855</v>
      </c>
      <c r="H371" s="11" t="s">
        <v>2788</v>
      </c>
      <c r="I371" s="12" t="s">
        <v>3510</v>
      </c>
      <c r="J371" s="11" t="s">
        <v>2800</v>
      </c>
      <c r="K371" s="10"/>
      <c r="L371" s="10"/>
    </row>
    <row r="372" spans="1:12" x14ac:dyDescent="0.25">
      <c r="A372" s="21" t="s">
        <v>3499</v>
      </c>
      <c r="B372" s="12" t="s">
        <v>3500</v>
      </c>
      <c r="C372" s="11" t="s">
        <v>2800</v>
      </c>
      <c r="D372" s="13" t="s">
        <v>3501</v>
      </c>
      <c r="E372" s="11">
        <v>2476</v>
      </c>
      <c r="F372" s="21" t="s">
        <v>3502</v>
      </c>
      <c r="G372" s="11" t="s">
        <v>855</v>
      </c>
      <c r="H372" s="11" t="s">
        <v>2788</v>
      </c>
      <c r="I372" s="12" t="s">
        <v>3500</v>
      </c>
      <c r="J372" s="11" t="s">
        <v>2800</v>
      </c>
      <c r="K372" s="10"/>
      <c r="L372" s="10"/>
    </row>
    <row r="373" spans="1:12" x14ac:dyDescent="0.25">
      <c r="A373" s="21" t="s">
        <v>860</v>
      </c>
      <c r="B373" s="12" t="s">
        <v>861</v>
      </c>
      <c r="C373" s="11" t="s">
        <v>2800</v>
      </c>
      <c r="D373" s="13" t="s">
        <v>1775</v>
      </c>
      <c r="E373" s="11">
        <v>131</v>
      </c>
      <c r="F373" s="21" t="s">
        <v>862</v>
      </c>
      <c r="G373" s="11" t="s">
        <v>855</v>
      </c>
      <c r="H373" s="11" t="s">
        <v>2788</v>
      </c>
      <c r="I373" s="12" t="s">
        <v>861</v>
      </c>
      <c r="J373" s="11" t="s">
        <v>2800</v>
      </c>
      <c r="K373" s="10"/>
      <c r="L373" s="10"/>
    </row>
    <row r="374" spans="1:12" x14ac:dyDescent="0.25">
      <c r="A374" s="21" t="s">
        <v>1906</v>
      </c>
      <c r="B374" s="12" t="s">
        <v>1907</v>
      </c>
      <c r="C374" s="11" t="s">
        <v>2800</v>
      </c>
      <c r="D374" s="13" t="s">
        <v>1908</v>
      </c>
      <c r="E374" s="11">
        <v>663</v>
      </c>
      <c r="F374" s="21" t="s">
        <v>1909</v>
      </c>
      <c r="G374" s="11" t="s">
        <v>855</v>
      </c>
      <c r="H374" s="11" t="s">
        <v>2788</v>
      </c>
      <c r="I374" s="12" t="s">
        <v>1907</v>
      </c>
      <c r="J374" s="11" t="s">
        <v>2800</v>
      </c>
      <c r="K374" s="10"/>
      <c r="L374" s="10"/>
    </row>
    <row r="375" spans="1:12" x14ac:dyDescent="0.25">
      <c r="A375" s="21" t="s">
        <v>1910</v>
      </c>
      <c r="B375" s="12" t="s">
        <v>1911</v>
      </c>
      <c r="C375" s="11" t="s">
        <v>2800</v>
      </c>
      <c r="D375" s="13" t="s">
        <v>3491</v>
      </c>
      <c r="E375" s="11">
        <v>1349</v>
      </c>
      <c r="F375" s="21" t="s">
        <v>1912</v>
      </c>
      <c r="G375" s="11" t="s">
        <v>855</v>
      </c>
      <c r="H375" s="11" t="s">
        <v>2788</v>
      </c>
      <c r="I375" s="12" t="s">
        <v>1911</v>
      </c>
      <c r="J375" s="11" t="s">
        <v>2800</v>
      </c>
      <c r="K375" s="10"/>
      <c r="L375" s="10"/>
    </row>
    <row r="376" spans="1:12" x14ac:dyDescent="0.25">
      <c r="A376" s="21" t="s">
        <v>3493</v>
      </c>
      <c r="B376" s="12" t="s">
        <v>3494</v>
      </c>
      <c r="C376" s="11" t="s">
        <v>2800</v>
      </c>
      <c r="D376" s="13" t="s">
        <v>2230</v>
      </c>
      <c r="E376" s="11">
        <v>552</v>
      </c>
      <c r="F376" s="21" t="s">
        <v>3495</v>
      </c>
      <c r="G376" s="11" t="s">
        <v>855</v>
      </c>
      <c r="H376" s="11" t="s">
        <v>2788</v>
      </c>
      <c r="I376" s="12" t="s">
        <v>3494</v>
      </c>
      <c r="J376" s="11" t="s">
        <v>2800</v>
      </c>
      <c r="K376" s="10"/>
      <c r="L376" s="10"/>
    </row>
    <row r="377" spans="1:12" x14ac:dyDescent="0.25">
      <c r="A377" s="21" t="s">
        <v>1032</v>
      </c>
      <c r="B377" s="12" t="s">
        <v>1033</v>
      </c>
      <c r="C377" s="11" t="s">
        <v>2800</v>
      </c>
      <c r="D377" s="13" t="s">
        <v>1034</v>
      </c>
      <c r="E377" s="11">
        <v>1153</v>
      </c>
      <c r="F377" s="21" t="s">
        <v>1035</v>
      </c>
      <c r="G377" s="11" t="s">
        <v>855</v>
      </c>
      <c r="H377" s="11" t="s">
        <v>2788</v>
      </c>
      <c r="I377" s="12" t="s">
        <v>1033</v>
      </c>
      <c r="J377" s="11" t="s">
        <v>2800</v>
      </c>
      <c r="K377" s="10"/>
      <c r="L377" s="10"/>
    </row>
    <row r="378" spans="1:12" s="17" customFormat="1" x14ac:dyDescent="0.25">
      <c r="A378" s="22" t="s">
        <v>1047</v>
      </c>
      <c r="B378" s="15" t="s">
        <v>3603</v>
      </c>
      <c r="C378" s="14" t="s">
        <v>2800</v>
      </c>
      <c r="D378" s="16" t="s">
        <v>4776</v>
      </c>
      <c r="E378" s="14">
        <v>132</v>
      </c>
      <c r="F378" s="22" t="s">
        <v>3604</v>
      </c>
      <c r="G378" s="14" t="s">
        <v>855</v>
      </c>
      <c r="H378" s="14" t="s">
        <v>2788</v>
      </c>
      <c r="I378" s="15" t="s">
        <v>3603</v>
      </c>
      <c r="J378" s="14" t="s">
        <v>2800</v>
      </c>
    </row>
    <row r="379" spans="1:12" x14ac:dyDescent="0.25">
      <c r="A379" s="21" t="s">
        <v>1036</v>
      </c>
      <c r="B379" s="12" t="s">
        <v>1037</v>
      </c>
      <c r="C379" s="11" t="s">
        <v>2800</v>
      </c>
      <c r="D379" s="13" t="s">
        <v>1038</v>
      </c>
      <c r="E379" s="11">
        <v>768</v>
      </c>
      <c r="F379" s="21" t="s">
        <v>1039</v>
      </c>
      <c r="G379" s="11" t="s">
        <v>855</v>
      </c>
      <c r="H379" s="11" t="s">
        <v>2788</v>
      </c>
      <c r="I379" s="12" t="s">
        <v>1037</v>
      </c>
      <c r="J379" s="11" t="s">
        <v>2800</v>
      </c>
      <c r="K379" s="10"/>
      <c r="L379" s="10"/>
    </row>
    <row r="380" spans="1:12" x14ac:dyDescent="0.25">
      <c r="A380" s="21" t="s">
        <v>1899</v>
      </c>
      <c r="B380" s="12" t="s">
        <v>1900</v>
      </c>
      <c r="C380" s="11" t="s">
        <v>2800</v>
      </c>
      <c r="D380" s="13" t="s">
        <v>1901</v>
      </c>
      <c r="E380" s="11">
        <v>40</v>
      </c>
      <c r="F380" s="21" t="s">
        <v>1902</v>
      </c>
      <c r="G380" s="11" t="s">
        <v>855</v>
      </c>
      <c r="H380" s="11" t="s">
        <v>2788</v>
      </c>
      <c r="I380" s="12" t="s">
        <v>1900</v>
      </c>
      <c r="J380" s="11" t="s">
        <v>2800</v>
      </c>
      <c r="K380" s="10"/>
      <c r="L380" s="10"/>
    </row>
    <row r="381" spans="1:12" x14ac:dyDescent="0.25">
      <c r="A381" s="21" t="s">
        <v>874</v>
      </c>
      <c r="B381" s="12" t="s">
        <v>875</v>
      </c>
      <c r="C381" s="11" t="s">
        <v>2800</v>
      </c>
      <c r="D381" s="13" t="s">
        <v>876</v>
      </c>
      <c r="E381" s="11">
        <v>31</v>
      </c>
      <c r="F381" s="21" t="s">
        <v>877</v>
      </c>
      <c r="G381" s="11" t="s">
        <v>855</v>
      </c>
      <c r="H381" s="11" t="s">
        <v>2788</v>
      </c>
      <c r="I381" s="12" t="s">
        <v>875</v>
      </c>
      <c r="J381" s="11" t="s">
        <v>2800</v>
      </c>
      <c r="K381" s="10"/>
      <c r="L381" s="10"/>
    </row>
    <row r="382" spans="1:12" x14ac:dyDescent="0.25">
      <c r="A382" s="21" t="s">
        <v>3516</v>
      </c>
      <c r="B382" s="12" t="s">
        <v>3517</v>
      </c>
      <c r="C382" s="11" t="s">
        <v>2800</v>
      </c>
      <c r="D382" s="13" t="s">
        <v>1471</v>
      </c>
      <c r="E382" s="11">
        <v>780</v>
      </c>
      <c r="F382" s="21" t="s">
        <v>3518</v>
      </c>
      <c r="G382" s="11" t="s">
        <v>855</v>
      </c>
      <c r="H382" s="11" t="s">
        <v>2788</v>
      </c>
      <c r="I382" s="12" t="s">
        <v>3517</v>
      </c>
      <c r="J382" s="11" t="s">
        <v>2800</v>
      </c>
      <c r="K382" s="10"/>
      <c r="L382" s="10"/>
    </row>
    <row r="383" spans="1:12" x14ac:dyDescent="0.25">
      <c r="A383" s="21" t="s">
        <v>878</v>
      </c>
      <c r="B383" s="12" t="s">
        <v>2328</v>
      </c>
      <c r="C383" s="11" t="s">
        <v>2800</v>
      </c>
      <c r="D383" s="13" t="s">
        <v>2674</v>
      </c>
      <c r="E383" s="11">
        <v>11256</v>
      </c>
      <c r="F383" s="21" t="s">
        <v>879</v>
      </c>
      <c r="G383" s="11" t="s">
        <v>855</v>
      </c>
      <c r="H383" s="11" t="s">
        <v>2788</v>
      </c>
      <c r="I383" s="12" t="s">
        <v>2328</v>
      </c>
      <c r="J383" s="11" t="s">
        <v>2800</v>
      </c>
      <c r="K383" s="10"/>
      <c r="L383" s="10"/>
    </row>
    <row r="384" spans="1:12" x14ac:dyDescent="0.25">
      <c r="A384" s="21" t="s">
        <v>1020</v>
      </c>
      <c r="B384" s="12" t="s">
        <v>1021</v>
      </c>
      <c r="C384" s="11" t="s">
        <v>2800</v>
      </c>
      <c r="D384" s="13" t="s">
        <v>84</v>
      </c>
      <c r="E384" s="11">
        <v>5924</v>
      </c>
      <c r="F384" s="21" t="s">
        <v>1022</v>
      </c>
      <c r="G384" s="11" t="s">
        <v>855</v>
      </c>
      <c r="H384" s="11" t="s">
        <v>2788</v>
      </c>
      <c r="I384" s="12" t="s">
        <v>1021</v>
      </c>
      <c r="J384" s="11" t="s">
        <v>2800</v>
      </c>
      <c r="K384" s="10"/>
      <c r="L384" s="10"/>
    </row>
    <row r="385" spans="1:12" x14ac:dyDescent="0.25">
      <c r="A385" s="21" t="s">
        <v>916</v>
      </c>
      <c r="B385" s="12" t="s">
        <v>917</v>
      </c>
      <c r="C385" s="11" t="s">
        <v>2800</v>
      </c>
      <c r="D385" s="13" t="s">
        <v>2398</v>
      </c>
      <c r="E385" s="11">
        <v>452</v>
      </c>
      <c r="F385" s="21" t="s">
        <v>918</v>
      </c>
      <c r="G385" s="11" t="s">
        <v>855</v>
      </c>
      <c r="H385" s="11" t="s">
        <v>2788</v>
      </c>
      <c r="I385" s="12" t="s">
        <v>917</v>
      </c>
      <c r="J385" s="11" t="s">
        <v>2800</v>
      </c>
      <c r="K385" s="10"/>
      <c r="L385" s="10"/>
    </row>
    <row r="386" spans="1:12" x14ac:dyDescent="0.25">
      <c r="A386" s="21" t="s">
        <v>880</v>
      </c>
      <c r="B386" s="12" t="s">
        <v>881</v>
      </c>
      <c r="C386" s="11" t="s">
        <v>2800</v>
      </c>
      <c r="D386" s="13" t="s">
        <v>882</v>
      </c>
      <c r="E386" s="11">
        <v>5150</v>
      </c>
      <c r="F386" s="21" t="s">
        <v>883</v>
      </c>
      <c r="G386" s="11" t="s">
        <v>855</v>
      </c>
      <c r="H386" s="11" t="s">
        <v>2788</v>
      </c>
      <c r="I386" s="12" t="s">
        <v>881</v>
      </c>
      <c r="J386" s="11" t="s">
        <v>2800</v>
      </c>
      <c r="K386" s="10"/>
      <c r="L386" s="10"/>
    </row>
    <row r="387" spans="1:12" x14ac:dyDescent="0.25">
      <c r="A387" s="21" t="s">
        <v>1008</v>
      </c>
      <c r="B387" s="12" t="s">
        <v>1009</v>
      </c>
      <c r="C387" s="11" t="s">
        <v>2800</v>
      </c>
      <c r="D387" s="13" t="s">
        <v>1010</v>
      </c>
      <c r="E387" s="11">
        <v>753</v>
      </c>
      <c r="F387" s="21" t="s">
        <v>1011</v>
      </c>
      <c r="G387" s="11" t="s">
        <v>855</v>
      </c>
      <c r="H387" s="11" t="s">
        <v>2788</v>
      </c>
      <c r="I387" s="12" t="s">
        <v>1009</v>
      </c>
      <c r="J387" s="11" t="s">
        <v>2800</v>
      </c>
      <c r="K387" s="10"/>
      <c r="L387" s="10"/>
    </row>
    <row r="388" spans="1:12" x14ac:dyDescent="0.25">
      <c r="A388" s="21" t="s">
        <v>3506</v>
      </c>
      <c r="B388" s="12" t="s">
        <v>3507</v>
      </c>
      <c r="C388" s="11" t="s">
        <v>2800</v>
      </c>
      <c r="D388" s="13" t="s">
        <v>467</v>
      </c>
      <c r="E388" s="11">
        <v>4576</v>
      </c>
      <c r="F388" s="21" t="s">
        <v>3508</v>
      </c>
      <c r="G388" s="11" t="s">
        <v>855</v>
      </c>
      <c r="H388" s="11" t="s">
        <v>2788</v>
      </c>
      <c r="I388" s="12" t="s">
        <v>3507</v>
      </c>
      <c r="J388" s="11" t="s">
        <v>2800</v>
      </c>
      <c r="K388" s="10"/>
      <c r="L388" s="10"/>
    </row>
    <row r="389" spans="1:12" x14ac:dyDescent="0.25">
      <c r="A389" s="21" t="s">
        <v>863</v>
      </c>
      <c r="B389" s="12" t="s">
        <v>864</v>
      </c>
      <c r="C389" s="11" t="s">
        <v>2800</v>
      </c>
      <c r="D389" s="13" t="s">
        <v>854</v>
      </c>
      <c r="E389" s="11">
        <v>2821</v>
      </c>
      <c r="F389" s="21" t="s">
        <v>865</v>
      </c>
      <c r="G389" s="11" t="s">
        <v>855</v>
      </c>
      <c r="H389" s="11" t="s">
        <v>2788</v>
      </c>
      <c r="I389" s="12" t="s">
        <v>864</v>
      </c>
      <c r="J389" s="11" t="s">
        <v>2800</v>
      </c>
      <c r="K389" s="10"/>
      <c r="L389" s="10"/>
    </row>
    <row r="390" spans="1:12" x14ac:dyDescent="0.25">
      <c r="A390" s="21" t="s">
        <v>1916</v>
      </c>
      <c r="B390" s="12" t="s">
        <v>1917</v>
      </c>
      <c r="C390" s="11" t="s">
        <v>2800</v>
      </c>
      <c r="D390" s="13" t="s">
        <v>1918</v>
      </c>
      <c r="E390" s="11">
        <v>2190</v>
      </c>
      <c r="F390" s="21" t="s">
        <v>1919</v>
      </c>
      <c r="G390" s="11" t="s">
        <v>855</v>
      </c>
      <c r="H390" s="11" t="s">
        <v>2788</v>
      </c>
      <c r="I390" s="12" t="s">
        <v>1917</v>
      </c>
      <c r="J390" s="11" t="s">
        <v>2800</v>
      </c>
      <c r="K390" s="10"/>
      <c r="L390" s="10"/>
    </row>
    <row r="391" spans="1:12" x14ac:dyDescent="0.25">
      <c r="A391" s="21" t="s">
        <v>870</v>
      </c>
      <c r="B391" s="12" t="s">
        <v>871</v>
      </c>
      <c r="C391" s="11" t="s">
        <v>2800</v>
      </c>
      <c r="D391" s="13" t="s">
        <v>872</v>
      </c>
      <c r="E391" s="11">
        <v>756</v>
      </c>
      <c r="F391" s="21" t="s">
        <v>873</v>
      </c>
      <c r="G391" s="11" t="s">
        <v>855</v>
      </c>
      <c r="H391" s="11" t="s">
        <v>2788</v>
      </c>
      <c r="I391" s="12" t="s">
        <v>871</v>
      </c>
      <c r="J391" s="11" t="s">
        <v>2800</v>
      </c>
      <c r="K391" s="10"/>
      <c r="L391" s="10"/>
    </row>
    <row r="392" spans="1:12" x14ac:dyDescent="0.25">
      <c r="A392" s="21" t="s">
        <v>887</v>
      </c>
      <c r="B392" s="12" t="s">
        <v>888</v>
      </c>
      <c r="C392" s="11" t="s">
        <v>2800</v>
      </c>
      <c r="D392" s="13" t="s">
        <v>889</v>
      </c>
      <c r="E392" s="11">
        <v>815</v>
      </c>
      <c r="F392" s="21" t="s">
        <v>890</v>
      </c>
      <c r="G392" s="11" t="s">
        <v>855</v>
      </c>
      <c r="H392" s="11" t="s">
        <v>2788</v>
      </c>
      <c r="I392" s="12" t="s">
        <v>888</v>
      </c>
      <c r="J392" s="11" t="s">
        <v>2800</v>
      </c>
      <c r="K392" s="10"/>
      <c r="L392" s="10"/>
    </row>
    <row r="393" spans="1:12" x14ac:dyDescent="0.25">
      <c r="A393" s="21" t="s">
        <v>1023</v>
      </c>
      <c r="B393" s="12" t="s">
        <v>1024</v>
      </c>
      <c r="C393" s="11" t="s">
        <v>2800</v>
      </c>
      <c r="D393" s="13" t="s">
        <v>2167</v>
      </c>
      <c r="E393" s="11">
        <v>4624</v>
      </c>
      <c r="F393" s="21" t="s">
        <v>1025</v>
      </c>
      <c r="G393" s="11" t="s">
        <v>855</v>
      </c>
      <c r="H393" s="11" t="s">
        <v>2788</v>
      </c>
      <c r="I393" s="12" t="s">
        <v>1024</v>
      </c>
      <c r="J393" s="11" t="s">
        <v>2800</v>
      </c>
      <c r="K393" s="10"/>
      <c r="L393" s="10"/>
    </row>
    <row r="394" spans="1:12" x14ac:dyDescent="0.25">
      <c r="A394" s="21" t="s">
        <v>1004</v>
      </c>
      <c r="B394" s="12" t="s">
        <v>1005</v>
      </c>
      <c r="C394" s="11" t="s">
        <v>2800</v>
      </c>
      <c r="D394" s="13" t="s">
        <v>1006</v>
      </c>
      <c r="E394" s="11">
        <v>1954</v>
      </c>
      <c r="F394" s="21" t="s">
        <v>1007</v>
      </c>
      <c r="G394" s="11" t="s">
        <v>855</v>
      </c>
      <c r="H394" s="11" t="s">
        <v>2788</v>
      </c>
      <c r="I394" s="12" t="s">
        <v>1005</v>
      </c>
      <c r="J394" s="11" t="s">
        <v>2800</v>
      </c>
      <c r="K394" s="10"/>
      <c r="L394" s="10"/>
    </row>
    <row r="395" spans="1:12" x14ac:dyDescent="0.25">
      <c r="A395" s="21" t="s">
        <v>899</v>
      </c>
      <c r="B395" s="12" t="s">
        <v>900</v>
      </c>
      <c r="C395" s="11" t="s">
        <v>2800</v>
      </c>
      <c r="D395" s="13" t="s">
        <v>247</v>
      </c>
      <c r="E395" s="11">
        <v>2710</v>
      </c>
      <c r="F395" s="21" t="s">
        <v>901</v>
      </c>
      <c r="G395" s="11" t="s">
        <v>855</v>
      </c>
      <c r="H395" s="11" t="s">
        <v>2788</v>
      </c>
      <c r="I395" s="12" t="s">
        <v>900</v>
      </c>
      <c r="J395" s="11" t="s">
        <v>2800</v>
      </c>
      <c r="K395" s="10"/>
      <c r="L395" s="10"/>
    </row>
    <row r="396" spans="1:12" x14ac:dyDescent="0.25">
      <c r="A396" s="21" t="s">
        <v>3496</v>
      </c>
      <c r="B396" s="12" t="s">
        <v>3497</v>
      </c>
      <c r="C396" s="11" t="s">
        <v>2800</v>
      </c>
      <c r="D396" s="13" t="s">
        <v>2171</v>
      </c>
      <c r="E396" s="11">
        <v>3882</v>
      </c>
      <c r="F396" s="21" t="s">
        <v>3498</v>
      </c>
      <c r="G396" s="11" t="s">
        <v>855</v>
      </c>
      <c r="H396" s="11" t="s">
        <v>2788</v>
      </c>
      <c r="I396" s="12" t="s">
        <v>3497</v>
      </c>
      <c r="J396" s="11" t="s">
        <v>2800</v>
      </c>
      <c r="K396" s="10"/>
      <c r="L396" s="10"/>
    </row>
    <row r="397" spans="1:12" x14ac:dyDescent="0.25">
      <c r="A397" s="21" t="s">
        <v>3605</v>
      </c>
      <c r="B397" s="12" t="s">
        <v>3606</v>
      </c>
      <c r="C397" s="11" t="s">
        <v>2800</v>
      </c>
      <c r="D397" s="13" t="s">
        <v>3076</v>
      </c>
      <c r="E397" s="11">
        <v>2128</v>
      </c>
      <c r="F397" s="21" t="s">
        <v>3607</v>
      </c>
      <c r="G397" s="11" t="s">
        <v>855</v>
      </c>
      <c r="H397" s="11" t="s">
        <v>2788</v>
      </c>
      <c r="I397" s="12" t="s">
        <v>3606</v>
      </c>
      <c r="J397" s="11" t="s">
        <v>2800</v>
      </c>
      <c r="K397" s="10"/>
      <c r="L397" s="10"/>
    </row>
    <row r="398" spans="1:12" x14ac:dyDescent="0.25">
      <c r="A398" s="21" t="s">
        <v>1026</v>
      </c>
      <c r="B398" s="12" t="s">
        <v>1027</v>
      </c>
      <c r="C398" s="11" t="s">
        <v>2800</v>
      </c>
      <c r="D398" s="13" t="s">
        <v>1779</v>
      </c>
      <c r="E398" s="11">
        <v>1069</v>
      </c>
      <c r="F398" s="21" t="s">
        <v>1028</v>
      </c>
      <c r="G398" s="11" t="s">
        <v>855</v>
      </c>
      <c r="H398" s="11" t="s">
        <v>2788</v>
      </c>
      <c r="I398" s="12" t="s">
        <v>1027</v>
      </c>
      <c r="J398" s="11" t="s">
        <v>2800</v>
      </c>
      <c r="K398" s="10"/>
      <c r="L398" s="10"/>
    </row>
    <row r="399" spans="1:12" x14ac:dyDescent="0.25">
      <c r="A399" s="21" t="s">
        <v>3612</v>
      </c>
      <c r="B399" s="12" t="s">
        <v>3613</v>
      </c>
      <c r="C399" s="11" t="s">
        <v>2800</v>
      </c>
      <c r="D399" s="13" t="s">
        <v>2171</v>
      </c>
      <c r="E399" s="11">
        <v>945</v>
      </c>
      <c r="F399" s="21" t="s">
        <v>3614</v>
      </c>
      <c r="G399" s="11" t="s">
        <v>855</v>
      </c>
      <c r="H399" s="11" t="s">
        <v>2788</v>
      </c>
      <c r="I399" s="12" t="s">
        <v>3613</v>
      </c>
      <c r="J399" s="11" t="s">
        <v>2800</v>
      </c>
      <c r="K399" s="10"/>
      <c r="L399" s="10"/>
    </row>
    <row r="400" spans="1:12" x14ac:dyDescent="0.25">
      <c r="A400" s="21" t="s">
        <v>884</v>
      </c>
      <c r="B400" s="12" t="s">
        <v>885</v>
      </c>
      <c r="C400" s="11" t="s">
        <v>2800</v>
      </c>
      <c r="D400" s="13" t="s">
        <v>1775</v>
      </c>
      <c r="E400" s="11">
        <v>1577</v>
      </c>
      <c r="F400" s="21" t="s">
        <v>886</v>
      </c>
      <c r="G400" s="11" t="s">
        <v>855</v>
      </c>
      <c r="H400" s="11" t="s">
        <v>2788</v>
      </c>
      <c r="I400" s="12" t="s">
        <v>885</v>
      </c>
      <c r="J400" s="11" t="s">
        <v>2800</v>
      </c>
      <c r="K400" s="10"/>
      <c r="L400" s="10"/>
    </row>
    <row r="401" spans="1:12" x14ac:dyDescent="0.25">
      <c r="A401" s="21" t="s">
        <v>1040</v>
      </c>
      <c r="B401" s="12" t="s">
        <v>2343</v>
      </c>
      <c r="C401" s="11" t="s">
        <v>2800</v>
      </c>
      <c r="D401" s="13" t="s">
        <v>1041</v>
      </c>
      <c r="E401" s="11">
        <v>3855</v>
      </c>
      <c r="F401" s="21" t="s">
        <v>1042</v>
      </c>
      <c r="G401" s="11" t="s">
        <v>855</v>
      </c>
      <c r="H401" s="11" t="s">
        <v>2788</v>
      </c>
      <c r="I401" s="12" t="s">
        <v>2343</v>
      </c>
      <c r="J401" s="11" t="s">
        <v>2800</v>
      </c>
      <c r="K401" s="10"/>
      <c r="L401" s="10"/>
    </row>
    <row r="402" spans="1:12" x14ac:dyDescent="0.25">
      <c r="A402" s="21" t="s">
        <v>3489</v>
      </c>
      <c r="B402" s="12" t="s">
        <v>3490</v>
      </c>
      <c r="C402" s="11" t="s">
        <v>2800</v>
      </c>
      <c r="D402" s="13" t="s">
        <v>3491</v>
      </c>
      <c r="E402" s="11">
        <v>3001</v>
      </c>
      <c r="F402" s="21" t="s">
        <v>3492</v>
      </c>
      <c r="G402" s="11" t="s">
        <v>855</v>
      </c>
      <c r="H402" s="11" t="s">
        <v>2788</v>
      </c>
      <c r="I402" s="12" t="s">
        <v>3490</v>
      </c>
      <c r="J402" s="11" t="s">
        <v>2800</v>
      </c>
      <c r="K402" s="10"/>
      <c r="L402" s="10"/>
    </row>
    <row r="403" spans="1:12" x14ac:dyDescent="0.25">
      <c r="A403" s="21" t="s">
        <v>913</v>
      </c>
      <c r="B403" s="12" t="s">
        <v>914</v>
      </c>
      <c r="C403" s="11" t="s">
        <v>2800</v>
      </c>
      <c r="D403" s="13" t="s">
        <v>4203</v>
      </c>
      <c r="E403" s="11">
        <v>698</v>
      </c>
      <c r="F403" s="21" t="s">
        <v>915</v>
      </c>
      <c r="G403" s="11" t="s">
        <v>855</v>
      </c>
      <c r="H403" s="11" t="s">
        <v>2788</v>
      </c>
      <c r="I403" s="12" t="s">
        <v>914</v>
      </c>
      <c r="J403" s="11" t="s">
        <v>2800</v>
      </c>
      <c r="K403" s="10"/>
      <c r="L403" s="10"/>
    </row>
    <row r="404" spans="1:12" x14ac:dyDescent="0.25">
      <c r="A404" s="21" t="s">
        <v>1903</v>
      </c>
      <c r="B404" s="12" t="s">
        <v>1904</v>
      </c>
      <c r="C404" s="11" t="s">
        <v>2800</v>
      </c>
      <c r="D404" s="13" t="s">
        <v>4780</v>
      </c>
      <c r="E404" s="11">
        <v>717</v>
      </c>
      <c r="F404" s="21" t="s">
        <v>1905</v>
      </c>
      <c r="G404" s="11" t="s">
        <v>855</v>
      </c>
      <c r="H404" s="11" t="s">
        <v>2788</v>
      </c>
      <c r="I404" s="12" t="s">
        <v>1904</v>
      </c>
      <c r="J404" s="11" t="s">
        <v>2800</v>
      </c>
      <c r="K404" s="10"/>
      <c r="L404" s="10"/>
    </row>
    <row r="405" spans="1:12" x14ac:dyDescent="0.25">
      <c r="A405" s="21" t="s">
        <v>919</v>
      </c>
      <c r="B405" s="12" t="s">
        <v>920</v>
      </c>
      <c r="C405" s="11" t="s">
        <v>2800</v>
      </c>
      <c r="D405" s="13" t="s">
        <v>3487</v>
      </c>
      <c r="E405" s="11">
        <v>176</v>
      </c>
      <c r="F405" s="21" t="s">
        <v>3488</v>
      </c>
      <c r="G405" s="11" t="s">
        <v>855</v>
      </c>
      <c r="H405" s="11" t="s">
        <v>2788</v>
      </c>
      <c r="I405" s="12" t="s">
        <v>920</v>
      </c>
      <c r="J405" s="11" t="s">
        <v>2800</v>
      </c>
      <c r="K405" s="10"/>
      <c r="L405" s="10"/>
    </row>
    <row r="406" spans="1:12" x14ac:dyDescent="0.25">
      <c r="A406" s="21" t="s">
        <v>902</v>
      </c>
      <c r="B406" s="12" t="s">
        <v>903</v>
      </c>
      <c r="C406" s="11" t="s">
        <v>2800</v>
      </c>
      <c r="D406" s="13" t="s">
        <v>904</v>
      </c>
      <c r="E406" s="11">
        <v>2901</v>
      </c>
      <c r="F406" s="21" t="s">
        <v>905</v>
      </c>
      <c r="G406" s="11" t="s">
        <v>855</v>
      </c>
      <c r="H406" s="11" t="s">
        <v>2788</v>
      </c>
      <c r="I406" s="12" t="s">
        <v>903</v>
      </c>
      <c r="J406" s="11" t="s">
        <v>2800</v>
      </c>
      <c r="K406" s="10"/>
      <c r="L406" s="10"/>
    </row>
    <row r="407" spans="1:12" x14ac:dyDescent="0.25">
      <c r="A407" s="21" t="s">
        <v>910</v>
      </c>
      <c r="B407" s="12" t="s">
        <v>911</v>
      </c>
      <c r="C407" s="11" t="s">
        <v>2800</v>
      </c>
      <c r="D407" s="13" t="s">
        <v>247</v>
      </c>
      <c r="E407" s="11">
        <v>6354</v>
      </c>
      <c r="F407" s="21" t="s">
        <v>912</v>
      </c>
      <c r="G407" s="11" t="s">
        <v>855</v>
      </c>
      <c r="H407" s="11" t="s">
        <v>2788</v>
      </c>
      <c r="I407" s="12" t="s">
        <v>911</v>
      </c>
      <c r="J407" s="11" t="s">
        <v>2800</v>
      </c>
      <c r="K407" s="10"/>
      <c r="L407" s="10"/>
    </row>
    <row r="408" spans="1:12" x14ac:dyDescent="0.25">
      <c r="A408" s="21" t="s">
        <v>1016</v>
      </c>
      <c r="B408" s="12" t="s">
        <v>1017</v>
      </c>
      <c r="C408" s="11" t="s">
        <v>2800</v>
      </c>
      <c r="D408" s="13" t="s">
        <v>1018</v>
      </c>
      <c r="E408" s="11">
        <v>5719</v>
      </c>
      <c r="F408" s="21" t="s">
        <v>1019</v>
      </c>
      <c r="G408" s="11" t="s">
        <v>855</v>
      </c>
      <c r="H408" s="11" t="s">
        <v>2788</v>
      </c>
      <c r="I408" s="12" t="s">
        <v>1017</v>
      </c>
      <c r="J408" s="11" t="s">
        <v>2800</v>
      </c>
      <c r="K408" s="10"/>
      <c r="L408" s="10"/>
    </row>
    <row r="409" spans="1:12" x14ac:dyDescent="0.25">
      <c r="A409" s="21" t="s">
        <v>906</v>
      </c>
      <c r="B409" s="12" t="s">
        <v>907</v>
      </c>
      <c r="C409" s="11" t="s">
        <v>2800</v>
      </c>
      <c r="D409" s="13" t="s">
        <v>908</v>
      </c>
      <c r="E409" s="11">
        <v>4675</v>
      </c>
      <c r="F409" s="21" t="s">
        <v>909</v>
      </c>
      <c r="G409" s="11" t="s">
        <v>855</v>
      </c>
      <c r="H409" s="11" t="s">
        <v>2788</v>
      </c>
      <c r="I409" s="12" t="s">
        <v>907</v>
      </c>
      <c r="J409" s="11" t="s">
        <v>2800</v>
      </c>
      <c r="K409" s="10"/>
      <c r="L409" s="10"/>
    </row>
    <row r="410" spans="1:12" x14ac:dyDescent="0.25">
      <c r="A410" s="21" t="s">
        <v>3608</v>
      </c>
      <c r="B410" s="12" t="s">
        <v>3609</v>
      </c>
      <c r="C410" s="11" t="s">
        <v>2800</v>
      </c>
      <c r="D410" s="13" t="s">
        <v>3610</v>
      </c>
      <c r="E410" s="11">
        <v>2888</v>
      </c>
      <c r="F410" s="21" t="s">
        <v>3611</v>
      </c>
      <c r="G410" s="11" t="s">
        <v>855</v>
      </c>
      <c r="H410" s="11" t="s">
        <v>2788</v>
      </c>
      <c r="I410" s="12" t="s">
        <v>3609</v>
      </c>
      <c r="J410" s="11" t="s">
        <v>2800</v>
      </c>
      <c r="K410" s="10"/>
      <c r="L410" s="10"/>
    </row>
    <row r="411" spans="1:12" x14ac:dyDescent="0.25">
      <c r="A411" s="21" t="s">
        <v>1012</v>
      </c>
      <c r="B411" s="12" t="s">
        <v>1013</v>
      </c>
      <c r="C411" s="11" t="s">
        <v>2800</v>
      </c>
      <c r="D411" s="13" t="s">
        <v>1014</v>
      </c>
      <c r="E411" s="11">
        <v>2995</v>
      </c>
      <c r="F411" s="21" t="s">
        <v>1015</v>
      </c>
      <c r="G411" s="11" t="s">
        <v>855</v>
      </c>
      <c r="H411" s="11" t="s">
        <v>2788</v>
      </c>
      <c r="I411" s="12" t="s">
        <v>1013</v>
      </c>
      <c r="J411" s="11" t="s">
        <v>2800</v>
      </c>
      <c r="K411" s="10"/>
      <c r="L411" s="10"/>
    </row>
    <row r="412" spans="1:12" x14ac:dyDescent="0.25">
      <c r="A412" s="21" t="s">
        <v>3513</v>
      </c>
      <c r="B412" s="12" t="s">
        <v>3514</v>
      </c>
      <c r="C412" s="11" t="s">
        <v>2800</v>
      </c>
      <c r="D412" s="13" t="s">
        <v>3511</v>
      </c>
      <c r="E412" s="11">
        <v>5254</v>
      </c>
      <c r="F412" s="21" t="s">
        <v>3515</v>
      </c>
      <c r="G412" s="11" t="s">
        <v>855</v>
      </c>
      <c r="H412" s="11" t="s">
        <v>2788</v>
      </c>
      <c r="I412" s="12" t="s">
        <v>3514</v>
      </c>
      <c r="J412" s="11" t="s">
        <v>2800</v>
      </c>
      <c r="K412" s="10"/>
      <c r="L412" s="10"/>
    </row>
    <row r="413" spans="1:12" x14ac:dyDescent="0.25">
      <c r="A413" s="21" t="s">
        <v>1888</v>
      </c>
      <c r="B413" s="12" t="s">
        <v>1889</v>
      </c>
      <c r="C413" s="11" t="s">
        <v>2805</v>
      </c>
      <c r="D413" s="13" t="s">
        <v>234</v>
      </c>
      <c r="E413" s="11">
        <v>0</v>
      </c>
      <c r="F413" s="21" t="s">
        <v>1890</v>
      </c>
      <c r="G413" s="11" t="s">
        <v>1889</v>
      </c>
      <c r="H413" s="11" t="s">
        <v>1803</v>
      </c>
      <c r="I413" s="12" t="s">
        <v>1889</v>
      </c>
      <c r="J413" s="11" t="s">
        <v>2805</v>
      </c>
      <c r="K413" s="10"/>
      <c r="L413" s="10"/>
    </row>
    <row r="414" spans="1:12" x14ac:dyDescent="0.25">
      <c r="A414" s="21" t="s">
        <v>1806</v>
      </c>
      <c r="B414" s="12" t="s">
        <v>1807</v>
      </c>
      <c r="C414" s="11" t="s">
        <v>2805</v>
      </c>
      <c r="D414" s="13" t="s">
        <v>2674</v>
      </c>
      <c r="E414" s="11">
        <v>198</v>
      </c>
      <c r="F414" s="21" t="s">
        <v>1808</v>
      </c>
      <c r="G414" s="11" t="s">
        <v>1807</v>
      </c>
      <c r="H414" s="11" t="s">
        <v>1803</v>
      </c>
      <c r="I414" s="12" t="s">
        <v>1807</v>
      </c>
      <c r="J414" s="11" t="s">
        <v>2805</v>
      </c>
      <c r="K414" s="10"/>
      <c r="L414" s="10"/>
    </row>
    <row r="415" spans="1:12" x14ac:dyDescent="0.25">
      <c r="A415" s="21" t="s">
        <v>1809</v>
      </c>
      <c r="B415" s="12" t="s">
        <v>1810</v>
      </c>
      <c r="C415" s="11" t="s">
        <v>2805</v>
      </c>
      <c r="D415" s="13">
        <v>30</v>
      </c>
      <c r="E415" s="11">
        <v>0</v>
      </c>
      <c r="F415" s="21" t="s">
        <v>1811</v>
      </c>
      <c r="G415" s="11" t="s">
        <v>1810</v>
      </c>
      <c r="H415" s="11" t="s">
        <v>1803</v>
      </c>
      <c r="I415" s="12" t="s">
        <v>1810</v>
      </c>
      <c r="J415" s="11" t="s">
        <v>2805</v>
      </c>
      <c r="K415" s="10"/>
      <c r="L415" s="10"/>
    </row>
    <row r="416" spans="1:12" x14ac:dyDescent="0.25">
      <c r="A416" s="21" t="s">
        <v>1812</v>
      </c>
      <c r="B416" s="12" t="s">
        <v>1813</v>
      </c>
      <c r="C416" s="11" t="s">
        <v>2805</v>
      </c>
      <c r="D416" s="13" t="s">
        <v>247</v>
      </c>
      <c r="E416" s="11">
        <v>543</v>
      </c>
      <c r="F416" s="21" t="s">
        <v>1814</v>
      </c>
      <c r="G416" s="11" t="s">
        <v>1813</v>
      </c>
      <c r="H416" s="11" t="s">
        <v>1803</v>
      </c>
      <c r="I416" s="12" t="s">
        <v>1813</v>
      </c>
      <c r="J416" s="11" t="s">
        <v>2805</v>
      </c>
      <c r="K416" s="10"/>
      <c r="L416" s="10"/>
    </row>
    <row r="417" spans="1:12" x14ac:dyDescent="0.25">
      <c r="A417" s="21" t="s">
        <v>1815</v>
      </c>
      <c r="B417" s="12" t="s">
        <v>1816</v>
      </c>
      <c r="C417" s="11" t="s">
        <v>2805</v>
      </c>
      <c r="D417" s="13" t="s">
        <v>2190</v>
      </c>
      <c r="E417" s="11">
        <v>200</v>
      </c>
      <c r="F417" s="21" t="s">
        <v>1817</v>
      </c>
      <c r="G417" s="11" t="s">
        <v>1816</v>
      </c>
      <c r="H417" s="11" t="s">
        <v>1803</v>
      </c>
      <c r="I417" s="12" t="s">
        <v>1816</v>
      </c>
      <c r="J417" s="11" t="s">
        <v>2805</v>
      </c>
      <c r="K417" s="10"/>
      <c r="L417" s="10"/>
    </row>
    <row r="418" spans="1:12" x14ac:dyDescent="0.25">
      <c r="A418" s="21" t="s">
        <v>1818</v>
      </c>
      <c r="B418" s="12" t="s">
        <v>1819</v>
      </c>
      <c r="C418" s="11" t="s">
        <v>2805</v>
      </c>
      <c r="D418" s="13" t="s">
        <v>1820</v>
      </c>
      <c r="E418" s="11" t="s">
        <v>2163</v>
      </c>
      <c r="F418" s="21" t="s">
        <v>1821</v>
      </c>
      <c r="G418" s="11" t="s">
        <v>1819</v>
      </c>
      <c r="H418" s="11" t="s">
        <v>1803</v>
      </c>
      <c r="I418" s="12" t="s">
        <v>1819</v>
      </c>
      <c r="J418" s="11" t="s">
        <v>2805</v>
      </c>
      <c r="K418" s="10"/>
      <c r="L418" s="10"/>
    </row>
    <row r="419" spans="1:12" x14ac:dyDescent="0.25">
      <c r="A419" s="21" t="s">
        <v>1822</v>
      </c>
      <c r="B419" s="12" t="s">
        <v>1823</v>
      </c>
      <c r="C419" s="11" t="s">
        <v>2805</v>
      </c>
      <c r="D419" s="13" t="s">
        <v>1824</v>
      </c>
      <c r="E419" s="11">
        <v>0</v>
      </c>
      <c r="F419" s="21" t="s">
        <v>1825</v>
      </c>
      <c r="G419" s="11" t="s">
        <v>1823</v>
      </c>
      <c r="H419" s="11" t="s">
        <v>1803</v>
      </c>
      <c r="I419" s="12" t="s">
        <v>1823</v>
      </c>
      <c r="J419" s="11" t="s">
        <v>2805</v>
      </c>
      <c r="K419" s="10"/>
      <c r="L419" s="10"/>
    </row>
    <row r="420" spans="1:12" x14ac:dyDescent="0.25">
      <c r="A420" s="21" t="s">
        <v>1826</v>
      </c>
      <c r="B420" s="12" t="s">
        <v>1827</v>
      </c>
      <c r="C420" s="11" t="s">
        <v>2805</v>
      </c>
      <c r="D420" s="13" t="s">
        <v>1828</v>
      </c>
      <c r="E420" s="11">
        <v>0</v>
      </c>
      <c r="F420" s="21" t="s">
        <v>1829</v>
      </c>
      <c r="G420" s="11" t="s">
        <v>1827</v>
      </c>
      <c r="H420" s="11" t="s">
        <v>1803</v>
      </c>
      <c r="I420" s="12" t="s">
        <v>1827</v>
      </c>
      <c r="J420" s="11" t="s">
        <v>2805</v>
      </c>
      <c r="K420" s="10"/>
      <c r="L420" s="10"/>
    </row>
    <row r="421" spans="1:12" x14ac:dyDescent="0.25">
      <c r="A421" s="21" t="s">
        <v>1830</v>
      </c>
      <c r="B421" s="12" t="s">
        <v>1831</v>
      </c>
      <c r="C421" s="11" t="s">
        <v>2805</v>
      </c>
      <c r="D421" s="13" t="s">
        <v>1832</v>
      </c>
      <c r="E421" s="11" t="s">
        <v>2163</v>
      </c>
      <c r="F421" s="21" t="s">
        <v>1833</v>
      </c>
      <c r="G421" s="11" t="s">
        <v>1831</v>
      </c>
      <c r="H421" s="11" t="s">
        <v>1803</v>
      </c>
      <c r="I421" s="12" t="s">
        <v>1831</v>
      </c>
      <c r="J421" s="11" t="s">
        <v>2805</v>
      </c>
      <c r="K421" s="10"/>
      <c r="L421" s="10"/>
    </row>
    <row r="422" spans="1:12" x14ac:dyDescent="0.25">
      <c r="A422" s="21" t="s">
        <v>1891</v>
      </c>
      <c r="B422" s="12" t="s">
        <v>3178</v>
      </c>
      <c r="C422" s="11" t="s">
        <v>2805</v>
      </c>
      <c r="D422" s="13" t="s">
        <v>3154</v>
      </c>
      <c r="E422" s="11" t="s">
        <v>2163</v>
      </c>
      <c r="F422" s="21" t="s">
        <v>1892</v>
      </c>
      <c r="G422" s="11" t="s">
        <v>3178</v>
      </c>
      <c r="H422" s="11" t="s">
        <v>1803</v>
      </c>
      <c r="I422" s="12" t="s">
        <v>3178</v>
      </c>
      <c r="J422" s="11" t="s">
        <v>2805</v>
      </c>
      <c r="K422" s="10"/>
      <c r="L422" s="10"/>
    </row>
    <row r="423" spans="1:12" x14ac:dyDescent="0.25">
      <c r="A423" s="21" t="s">
        <v>1834</v>
      </c>
      <c r="B423" s="12" t="s">
        <v>1835</v>
      </c>
      <c r="C423" s="11" t="s">
        <v>2805</v>
      </c>
      <c r="D423" s="13" t="s">
        <v>1836</v>
      </c>
      <c r="E423" s="11">
        <v>0</v>
      </c>
      <c r="F423" s="21" t="s">
        <v>1837</v>
      </c>
      <c r="G423" s="11" t="s">
        <v>1835</v>
      </c>
      <c r="H423" s="11" t="s">
        <v>1803</v>
      </c>
      <c r="I423" s="12" t="s">
        <v>1835</v>
      </c>
      <c r="J423" s="11" t="s">
        <v>2805</v>
      </c>
      <c r="K423" s="10"/>
      <c r="L423" s="10"/>
    </row>
    <row r="424" spans="1:12" x14ac:dyDescent="0.25">
      <c r="A424" s="21" t="s">
        <v>1838</v>
      </c>
      <c r="B424" s="12" t="s">
        <v>1839</v>
      </c>
      <c r="C424" s="11" t="s">
        <v>2805</v>
      </c>
      <c r="D424" s="13" t="s">
        <v>1832</v>
      </c>
      <c r="E424" s="11" t="s">
        <v>2163</v>
      </c>
      <c r="F424" s="21" t="s">
        <v>1840</v>
      </c>
      <c r="G424" s="11" t="s">
        <v>1839</v>
      </c>
      <c r="H424" s="11" t="s">
        <v>1803</v>
      </c>
      <c r="I424" s="12" t="s">
        <v>1839</v>
      </c>
      <c r="J424" s="11" t="s">
        <v>2805</v>
      </c>
      <c r="K424" s="10"/>
      <c r="L424" s="10"/>
    </row>
    <row r="425" spans="1:12" x14ac:dyDescent="0.25">
      <c r="A425" s="21" t="s">
        <v>1883</v>
      </c>
      <c r="B425" s="12" t="s">
        <v>1884</v>
      </c>
      <c r="C425" s="11" t="s">
        <v>2805</v>
      </c>
      <c r="D425" s="13" t="s">
        <v>1885</v>
      </c>
      <c r="E425" s="11" t="s">
        <v>2163</v>
      </c>
      <c r="F425" s="21" t="s">
        <v>1886</v>
      </c>
      <c r="G425" s="11" t="s">
        <v>1887</v>
      </c>
      <c r="H425" s="11" t="s">
        <v>1803</v>
      </c>
      <c r="I425" s="12" t="s">
        <v>1884</v>
      </c>
      <c r="J425" s="11" t="s">
        <v>2805</v>
      </c>
      <c r="K425" s="10"/>
      <c r="L425" s="10"/>
    </row>
    <row r="426" spans="1:12" x14ac:dyDescent="0.25">
      <c r="A426" s="21" t="s">
        <v>1841</v>
      </c>
      <c r="B426" s="12" t="s">
        <v>1842</v>
      </c>
      <c r="C426" s="11" t="s">
        <v>2805</v>
      </c>
      <c r="D426" s="13">
        <v>64</v>
      </c>
      <c r="E426" s="11">
        <v>0</v>
      </c>
      <c r="F426" s="21" t="s">
        <v>1843</v>
      </c>
      <c r="G426" s="11" t="s">
        <v>1842</v>
      </c>
      <c r="H426" s="11" t="s">
        <v>1803</v>
      </c>
      <c r="I426" s="12" t="s">
        <v>1842</v>
      </c>
      <c r="J426" s="11" t="s">
        <v>2805</v>
      </c>
      <c r="K426" s="10"/>
      <c r="L426" s="10"/>
    </row>
    <row r="427" spans="1:12" x14ac:dyDescent="0.25">
      <c r="A427" s="21" t="s">
        <v>1844</v>
      </c>
      <c r="B427" s="12" t="s">
        <v>1845</v>
      </c>
      <c r="C427" s="11" t="s">
        <v>2805</v>
      </c>
      <c r="D427" s="13" t="s">
        <v>1846</v>
      </c>
      <c r="E427" s="11">
        <v>0</v>
      </c>
      <c r="F427" s="21" t="s">
        <v>1847</v>
      </c>
      <c r="G427" s="11" t="s">
        <v>1848</v>
      </c>
      <c r="H427" s="11" t="s">
        <v>1803</v>
      </c>
      <c r="I427" s="12" t="s">
        <v>1845</v>
      </c>
      <c r="J427" s="11" t="s">
        <v>2805</v>
      </c>
      <c r="K427" s="10"/>
      <c r="L427" s="10"/>
    </row>
    <row r="428" spans="1:12" x14ac:dyDescent="0.25">
      <c r="A428" s="21" t="s">
        <v>1849</v>
      </c>
      <c r="B428" s="12" t="s">
        <v>1850</v>
      </c>
      <c r="C428" s="11" t="s">
        <v>2805</v>
      </c>
      <c r="D428" s="13" t="s">
        <v>1851</v>
      </c>
      <c r="E428" s="11" t="s">
        <v>2163</v>
      </c>
      <c r="F428" s="21" t="s">
        <v>1852</v>
      </c>
      <c r="G428" s="11" t="s">
        <v>1850</v>
      </c>
      <c r="H428" s="11" t="s">
        <v>1803</v>
      </c>
      <c r="I428" s="12" t="s">
        <v>1850</v>
      </c>
      <c r="J428" s="11" t="s">
        <v>2805</v>
      </c>
      <c r="K428" s="10"/>
      <c r="L428" s="10"/>
    </row>
    <row r="429" spans="1:12" x14ac:dyDescent="0.25">
      <c r="A429" s="21" t="s">
        <v>1857</v>
      </c>
      <c r="B429" s="12" t="s">
        <v>1858</v>
      </c>
      <c r="C429" s="11" t="s">
        <v>2805</v>
      </c>
      <c r="D429" s="13" t="s">
        <v>1859</v>
      </c>
      <c r="E429" s="11">
        <v>1418</v>
      </c>
      <c r="F429" s="21" t="s">
        <v>1860</v>
      </c>
      <c r="G429" s="11" t="s">
        <v>1858</v>
      </c>
      <c r="H429" s="11" t="s">
        <v>1803</v>
      </c>
      <c r="I429" s="12" t="s">
        <v>1858</v>
      </c>
      <c r="J429" s="11" t="s">
        <v>2805</v>
      </c>
      <c r="K429" s="10"/>
      <c r="L429" s="10"/>
    </row>
    <row r="430" spans="1:12" x14ac:dyDescent="0.25">
      <c r="A430" s="21" t="s">
        <v>1861</v>
      </c>
      <c r="B430" s="12" t="s">
        <v>1862</v>
      </c>
      <c r="C430" s="11" t="s">
        <v>2805</v>
      </c>
      <c r="D430" s="13" t="s">
        <v>1863</v>
      </c>
      <c r="E430" s="11">
        <v>100</v>
      </c>
      <c r="F430" s="21" t="s">
        <v>1864</v>
      </c>
      <c r="G430" s="11" t="s">
        <v>1862</v>
      </c>
      <c r="H430" s="11" t="s">
        <v>1803</v>
      </c>
      <c r="I430" s="12" t="s">
        <v>1862</v>
      </c>
      <c r="J430" s="11" t="s">
        <v>2805</v>
      </c>
      <c r="K430" s="10"/>
      <c r="L430" s="10"/>
    </row>
    <row r="431" spans="1:12" x14ac:dyDescent="0.25">
      <c r="A431" s="21" t="s">
        <v>1865</v>
      </c>
      <c r="B431" s="12" t="s">
        <v>1866</v>
      </c>
      <c r="C431" s="11" t="s">
        <v>2805</v>
      </c>
      <c r="D431" s="13" t="s">
        <v>1867</v>
      </c>
      <c r="E431" s="11">
        <v>0</v>
      </c>
      <c r="F431" s="21" t="s">
        <v>1868</v>
      </c>
      <c r="G431" s="11" t="s">
        <v>1866</v>
      </c>
      <c r="H431" s="11" t="s">
        <v>1803</v>
      </c>
      <c r="I431" s="12" t="s">
        <v>1866</v>
      </c>
      <c r="J431" s="11" t="s">
        <v>2805</v>
      </c>
      <c r="K431" s="10"/>
      <c r="L431" s="10"/>
    </row>
    <row r="432" spans="1:12" x14ac:dyDescent="0.25">
      <c r="A432" s="21" t="s">
        <v>1802</v>
      </c>
      <c r="B432" s="12" t="s">
        <v>1803</v>
      </c>
      <c r="C432" s="11" t="s">
        <v>2800</v>
      </c>
      <c r="D432" s="13" t="s">
        <v>247</v>
      </c>
      <c r="E432" s="11">
        <v>761</v>
      </c>
      <c r="F432" s="21" t="s">
        <v>1804</v>
      </c>
      <c r="G432" s="11" t="s">
        <v>1805</v>
      </c>
      <c r="H432" s="11" t="s">
        <v>1803</v>
      </c>
      <c r="I432" s="12" t="s">
        <v>1803</v>
      </c>
      <c r="J432" s="11" t="s">
        <v>2800</v>
      </c>
      <c r="K432" s="10"/>
      <c r="L432" s="10"/>
    </row>
    <row r="433" spans="1:12" x14ac:dyDescent="0.25">
      <c r="A433" s="21" t="s">
        <v>1869</v>
      </c>
      <c r="B433" s="12" t="s">
        <v>1275</v>
      </c>
      <c r="C433" s="11" t="s">
        <v>2805</v>
      </c>
      <c r="D433" s="13" t="s">
        <v>1870</v>
      </c>
      <c r="E433" s="11">
        <v>100</v>
      </c>
      <c r="F433" s="21" t="s">
        <v>1871</v>
      </c>
      <c r="G433" s="11" t="s">
        <v>1275</v>
      </c>
      <c r="H433" s="11" t="s">
        <v>1803</v>
      </c>
      <c r="I433" s="12" t="s">
        <v>1275</v>
      </c>
      <c r="J433" s="11" t="s">
        <v>2805</v>
      </c>
      <c r="K433" s="10"/>
      <c r="L433" s="10"/>
    </row>
    <row r="434" spans="1:12" x14ac:dyDescent="0.25">
      <c r="A434" s="21" t="s">
        <v>1853</v>
      </c>
      <c r="B434" s="12" t="s">
        <v>1854</v>
      </c>
      <c r="C434" s="11" t="s">
        <v>2805</v>
      </c>
      <c r="D434" s="13">
        <v>41</v>
      </c>
      <c r="E434" s="11">
        <v>0</v>
      </c>
      <c r="F434" s="21" t="s">
        <v>1855</v>
      </c>
      <c r="G434" s="11" t="s">
        <v>1856</v>
      </c>
      <c r="H434" s="11" t="s">
        <v>1803</v>
      </c>
      <c r="I434" s="12" t="s">
        <v>1854</v>
      </c>
      <c r="J434" s="11" t="s">
        <v>2805</v>
      </c>
      <c r="K434" s="10"/>
      <c r="L434" s="10"/>
    </row>
    <row r="435" spans="1:12" x14ac:dyDescent="0.25">
      <c r="A435" s="21" t="s">
        <v>1872</v>
      </c>
      <c r="B435" s="12" t="s">
        <v>1873</v>
      </c>
      <c r="C435" s="11" t="s">
        <v>2805</v>
      </c>
      <c r="D435" s="13" t="s">
        <v>1874</v>
      </c>
      <c r="E435" s="11">
        <v>375</v>
      </c>
      <c r="F435" s="21" t="s">
        <v>1875</v>
      </c>
      <c r="G435" s="11" t="s">
        <v>1873</v>
      </c>
      <c r="H435" s="11" t="s">
        <v>1803</v>
      </c>
      <c r="I435" s="12" t="s">
        <v>1873</v>
      </c>
      <c r="J435" s="11" t="s">
        <v>2805</v>
      </c>
      <c r="K435" s="10"/>
      <c r="L435" s="10"/>
    </row>
    <row r="436" spans="1:12" x14ac:dyDescent="0.25">
      <c r="A436" s="21" t="s">
        <v>1876</v>
      </c>
      <c r="B436" s="12" t="s">
        <v>1877</v>
      </c>
      <c r="C436" s="11" t="s">
        <v>2805</v>
      </c>
      <c r="D436" s="13" t="s">
        <v>1878</v>
      </c>
      <c r="E436" s="11">
        <v>410</v>
      </c>
      <c r="F436" s="21" t="s">
        <v>1879</v>
      </c>
      <c r="G436" s="11" t="s">
        <v>1877</v>
      </c>
      <c r="H436" s="11" t="s">
        <v>1803</v>
      </c>
      <c r="I436" s="12" t="s">
        <v>1877</v>
      </c>
      <c r="J436" s="11" t="s">
        <v>2805</v>
      </c>
      <c r="K436" s="10"/>
      <c r="L436" s="10"/>
    </row>
    <row r="437" spans="1:12" x14ac:dyDescent="0.25">
      <c r="A437" s="21" t="s">
        <v>1880</v>
      </c>
      <c r="B437" s="12" t="s">
        <v>1881</v>
      </c>
      <c r="C437" s="11" t="s">
        <v>2805</v>
      </c>
      <c r="D437" s="13" t="s">
        <v>2648</v>
      </c>
      <c r="E437" s="11">
        <v>785</v>
      </c>
      <c r="F437" s="21" t="s">
        <v>1882</v>
      </c>
      <c r="G437" s="11" t="s">
        <v>1881</v>
      </c>
      <c r="H437" s="11" t="s">
        <v>1803</v>
      </c>
      <c r="I437" s="12" t="s">
        <v>1881</v>
      </c>
      <c r="J437" s="11" t="s">
        <v>2805</v>
      </c>
      <c r="K437" s="10"/>
      <c r="L437" s="10"/>
    </row>
    <row r="438" spans="1:12" x14ac:dyDescent="0.25">
      <c r="A438" s="21" t="s">
        <v>3222</v>
      </c>
      <c r="B438" s="12" t="s">
        <v>3223</v>
      </c>
      <c r="C438" s="11" t="s">
        <v>2805</v>
      </c>
      <c r="D438" s="13">
        <v>13</v>
      </c>
      <c r="E438" s="11">
        <v>0</v>
      </c>
      <c r="F438" s="21" t="s">
        <v>3224</v>
      </c>
      <c r="G438" s="11" t="s">
        <v>3223</v>
      </c>
      <c r="H438" s="11" t="s">
        <v>3221</v>
      </c>
      <c r="I438" s="12" t="s">
        <v>3223</v>
      </c>
      <c r="J438" s="11" t="s">
        <v>2805</v>
      </c>
      <c r="K438" s="10"/>
      <c r="L438" s="10"/>
    </row>
    <row r="439" spans="1:12" x14ac:dyDescent="0.25">
      <c r="A439" s="21" t="s">
        <v>3225</v>
      </c>
      <c r="B439" s="12" t="s">
        <v>3226</v>
      </c>
      <c r="C439" s="11" t="s">
        <v>2805</v>
      </c>
      <c r="D439" s="13" t="s">
        <v>4054</v>
      </c>
      <c r="E439" s="11">
        <v>580</v>
      </c>
      <c r="F439" s="21" t="s">
        <v>3227</v>
      </c>
      <c r="G439" s="11" t="s">
        <v>3226</v>
      </c>
      <c r="H439" s="11" t="s">
        <v>3221</v>
      </c>
      <c r="I439" s="12" t="s">
        <v>3226</v>
      </c>
      <c r="J439" s="11" t="s">
        <v>2805</v>
      </c>
      <c r="K439" s="10"/>
      <c r="L439" s="10"/>
    </row>
    <row r="440" spans="1:12" x14ac:dyDescent="0.25">
      <c r="A440" s="21" t="s">
        <v>3228</v>
      </c>
      <c r="B440" s="12" t="s">
        <v>3229</v>
      </c>
      <c r="C440" s="11" t="s">
        <v>2805</v>
      </c>
      <c r="D440" s="13" t="s">
        <v>3230</v>
      </c>
      <c r="E440" s="11" t="s">
        <v>2163</v>
      </c>
      <c r="F440" s="21" t="s">
        <v>3231</v>
      </c>
      <c r="G440" s="11" t="s">
        <v>3229</v>
      </c>
      <c r="H440" s="11" t="s">
        <v>3221</v>
      </c>
      <c r="I440" s="12" t="s">
        <v>3229</v>
      </c>
      <c r="J440" s="11" t="s">
        <v>2805</v>
      </c>
      <c r="K440" s="10"/>
      <c r="L440" s="10"/>
    </row>
    <row r="441" spans="1:12" x14ac:dyDescent="0.25">
      <c r="A441" s="21" t="s">
        <v>3232</v>
      </c>
      <c r="B441" s="12" t="s">
        <v>3233</v>
      </c>
      <c r="C441" s="11" t="s">
        <v>2805</v>
      </c>
      <c r="D441" s="13" t="s">
        <v>893</v>
      </c>
      <c r="E441" s="11">
        <v>1000</v>
      </c>
      <c r="F441" s="21" t="s">
        <v>3234</v>
      </c>
      <c r="G441" s="11" t="s">
        <v>3233</v>
      </c>
      <c r="H441" s="11" t="s">
        <v>3221</v>
      </c>
      <c r="I441" s="12" t="s">
        <v>3233</v>
      </c>
      <c r="J441" s="11" t="s">
        <v>2805</v>
      </c>
      <c r="K441" s="10"/>
      <c r="L441" s="10"/>
    </row>
    <row r="442" spans="1:12" x14ac:dyDescent="0.25">
      <c r="A442" s="21" t="s">
        <v>3235</v>
      </c>
      <c r="B442" s="12" t="s">
        <v>3236</v>
      </c>
      <c r="C442" s="11" t="s">
        <v>2805</v>
      </c>
      <c r="D442" s="13" t="s">
        <v>3237</v>
      </c>
      <c r="E442" s="11">
        <v>490</v>
      </c>
      <c r="F442" s="21" t="s">
        <v>3238</v>
      </c>
      <c r="G442" s="11" t="s">
        <v>3236</v>
      </c>
      <c r="H442" s="11" t="s">
        <v>3221</v>
      </c>
      <c r="I442" s="12" t="s">
        <v>3236</v>
      </c>
      <c r="J442" s="11" t="s">
        <v>2805</v>
      </c>
      <c r="K442" s="10"/>
      <c r="L442" s="10"/>
    </row>
    <row r="443" spans="1:12" x14ac:dyDescent="0.25">
      <c r="A443" s="21" t="s">
        <v>3239</v>
      </c>
      <c r="B443" s="12" t="s">
        <v>3240</v>
      </c>
      <c r="C443" s="11" t="s">
        <v>2805</v>
      </c>
      <c r="D443" s="13" t="s">
        <v>3241</v>
      </c>
      <c r="E443" s="11">
        <v>150</v>
      </c>
      <c r="F443" s="21" t="s">
        <v>3242</v>
      </c>
      <c r="G443" s="11" t="s">
        <v>3240</v>
      </c>
      <c r="H443" s="11" t="s">
        <v>3221</v>
      </c>
      <c r="I443" s="12" t="s">
        <v>3240</v>
      </c>
      <c r="J443" s="11" t="s">
        <v>2805</v>
      </c>
      <c r="K443" s="10"/>
      <c r="L443" s="10"/>
    </row>
    <row r="444" spans="1:12" x14ac:dyDescent="0.25">
      <c r="A444" s="21" t="s">
        <v>3277</v>
      </c>
      <c r="B444" s="12" t="s">
        <v>3278</v>
      </c>
      <c r="C444" s="11" t="s">
        <v>2805</v>
      </c>
      <c r="D444" s="13" t="s">
        <v>3279</v>
      </c>
      <c r="E444" s="11" t="s">
        <v>2163</v>
      </c>
      <c r="F444" s="21" t="s">
        <v>3280</v>
      </c>
      <c r="G444" s="11" t="s">
        <v>3281</v>
      </c>
      <c r="H444" s="11" t="s">
        <v>3221</v>
      </c>
      <c r="I444" s="12" t="s">
        <v>3278</v>
      </c>
      <c r="J444" s="11" t="s">
        <v>2805</v>
      </c>
      <c r="K444" s="10"/>
      <c r="L444" s="10"/>
    </row>
    <row r="445" spans="1:12" x14ac:dyDescent="0.25">
      <c r="A445" s="21" t="s">
        <v>3243</v>
      </c>
      <c r="B445" s="12" t="s">
        <v>3244</v>
      </c>
      <c r="C445" s="11" t="s">
        <v>2805</v>
      </c>
      <c r="D445" s="13" t="s">
        <v>3245</v>
      </c>
      <c r="E445" s="11">
        <v>0</v>
      </c>
      <c r="F445" s="21" t="s">
        <v>3246</v>
      </c>
      <c r="G445" s="11" t="s">
        <v>3244</v>
      </c>
      <c r="H445" s="11" t="s">
        <v>3221</v>
      </c>
      <c r="I445" s="12" t="s">
        <v>3244</v>
      </c>
      <c r="J445" s="11" t="s">
        <v>2805</v>
      </c>
      <c r="K445" s="10"/>
      <c r="L445" s="10"/>
    </row>
    <row r="446" spans="1:12" x14ac:dyDescent="0.25">
      <c r="A446" s="21" t="s">
        <v>3247</v>
      </c>
      <c r="B446" s="12" t="s">
        <v>3248</v>
      </c>
      <c r="C446" s="11" t="s">
        <v>2805</v>
      </c>
      <c r="D446" s="13" t="s">
        <v>247</v>
      </c>
      <c r="E446" s="11">
        <v>100</v>
      </c>
      <c r="F446" s="21" t="s">
        <v>3249</v>
      </c>
      <c r="G446" s="11" t="s">
        <v>3250</v>
      </c>
      <c r="H446" s="11" t="s">
        <v>3221</v>
      </c>
      <c r="I446" s="12" t="s">
        <v>3248</v>
      </c>
      <c r="J446" s="11" t="s">
        <v>2805</v>
      </c>
      <c r="K446" s="10"/>
      <c r="L446" s="10"/>
    </row>
    <row r="447" spans="1:12" x14ac:dyDescent="0.25">
      <c r="A447" s="21" t="s">
        <v>3254</v>
      </c>
      <c r="B447" s="12" t="s">
        <v>3255</v>
      </c>
      <c r="C447" s="11" t="s">
        <v>2805</v>
      </c>
      <c r="D447" s="13" t="s">
        <v>2901</v>
      </c>
      <c r="E447" s="11">
        <v>268</v>
      </c>
      <c r="F447" s="21" t="s">
        <v>3256</v>
      </c>
      <c r="G447" s="11" t="s">
        <v>3257</v>
      </c>
      <c r="H447" s="11" t="s">
        <v>3221</v>
      </c>
      <c r="I447" s="12" t="s">
        <v>3255</v>
      </c>
      <c r="J447" s="11" t="s">
        <v>2805</v>
      </c>
      <c r="K447" s="10"/>
      <c r="L447" s="10"/>
    </row>
    <row r="448" spans="1:12" x14ac:dyDescent="0.25">
      <c r="A448" s="21" t="s">
        <v>3251</v>
      </c>
      <c r="B448" s="12" t="s">
        <v>3252</v>
      </c>
      <c r="C448" s="11" t="s">
        <v>2805</v>
      </c>
      <c r="D448" s="13" t="s">
        <v>247</v>
      </c>
      <c r="E448" s="11">
        <v>304</v>
      </c>
      <c r="F448" s="21" t="s">
        <v>3253</v>
      </c>
      <c r="G448" s="11" t="s">
        <v>3252</v>
      </c>
      <c r="H448" s="11" t="s">
        <v>3221</v>
      </c>
      <c r="I448" s="12" t="s">
        <v>3252</v>
      </c>
      <c r="J448" s="11" t="s">
        <v>2805</v>
      </c>
      <c r="K448" s="10"/>
      <c r="L448" s="10"/>
    </row>
    <row r="449" spans="1:12" x14ac:dyDescent="0.25">
      <c r="A449" s="21" t="s">
        <v>3322</v>
      </c>
      <c r="B449" s="12" t="s">
        <v>3323</v>
      </c>
      <c r="C449" s="11" t="s">
        <v>2805</v>
      </c>
      <c r="D449" s="13" t="s">
        <v>3324</v>
      </c>
      <c r="E449" s="11">
        <v>5101</v>
      </c>
      <c r="F449" s="21" t="s">
        <v>3325</v>
      </c>
      <c r="G449" s="11" t="s">
        <v>3323</v>
      </c>
      <c r="H449" s="11" t="s">
        <v>3221</v>
      </c>
      <c r="I449" s="12" t="s">
        <v>3323</v>
      </c>
      <c r="J449" s="11" t="s">
        <v>2805</v>
      </c>
      <c r="K449" s="10"/>
      <c r="L449" s="10"/>
    </row>
    <row r="450" spans="1:12" x14ac:dyDescent="0.25">
      <c r="A450" s="21" t="s">
        <v>3258</v>
      </c>
      <c r="B450" s="12" t="s">
        <v>3259</v>
      </c>
      <c r="C450" s="11" t="s">
        <v>2805</v>
      </c>
      <c r="D450" s="13" t="s">
        <v>3260</v>
      </c>
      <c r="E450" s="11" t="s">
        <v>2163</v>
      </c>
      <c r="F450" s="21" t="s">
        <v>3261</v>
      </c>
      <c r="G450" s="11" t="s">
        <v>3259</v>
      </c>
      <c r="H450" s="11" t="s">
        <v>3221</v>
      </c>
      <c r="I450" s="12" t="s">
        <v>3259</v>
      </c>
      <c r="J450" s="11" t="s">
        <v>2805</v>
      </c>
      <c r="K450" s="10"/>
      <c r="L450" s="10"/>
    </row>
    <row r="451" spans="1:12" x14ac:dyDescent="0.25">
      <c r="A451" s="21" t="s">
        <v>3262</v>
      </c>
      <c r="B451" s="12" t="s">
        <v>3263</v>
      </c>
      <c r="C451" s="11" t="s">
        <v>2805</v>
      </c>
      <c r="D451" s="13" t="s">
        <v>1779</v>
      </c>
      <c r="E451" s="11">
        <v>490</v>
      </c>
      <c r="F451" s="21" t="s">
        <v>3264</v>
      </c>
      <c r="G451" s="11" t="s">
        <v>3265</v>
      </c>
      <c r="H451" s="11" t="s">
        <v>3221</v>
      </c>
      <c r="I451" s="12" t="s">
        <v>3263</v>
      </c>
      <c r="J451" s="11" t="s">
        <v>2805</v>
      </c>
      <c r="K451" s="10"/>
      <c r="L451" s="10"/>
    </row>
    <row r="452" spans="1:12" x14ac:dyDescent="0.25">
      <c r="A452" s="21" t="s">
        <v>3266</v>
      </c>
      <c r="B452" s="12" t="s">
        <v>3267</v>
      </c>
      <c r="C452" s="11" t="s">
        <v>2805</v>
      </c>
      <c r="D452" s="13" t="s">
        <v>2674</v>
      </c>
      <c r="E452" s="11">
        <v>502</v>
      </c>
      <c r="F452" s="21" t="s">
        <v>3268</v>
      </c>
      <c r="G452" s="11" t="s">
        <v>3269</v>
      </c>
      <c r="H452" s="11" t="s">
        <v>3221</v>
      </c>
      <c r="I452" s="12" t="s">
        <v>3267</v>
      </c>
      <c r="J452" s="11" t="s">
        <v>2805</v>
      </c>
      <c r="K452" s="10"/>
      <c r="L452" s="10"/>
    </row>
    <row r="453" spans="1:12" x14ac:dyDescent="0.25">
      <c r="A453" s="21" t="s">
        <v>3270</v>
      </c>
      <c r="B453" s="12" t="s">
        <v>3271</v>
      </c>
      <c r="C453" s="11" t="s">
        <v>2805</v>
      </c>
      <c r="D453" s="13" t="s">
        <v>247</v>
      </c>
      <c r="E453" s="11">
        <v>0</v>
      </c>
      <c r="F453" s="21" t="s">
        <v>3272</v>
      </c>
      <c r="G453" s="11" t="s">
        <v>3273</v>
      </c>
      <c r="H453" s="11" t="s">
        <v>3221</v>
      </c>
      <c r="I453" s="12" t="s">
        <v>3271</v>
      </c>
      <c r="J453" s="11" t="s">
        <v>2805</v>
      </c>
      <c r="K453" s="10"/>
      <c r="L453" s="10"/>
    </row>
    <row r="454" spans="1:12" x14ac:dyDescent="0.25">
      <c r="A454" s="21" t="s">
        <v>3274</v>
      </c>
      <c r="B454" s="12" t="s">
        <v>3275</v>
      </c>
      <c r="C454" s="11" t="s">
        <v>2805</v>
      </c>
      <c r="D454" s="13" t="s">
        <v>4776</v>
      </c>
      <c r="E454" s="11">
        <v>374</v>
      </c>
      <c r="F454" s="21" t="s">
        <v>3276</v>
      </c>
      <c r="G454" s="11" t="s">
        <v>3275</v>
      </c>
      <c r="H454" s="11" t="s">
        <v>3221</v>
      </c>
      <c r="I454" s="12" t="s">
        <v>3275</v>
      </c>
      <c r="J454" s="11" t="s">
        <v>2805</v>
      </c>
      <c r="K454" s="10"/>
      <c r="L454" s="10"/>
    </row>
    <row r="455" spans="1:12" x14ac:dyDescent="0.25">
      <c r="A455" s="21" t="s">
        <v>654</v>
      </c>
      <c r="B455" s="12" t="s">
        <v>655</v>
      </c>
      <c r="C455" s="11" t="s">
        <v>2805</v>
      </c>
      <c r="D455" s="13" t="s">
        <v>656</v>
      </c>
      <c r="E455" s="11">
        <v>0</v>
      </c>
      <c r="F455" s="21" t="s">
        <v>657</v>
      </c>
      <c r="G455" s="11" t="s">
        <v>655</v>
      </c>
      <c r="H455" s="11" t="s">
        <v>3221</v>
      </c>
      <c r="I455" s="12" t="s">
        <v>655</v>
      </c>
      <c r="J455" s="11" t="s">
        <v>2805</v>
      </c>
      <c r="K455" s="10"/>
      <c r="L455" s="10"/>
    </row>
    <row r="456" spans="1:12" x14ac:dyDescent="0.25">
      <c r="A456" s="21" t="s">
        <v>3282</v>
      </c>
      <c r="B456" s="12" t="s">
        <v>3283</v>
      </c>
      <c r="C456" s="11" t="s">
        <v>2805</v>
      </c>
      <c r="D456" s="13" t="s">
        <v>3284</v>
      </c>
      <c r="E456" s="11">
        <v>147</v>
      </c>
      <c r="F456" s="21" t="s">
        <v>653</v>
      </c>
      <c r="G456" s="11" t="s">
        <v>3283</v>
      </c>
      <c r="H456" s="11" t="s">
        <v>3221</v>
      </c>
      <c r="I456" s="12" t="s">
        <v>3283</v>
      </c>
      <c r="J456" s="11" t="s">
        <v>2805</v>
      </c>
      <c r="K456" s="10"/>
      <c r="L456" s="10"/>
    </row>
    <row r="457" spans="1:12" x14ac:dyDescent="0.25">
      <c r="A457" s="21" t="s">
        <v>668</v>
      </c>
      <c r="B457" s="12" t="s">
        <v>669</v>
      </c>
      <c r="C457" s="11" t="s">
        <v>2805</v>
      </c>
      <c r="D457" s="13" t="s">
        <v>2226</v>
      </c>
      <c r="E457" s="11">
        <v>1007</v>
      </c>
      <c r="F457" s="21" t="s">
        <v>670</v>
      </c>
      <c r="G457" s="11" t="s">
        <v>669</v>
      </c>
      <c r="H457" s="11" t="s">
        <v>3221</v>
      </c>
      <c r="I457" s="12" t="s">
        <v>669</v>
      </c>
      <c r="J457" s="11" t="s">
        <v>2805</v>
      </c>
      <c r="K457" s="10"/>
      <c r="L457" s="10"/>
    </row>
    <row r="458" spans="1:12" x14ac:dyDescent="0.25">
      <c r="A458" s="21" t="s">
        <v>658</v>
      </c>
      <c r="B458" s="12" t="s">
        <v>659</v>
      </c>
      <c r="C458" s="11" t="s">
        <v>2805</v>
      </c>
      <c r="D458" s="13" t="s">
        <v>255</v>
      </c>
      <c r="E458" s="11">
        <v>0</v>
      </c>
      <c r="F458" s="21" t="s">
        <v>660</v>
      </c>
      <c r="G458" s="11" t="s">
        <v>659</v>
      </c>
      <c r="H458" s="11" t="s">
        <v>3221</v>
      </c>
      <c r="I458" s="12" t="s">
        <v>659</v>
      </c>
      <c r="J458" s="11" t="s">
        <v>2805</v>
      </c>
      <c r="K458" s="10"/>
      <c r="L458" s="10"/>
    </row>
    <row r="459" spans="1:12" x14ac:dyDescent="0.25">
      <c r="A459" s="21" t="s">
        <v>661</v>
      </c>
      <c r="B459" s="12" t="s">
        <v>662</v>
      </c>
      <c r="C459" s="11" t="s">
        <v>2805</v>
      </c>
      <c r="D459" s="13" t="s">
        <v>1668</v>
      </c>
      <c r="E459" s="11">
        <v>1031</v>
      </c>
      <c r="F459" s="21" t="s">
        <v>663</v>
      </c>
      <c r="G459" s="11" t="s">
        <v>662</v>
      </c>
      <c r="H459" s="11" t="s">
        <v>3221</v>
      </c>
      <c r="I459" s="12" t="s">
        <v>662</v>
      </c>
      <c r="J459" s="11" t="s">
        <v>2805</v>
      </c>
      <c r="K459" s="10"/>
      <c r="L459" s="10"/>
    </row>
    <row r="460" spans="1:12" x14ac:dyDescent="0.25">
      <c r="A460" s="21" t="s">
        <v>664</v>
      </c>
      <c r="B460" s="12" t="s">
        <v>665</v>
      </c>
      <c r="C460" s="11" t="s">
        <v>2805</v>
      </c>
      <c r="D460" s="13" t="s">
        <v>666</v>
      </c>
      <c r="E460" s="11">
        <v>100</v>
      </c>
      <c r="F460" s="21" t="s">
        <v>667</v>
      </c>
      <c r="G460" s="11" t="s">
        <v>665</v>
      </c>
      <c r="H460" s="11" t="s">
        <v>3221</v>
      </c>
      <c r="I460" s="12" t="s">
        <v>665</v>
      </c>
      <c r="J460" s="11" t="s">
        <v>2805</v>
      </c>
      <c r="K460" s="10"/>
      <c r="L460" s="10"/>
    </row>
    <row r="461" spans="1:12" x14ac:dyDescent="0.25">
      <c r="A461" s="21" t="s">
        <v>671</v>
      </c>
      <c r="B461" s="12" t="s">
        <v>672</v>
      </c>
      <c r="C461" s="11" t="s">
        <v>2805</v>
      </c>
      <c r="D461" s="13" t="s">
        <v>1779</v>
      </c>
      <c r="E461" s="11">
        <v>198</v>
      </c>
      <c r="F461" s="21" t="s">
        <v>673</v>
      </c>
      <c r="G461" s="11" t="s">
        <v>672</v>
      </c>
      <c r="H461" s="11" t="s">
        <v>3221</v>
      </c>
      <c r="I461" s="12" t="s">
        <v>672</v>
      </c>
      <c r="J461" s="11" t="s">
        <v>2805</v>
      </c>
      <c r="K461" s="10"/>
      <c r="L461" s="10"/>
    </row>
    <row r="462" spans="1:12" x14ac:dyDescent="0.25">
      <c r="A462" s="21" t="s">
        <v>3285</v>
      </c>
      <c r="B462" s="12" t="s">
        <v>3286</v>
      </c>
      <c r="C462" s="11" t="s">
        <v>2805</v>
      </c>
      <c r="D462" s="13" t="s">
        <v>247</v>
      </c>
      <c r="E462" s="11">
        <v>100</v>
      </c>
      <c r="F462" s="21" t="s">
        <v>3287</v>
      </c>
      <c r="G462" s="11" t="s">
        <v>3286</v>
      </c>
      <c r="H462" s="11" t="s">
        <v>3221</v>
      </c>
      <c r="I462" s="12" t="s">
        <v>3286</v>
      </c>
      <c r="J462" s="11" t="s">
        <v>2805</v>
      </c>
      <c r="K462" s="10"/>
      <c r="L462" s="10"/>
    </row>
    <row r="463" spans="1:12" x14ac:dyDescent="0.25">
      <c r="A463" s="21" t="s">
        <v>3288</v>
      </c>
      <c r="B463" s="12" t="s">
        <v>3289</v>
      </c>
      <c r="C463" s="11" t="s">
        <v>2805</v>
      </c>
      <c r="D463" s="13" t="s">
        <v>2262</v>
      </c>
      <c r="E463" s="11">
        <v>100</v>
      </c>
      <c r="F463" s="21" t="s">
        <v>3290</v>
      </c>
      <c r="G463" s="11" t="s">
        <v>3289</v>
      </c>
      <c r="H463" s="11" t="s">
        <v>3221</v>
      </c>
      <c r="I463" s="12" t="s">
        <v>3289</v>
      </c>
      <c r="J463" s="11" t="s">
        <v>2805</v>
      </c>
      <c r="K463" s="10"/>
      <c r="L463" s="10"/>
    </row>
    <row r="464" spans="1:12" x14ac:dyDescent="0.25">
      <c r="A464" s="21" t="s">
        <v>3291</v>
      </c>
      <c r="B464" s="12" t="s">
        <v>3292</v>
      </c>
      <c r="C464" s="11" t="s">
        <v>2805</v>
      </c>
      <c r="D464" s="13" t="s">
        <v>696</v>
      </c>
      <c r="E464" s="11">
        <v>391</v>
      </c>
      <c r="F464" s="21" t="s">
        <v>697</v>
      </c>
      <c r="G464" s="11" t="s">
        <v>3292</v>
      </c>
      <c r="H464" s="11" t="s">
        <v>3221</v>
      </c>
      <c r="I464" s="12" t="s">
        <v>3292</v>
      </c>
      <c r="J464" s="11" t="s">
        <v>2805</v>
      </c>
      <c r="K464" s="10"/>
      <c r="L464" s="10"/>
    </row>
    <row r="465" spans="1:12" x14ac:dyDescent="0.25">
      <c r="A465" s="21" t="s">
        <v>698</v>
      </c>
      <c r="B465" s="12" t="s">
        <v>699</v>
      </c>
      <c r="C465" s="11" t="s">
        <v>2805</v>
      </c>
      <c r="D465" s="13" t="s">
        <v>2262</v>
      </c>
      <c r="E465" s="11">
        <v>358</v>
      </c>
      <c r="F465" s="21" t="s">
        <v>700</v>
      </c>
      <c r="G465" s="11" t="s">
        <v>699</v>
      </c>
      <c r="H465" s="11" t="s">
        <v>3221</v>
      </c>
      <c r="I465" s="12" t="s">
        <v>699</v>
      </c>
      <c r="J465" s="11" t="s">
        <v>2805</v>
      </c>
      <c r="K465" s="10"/>
      <c r="L465" s="10"/>
    </row>
    <row r="466" spans="1:12" x14ac:dyDescent="0.25">
      <c r="A466" s="21" t="s">
        <v>701</v>
      </c>
      <c r="B466" s="12" t="s">
        <v>702</v>
      </c>
      <c r="C466" s="11" t="s">
        <v>2805</v>
      </c>
      <c r="D466" s="13" t="s">
        <v>4438</v>
      </c>
      <c r="E466" s="11">
        <v>100</v>
      </c>
      <c r="F466" s="21" t="s">
        <v>703</v>
      </c>
      <c r="G466" s="11" t="s">
        <v>704</v>
      </c>
      <c r="H466" s="11" t="s">
        <v>3221</v>
      </c>
      <c r="I466" s="12" t="s">
        <v>702</v>
      </c>
      <c r="J466" s="11" t="s">
        <v>2805</v>
      </c>
      <c r="K466" s="10"/>
      <c r="L466" s="10"/>
    </row>
    <row r="467" spans="1:12" x14ac:dyDescent="0.25">
      <c r="A467" s="21" t="s">
        <v>705</v>
      </c>
      <c r="B467" s="12" t="s">
        <v>706</v>
      </c>
      <c r="C467" s="11" t="s">
        <v>2805</v>
      </c>
      <c r="D467" s="13" t="s">
        <v>255</v>
      </c>
      <c r="E467" s="11">
        <v>100</v>
      </c>
      <c r="F467" s="21" t="s">
        <v>707</v>
      </c>
      <c r="G467" s="11" t="s">
        <v>708</v>
      </c>
      <c r="H467" s="11" t="s">
        <v>3221</v>
      </c>
      <c r="I467" s="12" t="s">
        <v>706</v>
      </c>
      <c r="J467" s="11" t="s">
        <v>2805</v>
      </c>
      <c r="K467" s="10"/>
      <c r="L467" s="10"/>
    </row>
    <row r="468" spans="1:12" x14ac:dyDescent="0.25">
      <c r="A468" s="21" t="s">
        <v>709</v>
      </c>
      <c r="B468" s="12" t="s">
        <v>1544</v>
      </c>
      <c r="C468" s="11" t="s">
        <v>2800</v>
      </c>
      <c r="D468" s="13" t="s">
        <v>2248</v>
      </c>
      <c r="E468" s="11">
        <v>601</v>
      </c>
      <c r="F468" s="21" t="s">
        <v>1545</v>
      </c>
      <c r="G468" s="11" t="s">
        <v>1546</v>
      </c>
      <c r="H468" s="11" t="s">
        <v>3221</v>
      </c>
      <c r="I468" s="12" t="s">
        <v>1544</v>
      </c>
      <c r="J468" s="11" t="s">
        <v>2800</v>
      </c>
      <c r="K468" s="10"/>
      <c r="L468" s="10"/>
    </row>
    <row r="469" spans="1:12" x14ac:dyDescent="0.25">
      <c r="A469" s="21" t="s">
        <v>3293</v>
      </c>
      <c r="B469" s="12" t="s">
        <v>3294</v>
      </c>
      <c r="C469" s="11" t="s">
        <v>2805</v>
      </c>
      <c r="D469" s="13" t="s">
        <v>1483</v>
      </c>
      <c r="E469" s="11">
        <v>135</v>
      </c>
      <c r="F469" s="21" t="s">
        <v>3295</v>
      </c>
      <c r="G469" s="11" t="s">
        <v>3294</v>
      </c>
      <c r="H469" s="11" t="s">
        <v>3221</v>
      </c>
      <c r="I469" s="12" t="s">
        <v>3294</v>
      </c>
      <c r="J469" s="11" t="s">
        <v>2805</v>
      </c>
      <c r="K469" s="10"/>
      <c r="L469" s="10"/>
    </row>
    <row r="470" spans="1:12" x14ac:dyDescent="0.25">
      <c r="A470" s="21" t="s">
        <v>3296</v>
      </c>
      <c r="B470" s="12" t="s">
        <v>3297</v>
      </c>
      <c r="C470" s="11" t="s">
        <v>2805</v>
      </c>
      <c r="D470" s="13" t="s">
        <v>3298</v>
      </c>
      <c r="E470" s="11">
        <v>0</v>
      </c>
      <c r="F470" s="21" t="s">
        <v>3299</v>
      </c>
      <c r="G470" s="11" t="s">
        <v>3297</v>
      </c>
      <c r="H470" s="11" t="s">
        <v>3221</v>
      </c>
      <c r="I470" s="12" t="s">
        <v>3297</v>
      </c>
      <c r="J470" s="11" t="s">
        <v>2805</v>
      </c>
      <c r="K470" s="10"/>
      <c r="L470" s="10"/>
    </row>
    <row r="471" spans="1:12" x14ac:dyDescent="0.25">
      <c r="A471" s="21" t="s">
        <v>3300</v>
      </c>
      <c r="B471" s="12" t="s">
        <v>3301</v>
      </c>
      <c r="C471" s="11" t="s">
        <v>2805</v>
      </c>
      <c r="D471" s="13" t="s">
        <v>1908</v>
      </c>
      <c r="E471" s="11">
        <v>575</v>
      </c>
      <c r="F471" s="21" t="s">
        <v>3302</v>
      </c>
      <c r="G471" s="11" t="s">
        <v>3301</v>
      </c>
      <c r="H471" s="11" t="s">
        <v>3221</v>
      </c>
      <c r="I471" s="12" t="s">
        <v>3301</v>
      </c>
      <c r="J471" s="11" t="s">
        <v>2805</v>
      </c>
      <c r="K471" s="10"/>
      <c r="L471" s="10"/>
    </row>
    <row r="472" spans="1:12" x14ac:dyDescent="0.25">
      <c r="A472" s="21" t="s">
        <v>3218</v>
      </c>
      <c r="B472" s="12" t="s">
        <v>3219</v>
      </c>
      <c r="C472" s="11" t="s">
        <v>2800</v>
      </c>
      <c r="D472" s="13" t="s">
        <v>4655</v>
      </c>
      <c r="E472" s="11">
        <v>102</v>
      </c>
      <c r="F472" s="21" t="s">
        <v>3220</v>
      </c>
      <c r="G472" s="11" t="s">
        <v>3219</v>
      </c>
      <c r="H472" s="11" t="s">
        <v>3221</v>
      </c>
      <c r="I472" s="12" t="s">
        <v>3219</v>
      </c>
      <c r="J472" s="11" t="s">
        <v>2800</v>
      </c>
      <c r="K472" s="10"/>
      <c r="L472" s="10"/>
    </row>
    <row r="473" spans="1:12" x14ac:dyDescent="0.25">
      <c r="A473" s="21" t="s">
        <v>3303</v>
      </c>
      <c r="B473" s="12" t="s">
        <v>3304</v>
      </c>
      <c r="C473" s="11" t="s">
        <v>2805</v>
      </c>
      <c r="D473" s="13">
        <v>6</v>
      </c>
      <c r="E473" s="11">
        <v>0</v>
      </c>
      <c r="F473" s="21" t="s">
        <v>3305</v>
      </c>
      <c r="G473" s="11" t="s">
        <v>3304</v>
      </c>
      <c r="H473" s="11" t="s">
        <v>3221</v>
      </c>
      <c r="I473" s="12" t="s">
        <v>3304</v>
      </c>
      <c r="J473" s="11" t="s">
        <v>2805</v>
      </c>
      <c r="K473" s="10"/>
      <c r="L473" s="10"/>
    </row>
    <row r="474" spans="1:12" x14ac:dyDescent="0.25">
      <c r="A474" s="21" t="s">
        <v>3306</v>
      </c>
      <c r="B474" s="12" t="s">
        <v>3307</v>
      </c>
      <c r="C474" s="11" t="s">
        <v>2805</v>
      </c>
      <c r="D474" s="13" t="s">
        <v>3308</v>
      </c>
      <c r="E474" s="11">
        <v>233</v>
      </c>
      <c r="F474" s="21" t="s">
        <v>3309</v>
      </c>
      <c r="G474" s="11" t="s">
        <v>3307</v>
      </c>
      <c r="H474" s="11" t="s">
        <v>3221</v>
      </c>
      <c r="I474" s="12" t="s">
        <v>3307</v>
      </c>
      <c r="J474" s="11" t="s">
        <v>2805</v>
      </c>
      <c r="K474" s="10"/>
      <c r="L474" s="10"/>
    </row>
    <row r="475" spans="1:12" x14ac:dyDescent="0.25">
      <c r="A475" s="21" t="s">
        <v>3310</v>
      </c>
      <c r="B475" s="12" t="s">
        <v>3311</v>
      </c>
      <c r="C475" s="11" t="s">
        <v>2805</v>
      </c>
      <c r="D475" s="13" t="s">
        <v>2335</v>
      </c>
      <c r="E475" s="11">
        <v>0</v>
      </c>
      <c r="F475" s="21" t="s">
        <v>3312</v>
      </c>
      <c r="G475" s="11" t="s">
        <v>3311</v>
      </c>
      <c r="H475" s="11" t="s">
        <v>3221</v>
      </c>
      <c r="I475" s="12" t="s">
        <v>3311</v>
      </c>
      <c r="J475" s="11" t="s">
        <v>2805</v>
      </c>
      <c r="K475" s="10"/>
      <c r="L475" s="10"/>
    </row>
    <row r="476" spans="1:12" x14ac:dyDescent="0.25">
      <c r="A476" s="21" t="s">
        <v>3313</v>
      </c>
      <c r="B476" s="12" t="s">
        <v>3314</v>
      </c>
      <c r="C476" s="11" t="s">
        <v>2805</v>
      </c>
      <c r="D476" s="13" t="s">
        <v>475</v>
      </c>
      <c r="E476" s="11">
        <v>199</v>
      </c>
      <c r="F476" s="21" t="s">
        <v>3315</v>
      </c>
      <c r="G476" s="11" t="s">
        <v>3314</v>
      </c>
      <c r="H476" s="11" t="s">
        <v>3221</v>
      </c>
      <c r="I476" s="12" t="s">
        <v>3314</v>
      </c>
      <c r="J476" s="11" t="s">
        <v>2805</v>
      </c>
      <c r="K476" s="10"/>
      <c r="L476" s="10"/>
    </row>
    <row r="477" spans="1:12" x14ac:dyDescent="0.25">
      <c r="A477" s="21" t="s">
        <v>3316</v>
      </c>
      <c r="B477" s="12" t="s">
        <v>3317</v>
      </c>
      <c r="C477" s="11" t="s">
        <v>2805</v>
      </c>
      <c r="D477" s="13" t="s">
        <v>1300</v>
      </c>
      <c r="E477" s="11">
        <v>199</v>
      </c>
      <c r="F477" s="21" t="s">
        <v>3318</v>
      </c>
      <c r="G477" s="11" t="s">
        <v>3317</v>
      </c>
      <c r="H477" s="11" t="s">
        <v>3221</v>
      </c>
      <c r="I477" s="12" t="s">
        <v>3317</v>
      </c>
      <c r="J477" s="11" t="s">
        <v>2805</v>
      </c>
      <c r="K477" s="10"/>
      <c r="L477" s="10"/>
    </row>
    <row r="478" spans="1:12" x14ac:dyDescent="0.25">
      <c r="A478" s="21" t="s">
        <v>3319</v>
      </c>
      <c r="B478" s="12" t="s">
        <v>3320</v>
      </c>
      <c r="C478" s="11" t="s">
        <v>2805</v>
      </c>
      <c r="D478" s="13" t="s">
        <v>3670</v>
      </c>
      <c r="E478" s="11">
        <v>250</v>
      </c>
      <c r="F478" s="21" t="s">
        <v>3321</v>
      </c>
      <c r="G478" s="11" t="s">
        <v>3320</v>
      </c>
      <c r="H478" s="11" t="s">
        <v>3221</v>
      </c>
      <c r="I478" s="12" t="s">
        <v>3320</v>
      </c>
      <c r="J478" s="11" t="s">
        <v>2805</v>
      </c>
      <c r="K478" s="10"/>
      <c r="L478" s="10"/>
    </row>
    <row r="479" spans="1:12" x14ac:dyDescent="0.25">
      <c r="A479" s="21" t="s">
        <v>531</v>
      </c>
      <c r="B479" s="12" t="s">
        <v>532</v>
      </c>
      <c r="C479" s="11" t="s">
        <v>2805</v>
      </c>
      <c r="D479" s="13" t="s">
        <v>533</v>
      </c>
      <c r="E479" s="11" t="s">
        <v>2163</v>
      </c>
      <c r="F479" s="21" t="s">
        <v>534</v>
      </c>
      <c r="G479" s="11" t="s">
        <v>532</v>
      </c>
      <c r="H479" s="11" t="s">
        <v>523</v>
      </c>
      <c r="I479" s="12" t="s">
        <v>532</v>
      </c>
      <c r="J479" s="11" t="s">
        <v>2805</v>
      </c>
      <c r="K479" s="10"/>
      <c r="L479" s="10"/>
    </row>
    <row r="480" spans="1:12" x14ac:dyDescent="0.25">
      <c r="A480" s="21" t="s">
        <v>535</v>
      </c>
      <c r="B480" s="12" t="s">
        <v>536</v>
      </c>
      <c r="C480" s="11" t="s">
        <v>2805</v>
      </c>
      <c r="D480" s="13" t="s">
        <v>2648</v>
      </c>
      <c r="E480" s="11">
        <v>0</v>
      </c>
      <c r="F480" s="21" t="s">
        <v>537</v>
      </c>
      <c r="G480" s="11" t="s">
        <v>536</v>
      </c>
      <c r="H480" s="11" t="s">
        <v>523</v>
      </c>
      <c r="I480" s="12" t="s">
        <v>536</v>
      </c>
      <c r="J480" s="11" t="s">
        <v>2805</v>
      </c>
      <c r="K480" s="10"/>
      <c r="L480" s="10"/>
    </row>
    <row r="481" spans="1:12" x14ac:dyDescent="0.25">
      <c r="A481" s="21" t="s">
        <v>538</v>
      </c>
      <c r="B481" s="12" t="s">
        <v>539</v>
      </c>
      <c r="C481" s="11" t="s">
        <v>2805</v>
      </c>
      <c r="D481" s="13" t="s">
        <v>1106</v>
      </c>
      <c r="E481" s="11">
        <v>300</v>
      </c>
      <c r="F481" s="21" t="s">
        <v>540</v>
      </c>
      <c r="G481" s="11" t="s">
        <v>539</v>
      </c>
      <c r="H481" s="11" t="s">
        <v>523</v>
      </c>
      <c r="I481" s="12" t="s">
        <v>539</v>
      </c>
      <c r="J481" s="11" t="s">
        <v>2805</v>
      </c>
      <c r="K481" s="10"/>
      <c r="L481" s="10"/>
    </row>
    <row r="482" spans="1:12" x14ac:dyDescent="0.25">
      <c r="A482" s="21" t="s">
        <v>568</v>
      </c>
      <c r="B482" s="12" t="s">
        <v>569</v>
      </c>
      <c r="C482" s="11" t="s">
        <v>2805</v>
      </c>
      <c r="D482" s="13" t="s">
        <v>570</v>
      </c>
      <c r="E482" s="11">
        <v>0</v>
      </c>
      <c r="F482" s="21" t="s">
        <v>571</v>
      </c>
      <c r="G482" s="11" t="s">
        <v>569</v>
      </c>
      <c r="H482" s="11" t="s">
        <v>523</v>
      </c>
      <c r="I482" s="12" t="s">
        <v>569</v>
      </c>
      <c r="J482" s="11" t="s">
        <v>2805</v>
      </c>
      <c r="K482" s="10"/>
      <c r="L482" s="10"/>
    </row>
    <row r="483" spans="1:12" x14ac:dyDescent="0.25">
      <c r="A483" s="21" t="s">
        <v>524</v>
      </c>
      <c r="B483" s="12" t="s">
        <v>525</v>
      </c>
      <c r="C483" s="11" t="s">
        <v>2805</v>
      </c>
      <c r="D483" s="13" t="s">
        <v>2950</v>
      </c>
      <c r="E483" s="11">
        <v>490</v>
      </c>
      <c r="F483" s="21" t="s">
        <v>526</v>
      </c>
      <c r="G483" s="11" t="s">
        <v>521</v>
      </c>
      <c r="H483" s="11" t="s">
        <v>523</v>
      </c>
      <c r="I483" s="12" t="s">
        <v>525</v>
      </c>
      <c r="J483" s="11" t="s">
        <v>2805</v>
      </c>
      <c r="K483" s="10"/>
      <c r="L483" s="10"/>
    </row>
    <row r="484" spans="1:12" x14ac:dyDescent="0.25">
      <c r="A484" s="21" t="s">
        <v>527</v>
      </c>
      <c r="B484" s="12" t="s">
        <v>528</v>
      </c>
      <c r="C484" s="11" t="s">
        <v>2805</v>
      </c>
      <c r="D484" s="13" t="s">
        <v>529</v>
      </c>
      <c r="E484" s="11">
        <v>801</v>
      </c>
      <c r="F484" s="21" t="s">
        <v>530</v>
      </c>
      <c r="G484" s="11" t="s">
        <v>521</v>
      </c>
      <c r="H484" s="11" t="s">
        <v>523</v>
      </c>
      <c r="I484" s="12" t="s">
        <v>528</v>
      </c>
      <c r="J484" s="11" t="s">
        <v>2805</v>
      </c>
      <c r="K484" s="10"/>
      <c r="L484" s="10"/>
    </row>
    <row r="485" spans="1:12" x14ac:dyDescent="0.25">
      <c r="A485" s="21" t="s">
        <v>520</v>
      </c>
      <c r="B485" s="12" t="s">
        <v>521</v>
      </c>
      <c r="C485" s="11" t="s">
        <v>2800</v>
      </c>
      <c r="D485" s="13" t="s">
        <v>247</v>
      </c>
      <c r="E485" s="11">
        <v>180</v>
      </c>
      <c r="F485" s="21" t="s">
        <v>522</v>
      </c>
      <c r="G485" s="11" t="s">
        <v>521</v>
      </c>
      <c r="H485" s="11" t="s">
        <v>523</v>
      </c>
      <c r="I485" s="12" t="s">
        <v>521</v>
      </c>
      <c r="J485" s="11" t="s">
        <v>2800</v>
      </c>
      <c r="K485" s="10"/>
      <c r="L485" s="10"/>
    </row>
    <row r="486" spans="1:12" x14ac:dyDescent="0.25">
      <c r="A486" s="21" t="s">
        <v>541</v>
      </c>
      <c r="B486" s="12" t="s">
        <v>542</v>
      </c>
      <c r="C486" s="11" t="s">
        <v>2805</v>
      </c>
      <c r="D486" s="13" t="s">
        <v>1369</v>
      </c>
      <c r="E486" s="11">
        <v>0</v>
      </c>
      <c r="F486" s="21" t="s">
        <v>543</v>
      </c>
      <c r="G486" s="11" t="s">
        <v>542</v>
      </c>
      <c r="H486" s="11" t="s">
        <v>523</v>
      </c>
      <c r="I486" s="12" t="s">
        <v>542</v>
      </c>
      <c r="J486" s="11" t="s">
        <v>2805</v>
      </c>
      <c r="K486" s="10"/>
      <c r="L486" s="10"/>
    </row>
    <row r="487" spans="1:12" x14ac:dyDescent="0.25">
      <c r="A487" s="21" t="s">
        <v>572</v>
      </c>
      <c r="B487" s="12" t="s">
        <v>573</v>
      </c>
      <c r="C487" s="11" t="s">
        <v>2805</v>
      </c>
      <c r="D487" s="13" t="s">
        <v>574</v>
      </c>
      <c r="E487" s="11">
        <v>102</v>
      </c>
      <c r="F487" s="21" t="s">
        <v>2384</v>
      </c>
      <c r="G487" s="11" t="s">
        <v>573</v>
      </c>
      <c r="H487" s="11" t="s">
        <v>523</v>
      </c>
      <c r="I487" s="12" t="s">
        <v>573</v>
      </c>
      <c r="J487" s="11" t="s">
        <v>2805</v>
      </c>
      <c r="K487" s="10"/>
      <c r="L487" s="10"/>
    </row>
    <row r="488" spans="1:12" x14ac:dyDescent="0.25">
      <c r="A488" s="21" t="s">
        <v>2385</v>
      </c>
      <c r="B488" s="12" t="s">
        <v>2386</v>
      </c>
      <c r="C488" s="11" t="s">
        <v>2805</v>
      </c>
      <c r="D488" s="13" t="s">
        <v>255</v>
      </c>
      <c r="E488" s="11">
        <v>801</v>
      </c>
      <c r="F488" s="21" t="s">
        <v>2387</v>
      </c>
      <c r="G488" s="11" t="s">
        <v>2386</v>
      </c>
      <c r="H488" s="11" t="s">
        <v>523</v>
      </c>
      <c r="I488" s="12" t="s">
        <v>2386</v>
      </c>
      <c r="J488" s="11" t="s">
        <v>2805</v>
      </c>
      <c r="K488" s="10"/>
      <c r="L488" s="10"/>
    </row>
    <row r="489" spans="1:12" x14ac:dyDescent="0.25">
      <c r="A489" s="21" t="s">
        <v>2388</v>
      </c>
      <c r="B489" s="12" t="s">
        <v>2389</v>
      </c>
      <c r="C489" s="11" t="s">
        <v>2805</v>
      </c>
      <c r="D489" s="13" t="s">
        <v>591</v>
      </c>
      <c r="E489" s="11" t="s">
        <v>2163</v>
      </c>
      <c r="F489" s="21" t="s">
        <v>592</v>
      </c>
      <c r="G489" s="11" t="s">
        <v>2389</v>
      </c>
      <c r="H489" s="11" t="s">
        <v>523</v>
      </c>
      <c r="I489" s="12" t="s">
        <v>2389</v>
      </c>
      <c r="J489" s="11" t="s">
        <v>2805</v>
      </c>
      <c r="K489" s="10"/>
      <c r="L489" s="10"/>
    </row>
    <row r="490" spans="1:12" x14ac:dyDescent="0.25">
      <c r="A490" s="21" t="s">
        <v>593</v>
      </c>
      <c r="B490" s="12" t="s">
        <v>594</v>
      </c>
      <c r="C490" s="11" t="s">
        <v>2800</v>
      </c>
      <c r="D490" s="13" t="s">
        <v>3324</v>
      </c>
      <c r="E490" s="11">
        <v>1192</v>
      </c>
      <c r="F490" s="21" t="s">
        <v>595</v>
      </c>
      <c r="G490" s="11" t="s">
        <v>594</v>
      </c>
      <c r="H490" s="11" t="s">
        <v>523</v>
      </c>
      <c r="I490" s="12" t="s">
        <v>594</v>
      </c>
      <c r="J490" s="11" t="s">
        <v>2800</v>
      </c>
      <c r="K490" s="10"/>
      <c r="L490" s="10"/>
    </row>
    <row r="491" spans="1:12" x14ac:dyDescent="0.25">
      <c r="A491" s="21" t="s">
        <v>596</v>
      </c>
      <c r="B491" s="12" t="s">
        <v>597</v>
      </c>
      <c r="C491" s="11" t="s">
        <v>2805</v>
      </c>
      <c r="D491" s="13" t="s">
        <v>598</v>
      </c>
      <c r="E491" s="11">
        <v>114</v>
      </c>
      <c r="F491" s="21" t="s">
        <v>599</v>
      </c>
      <c r="G491" s="11" t="s">
        <v>597</v>
      </c>
      <c r="H491" s="11" t="s">
        <v>523</v>
      </c>
      <c r="I491" s="12" t="s">
        <v>597</v>
      </c>
      <c r="J491" s="11" t="s">
        <v>2805</v>
      </c>
      <c r="K491" s="10"/>
      <c r="L491" s="10"/>
    </row>
    <row r="492" spans="1:12" x14ac:dyDescent="0.25">
      <c r="A492" s="21" t="s">
        <v>544</v>
      </c>
      <c r="B492" s="12" t="s">
        <v>545</v>
      </c>
      <c r="C492" s="11" t="s">
        <v>2805</v>
      </c>
      <c r="D492" s="13" t="s">
        <v>255</v>
      </c>
      <c r="E492" s="11">
        <v>347</v>
      </c>
      <c r="F492" s="21" t="s">
        <v>546</v>
      </c>
      <c r="G492" s="11" t="s">
        <v>545</v>
      </c>
      <c r="H492" s="11" t="s">
        <v>523</v>
      </c>
      <c r="I492" s="12" t="s">
        <v>545</v>
      </c>
      <c r="J492" s="11" t="s">
        <v>2805</v>
      </c>
      <c r="K492" s="10"/>
      <c r="L492" s="10"/>
    </row>
    <row r="493" spans="1:12" x14ac:dyDescent="0.25">
      <c r="A493" s="21" t="s">
        <v>547</v>
      </c>
      <c r="B493" s="12" t="s">
        <v>548</v>
      </c>
      <c r="C493" s="11" t="s">
        <v>2805</v>
      </c>
      <c r="D493" s="13" t="s">
        <v>2248</v>
      </c>
      <c r="E493" s="11">
        <v>1</v>
      </c>
      <c r="F493" s="21" t="s">
        <v>549</v>
      </c>
      <c r="G493" s="11" t="s">
        <v>548</v>
      </c>
      <c r="H493" s="11" t="s">
        <v>523</v>
      </c>
      <c r="I493" s="12" t="s">
        <v>548</v>
      </c>
      <c r="J493" s="11" t="s">
        <v>2805</v>
      </c>
      <c r="K493" s="10"/>
      <c r="L493" s="10"/>
    </row>
    <row r="494" spans="1:12" x14ac:dyDescent="0.25">
      <c r="A494" s="21" t="s">
        <v>608</v>
      </c>
      <c r="B494" s="12" t="s">
        <v>609</v>
      </c>
      <c r="C494" s="11" t="s">
        <v>2805</v>
      </c>
      <c r="D494" s="13" t="s">
        <v>610</v>
      </c>
      <c r="E494" s="11">
        <v>0</v>
      </c>
      <c r="F494" s="21" t="s">
        <v>611</v>
      </c>
      <c r="G494" s="11" t="s">
        <v>609</v>
      </c>
      <c r="H494" s="11" t="s">
        <v>523</v>
      </c>
      <c r="I494" s="12" t="s">
        <v>609</v>
      </c>
      <c r="J494" s="11" t="s">
        <v>2805</v>
      </c>
      <c r="K494" s="10"/>
      <c r="L494" s="10"/>
    </row>
    <row r="495" spans="1:12" x14ac:dyDescent="0.25">
      <c r="A495" s="21" t="s">
        <v>600</v>
      </c>
      <c r="B495" s="12" t="s">
        <v>601</v>
      </c>
      <c r="C495" s="11" t="s">
        <v>2805</v>
      </c>
      <c r="D495" s="13" t="s">
        <v>602</v>
      </c>
      <c r="E495" s="11">
        <v>0</v>
      </c>
      <c r="F495" s="21" t="s">
        <v>603</v>
      </c>
      <c r="G495" s="11" t="s">
        <v>601</v>
      </c>
      <c r="H495" s="11" t="s">
        <v>523</v>
      </c>
      <c r="I495" s="12" t="s">
        <v>601</v>
      </c>
      <c r="J495" s="11" t="s">
        <v>2805</v>
      </c>
      <c r="K495" s="10"/>
      <c r="L495" s="10"/>
    </row>
    <row r="496" spans="1:12" x14ac:dyDescent="0.25">
      <c r="A496" s="21" t="s">
        <v>604</v>
      </c>
      <c r="B496" s="12" t="s">
        <v>605</v>
      </c>
      <c r="C496" s="11" t="s">
        <v>2800</v>
      </c>
      <c r="D496" s="13" t="s">
        <v>606</v>
      </c>
      <c r="E496" s="11">
        <v>293</v>
      </c>
      <c r="F496" s="21" t="s">
        <v>607</v>
      </c>
      <c r="G496" s="11" t="s">
        <v>605</v>
      </c>
      <c r="H496" s="11" t="s">
        <v>523</v>
      </c>
      <c r="I496" s="12" t="s">
        <v>605</v>
      </c>
      <c r="J496" s="11" t="s">
        <v>2800</v>
      </c>
      <c r="K496" s="10"/>
      <c r="L496" s="10"/>
    </row>
    <row r="497" spans="1:12" x14ac:dyDescent="0.25">
      <c r="A497" s="21" t="s">
        <v>550</v>
      </c>
      <c r="B497" s="12" t="s">
        <v>551</v>
      </c>
      <c r="C497" s="11" t="s">
        <v>2805</v>
      </c>
      <c r="D497" s="13" t="s">
        <v>2218</v>
      </c>
      <c r="E497" s="11">
        <v>1313</v>
      </c>
      <c r="F497" s="21" t="s">
        <v>552</v>
      </c>
      <c r="G497" s="11" t="s">
        <v>551</v>
      </c>
      <c r="H497" s="11" t="s">
        <v>523</v>
      </c>
      <c r="I497" s="12" t="s">
        <v>551</v>
      </c>
      <c r="J497" s="11" t="s">
        <v>2805</v>
      </c>
      <c r="K497" s="10"/>
      <c r="L497" s="10"/>
    </row>
    <row r="498" spans="1:12" x14ac:dyDescent="0.25">
      <c r="A498" s="21" t="s">
        <v>612</v>
      </c>
      <c r="B498" s="12" t="s">
        <v>995</v>
      </c>
      <c r="C498" s="11" t="s">
        <v>2800</v>
      </c>
      <c r="D498" s="13" t="s">
        <v>613</v>
      </c>
      <c r="E498" s="11">
        <v>22</v>
      </c>
      <c r="F498" s="21" t="s">
        <v>614</v>
      </c>
      <c r="G498" s="11" t="s">
        <v>995</v>
      </c>
      <c r="H498" s="11" t="s">
        <v>523</v>
      </c>
      <c r="I498" s="12" t="s">
        <v>995</v>
      </c>
      <c r="J498" s="11" t="s">
        <v>2800</v>
      </c>
      <c r="K498" s="10"/>
      <c r="L498" s="10"/>
    </row>
    <row r="499" spans="1:12" x14ac:dyDescent="0.25">
      <c r="A499" s="21" t="s">
        <v>553</v>
      </c>
      <c r="B499" s="12" t="s">
        <v>554</v>
      </c>
      <c r="C499" s="11" t="s">
        <v>2805</v>
      </c>
      <c r="D499" s="13" t="s">
        <v>2226</v>
      </c>
      <c r="E499" s="11">
        <v>790</v>
      </c>
      <c r="F499" s="21" t="s">
        <v>555</v>
      </c>
      <c r="G499" s="11" t="s">
        <v>554</v>
      </c>
      <c r="H499" s="11" t="s">
        <v>523</v>
      </c>
      <c r="I499" s="12" t="s">
        <v>554</v>
      </c>
      <c r="J499" s="11" t="s">
        <v>2805</v>
      </c>
      <c r="K499" s="10"/>
      <c r="L499" s="10"/>
    </row>
    <row r="500" spans="1:12" x14ac:dyDescent="0.25">
      <c r="A500" s="21" t="s">
        <v>556</v>
      </c>
      <c r="B500" s="12" t="s">
        <v>557</v>
      </c>
      <c r="C500" s="11" t="s">
        <v>2805</v>
      </c>
      <c r="D500" s="13" t="s">
        <v>134</v>
      </c>
      <c r="E500" s="11">
        <v>240</v>
      </c>
      <c r="F500" s="21" t="s">
        <v>558</v>
      </c>
      <c r="G500" s="11" t="s">
        <v>557</v>
      </c>
      <c r="H500" s="11" t="s">
        <v>523</v>
      </c>
      <c r="I500" s="12" t="s">
        <v>557</v>
      </c>
      <c r="J500" s="11" t="s">
        <v>2805</v>
      </c>
      <c r="K500" s="10"/>
      <c r="L500" s="10"/>
    </row>
    <row r="501" spans="1:12" x14ac:dyDescent="0.25">
      <c r="A501" s="21" t="s">
        <v>559</v>
      </c>
      <c r="B501" s="12" t="s">
        <v>4655</v>
      </c>
      <c r="C501" s="11" t="s">
        <v>2805</v>
      </c>
      <c r="D501" s="13" t="s">
        <v>560</v>
      </c>
      <c r="E501" s="11">
        <v>307</v>
      </c>
      <c r="F501" s="21" t="s">
        <v>561</v>
      </c>
      <c r="G501" s="11" t="s">
        <v>4655</v>
      </c>
      <c r="H501" s="11" t="s">
        <v>523</v>
      </c>
      <c r="I501" s="12" t="s">
        <v>4655</v>
      </c>
      <c r="J501" s="11" t="s">
        <v>2805</v>
      </c>
      <c r="K501" s="10"/>
      <c r="L501" s="10"/>
    </row>
    <row r="502" spans="1:12" x14ac:dyDescent="0.25">
      <c r="A502" s="21" t="s">
        <v>615</v>
      </c>
      <c r="B502" s="12" t="s">
        <v>616</v>
      </c>
      <c r="C502" s="11" t="s">
        <v>2805</v>
      </c>
      <c r="D502" s="13" t="s">
        <v>255</v>
      </c>
      <c r="E502" s="11">
        <v>891</v>
      </c>
      <c r="F502" s="21" t="s">
        <v>617</v>
      </c>
      <c r="G502" s="11" t="s">
        <v>616</v>
      </c>
      <c r="H502" s="11" t="s">
        <v>523</v>
      </c>
      <c r="I502" s="12" t="s">
        <v>616</v>
      </c>
      <c r="J502" s="11" t="s">
        <v>2805</v>
      </c>
      <c r="K502" s="10"/>
      <c r="L502" s="10"/>
    </row>
    <row r="503" spans="1:12" x14ac:dyDescent="0.25">
      <c r="A503" s="21" t="s">
        <v>618</v>
      </c>
      <c r="B503" s="12" t="s">
        <v>619</v>
      </c>
      <c r="C503" s="11" t="s">
        <v>2805</v>
      </c>
      <c r="D503" s="13" t="s">
        <v>4655</v>
      </c>
      <c r="E503" s="11">
        <v>0</v>
      </c>
      <c r="F503" s="21" t="s">
        <v>620</v>
      </c>
      <c r="G503" s="11" t="s">
        <v>619</v>
      </c>
      <c r="H503" s="11" t="s">
        <v>523</v>
      </c>
      <c r="I503" s="12" t="s">
        <v>619</v>
      </c>
      <c r="J503" s="11" t="s">
        <v>2805</v>
      </c>
      <c r="K503" s="10"/>
      <c r="L503" s="10"/>
    </row>
    <row r="504" spans="1:12" x14ac:dyDescent="0.25">
      <c r="A504" s="21" t="s">
        <v>565</v>
      </c>
      <c r="B504" s="12" t="s">
        <v>566</v>
      </c>
      <c r="C504" s="11" t="s">
        <v>2800</v>
      </c>
      <c r="D504" s="13" t="s">
        <v>4311</v>
      </c>
      <c r="E504" s="11">
        <v>315</v>
      </c>
      <c r="F504" s="21" t="s">
        <v>567</v>
      </c>
      <c r="G504" s="11" t="s">
        <v>566</v>
      </c>
      <c r="H504" s="11" t="s">
        <v>523</v>
      </c>
      <c r="I504" s="12" t="s">
        <v>566</v>
      </c>
      <c r="J504" s="11" t="s">
        <v>2800</v>
      </c>
      <c r="K504" s="10"/>
      <c r="L504" s="10"/>
    </row>
    <row r="505" spans="1:12" x14ac:dyDescent="0.25">
      <c r="A505" s="21" t="s">
        <v>562</v>
      </c>
      <c r="B505" s="12" t="s">
        <v>563</v>
      </c>
      <c r="C505" s="11" t="s">
        <v>2805</v>
      </c>
      <c r="D505" s="13" t="s">
        <v>247</v>
      </c>
      <c r="E505" s="11">
        <v>99</v>
      </c>
      <c r="F505" s="21" t="s">
        <v>564</v>
      </c>
      <c r="G505" s="11" t="s">
        <v>563</v>
      </c>
      <c r="H505" s="11" t="s">
        <v>523</v>
      </c>
      <c r="I505" s="12" t="s">
        <v>563</v>
      </c>
      <c r="J505" s="11" t="s">
        <v>2805</v>
      </c>
      <c r="K505" s="10"/>
      <c r="L505" s="10"/>
    </row>
    <row r="506" spans="1:12" x14ac:dyDescent="0.25">
      <c r="A506" s="21" t="s">
        <v>2028</v>
      </c>
      <c r="B506" s="12" t="s">
        <v>2029</v>
      </c>
      <c r="C506" s="11" t="s">
        <v>2805</v>
      </c>
      <c r="D506" s="13" t="s">
        <v>4438</v>
      </c>
      <c r="E506" s="11">
        <v>151</v>
      </c>
      <c r="F506" s="21" t="s">
        <v>3752</v>
      </c>
      <c r="G506" s="11" t="s">
        <v>2029</v>
      </c>
      <c r="H506" s="11" t="s">
        <v>1908</v>
      </c>
      <c r="I506" s="12" t="s">
        <v>2029</v>
      </c>
      <c r="J506" s="11" t="s">
        <v>2805</v>
      </c>
      <c r="K506" s="10"/>
      <c r="L506" s="10"/>
    </row>
    <row r="507" spans="1:12" x14ac:dyDescent="0.25">
      <c r="A507" s="21" t="s">
        <v>3753</v>
      </c>
      <c r="B507" s="12" t="s">
        <v>3754</v>
      </c>
      <c r="C507" s="11" t="s">
        <v>2805</v>
      </c>
      <c r="D507" s="13" t="s">
        <v>255</v>
      </c>
      <c r="E507" s="11">
        <v>178</v>
      </c>
      <c r="F507" s="21" t="s">
        <v>3755</v>
      </c>
      <c r="G507" s="11" t="s">
        <v>3754</v>
      </c>
      <c r="H507" s="11" t="s">
        <v>1908</v>
      </c>
      <c r="I507" s="12" t="s">
        <v>3754</v>
      </c>
      <c r="J507" s="11" t="s">
        <v>2805</v>
      </c>
      <c r="K507" s="10"/>
      <c r="L507" s="10"/>
    </row>
    <row r="508" spans="1:12" x14ac:dyDescent="0.25">
      <c r="A508" s="21" t="s">
        <v>3346</v>
      </c>
      <c r="B508" s="12" t="s">
        <v>3347</v>
      </c>
      <c r="C508" s="11" t="s">
        <v>2805</v>
      </c>
      <c r="D508" s="13" t="s">
        <v>3348</v>
      </c>
      <c r="E508" s="11">
        <v>1</v>
      </c>
      <c r="F508" s="21" t="s">
        <v>3349</v>
      </c>
      <c r="G508" s="11" t="s">
        <v>3350</v>
      </c>
      <c r="H508" s="11" t="s">
        <v>1908</v>
      </c>
      <c r="I508" s="12" t="s">
        <v>3347</v>
      </c>
      <c r="J508" s="11" t="s">
        <v>2805</v>
      </c>
      <c r="K508" s="10"/>
      <c r="L508" s="10"/>
    </row>
    <row r="509" spans="1:12" x14ac:dyDescent="0.25">
      <c r="A509" s="21" t="s">
        <v>4603</v>
      </c>
      <c r="B509" s="12" t="s">
        <v>4604</v>
      </c>
      <c r="C509" s="11" t="s">
        <v>2805</v>
      </c>
      <c r="D509" s="13" t="s">
        <v>2937</v>
      </c>
      <c r="E509" s="11">
        <v>130</v>
      </c>
      <c r="F509" s="21" t="s">
        <v>4605</v>
      </c>
      <c r="G509" s="11" t="s">
        <v>4606</v>
      </c>
      <c r="H509" s="11" t="s">
        <v>1908</v>
      </c>
      <c r="I509" s="12" t="s">
        <v>4604</v>
      </c>
      <c r="J509" s="11" t="s">
        <v>2805</v>
      </c>
      <c r="K509" s="10"/>
      <c r="L509" s="10"/>
    </row>
    <row r="510" spans="1:12" x14ac:dyDescent="0.25">
      <c r="A510" s="21" t="s">
        <v>3756</v>
      </c>
      <c r="B510" s="12" t="s">
        <v>3757</v>
      </c>
      <c r="C510" s="11" t="s">
        <v>2805</v>
      </c>
      <c r="D510" s="13" t="s">
        <v>4146</v>
      </c>
      <c r="E510" s="11">
        <v>110</v>
      </c>
      <c r="F510" s="21" t="s">
        <v>3758</v>
      </c>
      <c r="G510" s="11" t="s">
        <v>3759</v>
      </c>
      <c r="H510" s="11" t="s">
        <v>1908</v>
      </c>
      <c r="I510" s="12" t="s">
        <v>3757</v>
      </c>
      <c r="J510" s="11" t="s">
        <v>2805</v>
      </c>
      <c r="K510" s="10"/>
      <c r="L510" s="10"/>
    </row>
    <row r="511" spans="1:12" x14ac:dyDescent="0.25">
      <c r="A511" s="21" t="s">
        <v>3760</v>
      </c>
      <c r="B511" s="12" t="s">
        <v>3761</v>
      </c>
      <c r="C511" s="11" t="s">
        <v>2805</v>
      </c>
      <c r="D511" s="13" t="s">
        <v>4655</v>
      </c>
      <c r="E511" s="11">
        <v>698</v>
      </c>
      <c r="F511" s="21" t="s">
        <v>3762</v>
      </c>
      <c r="G511" s="11" t="s">
        <v>3761</v>
      </c>
      <c r="H511" s="11" t="s">
        <v>1908</v>
      </c>
      <c r="I511" s="12" t="s">
        <v>3761</v>
      </c>
      <c r="J511" s="11" t="s">
        <v>2805</v>
      </c>
      <c r="K511" s="10"/>
      <c r="L511" s="10"/>
    </row>
    <row r="512" spans="1:12" x14ac:dyDescent="0.25">
      <c r="A512" s="21" t="s">
        <v>3343</v>
      </c>
      <c r="B512" s="12" t="s">
        <v>3344</v>
      </c>
      <c r="C512" s="11" t="s">
        <v>2805</v>
      </c>
      <c r="D512" s="13" t="s">
        <v>255</v>
      </c>
      <c r="E512" s="11">
        <v>604</v>
      </c>
      <c r="F512" s="21" t="s">
        <v>3345</v>
      </c>
      <c r="G512" s="11" t="s">
        <v>3344</v>
      </c>
      <c r="H512" s="11" t="s">
        <v>1908</v>
      </c>
      <c r="I512" s="12" t="s">
        <v>3344</v>
      </c>
      <c r="J512" s="11" t="s">
        <v>2805</v>
      </c>
      <c r="K512" s="10"/>
      <c r="L512" s="10"/>
    </row>
    <row r="513" spans="1:12" x14ac:dyDescent="0.25">
      <c r="A513" s="21" t="s">
        <v>1192</v>
      </c>
      <c r="B513" s="12" t="s">
        <v>2290</v>
      </c>
      <c r="C513" s="11" t="s">
        <v>2805</v>
      </c>
      <c r="D513" s="13" t="s">
        <v>4510</v>
      </c>
      <c r="E513" s="11">
        <v>378</v>
      </c>
      <c r="F513" s="21" t="s">
        <v>1193</v>
      </c>
      <c r="G513" s="11" t="s">
        <v>2290</v>
      </c>
      <c r="H513" s="11" t="s">
        <v>1908</v>
      </c>
      <c r="I513" s="12" t="s">
        <v>2290</v>
      </c>
      <c r="J513" s="11" t="s">
        <v>2805</v>
      </c>
      <c r="K513" s="10"/>
      <c r="L513" s="10"/>
    </row>
    <row r="514" spans="1:12" x14ac:dyDescent="0.25">
      <c r="A514" s="21" t="s">
        <v>3351</v>
      </c>
      <c r="B514" s="12" t="s">
        <v>3352</v>
      </c>
      <c r="C514" s="11" t="s">
        <v>2800</v>
      </c>
      <c r="D514" s="13" t="s">
        <v>1349</v>
      </c>
      <c r="E514" s="11">
        <v>577</v>
      </c>
      <c r="F514" s="21" t="s">
        <v>3353</v>
      </c>
      <c r="G514" s="11" t="s">
        <v>3352</v>
      </c>
      <c r="H514" s="11" t="s">
        <v>1908</v>
      </c>
      <c r="I514" s="12" t="s">
        <v>3352</v>
      </c>
      <c r="J514" s="11" t="s">
        <v>2800</v>
      </c>
      <c r="K514" s="10"/>
      <c r="L514" s="10"/>
    </row>
    <row r="515" spans="1:12" x14ac:dyDescent="0.25">
      <c r="A515" s="21" t="s">
        <v>3354</v>
      </c>
      <c r="B515" s="12" t="s">
        <v>3355</v>
      </c>
      <c r="C515" s="11" t="s">
        <v>2805</v>
      </c>
      <c r="D515" s="13" t="s">
        <v>1045</v>
      </c>
      <c r="E515" s="11">
        <v>544</v>
      </c>
      <c r="F515" s="21" t="s">
        <v>3356</v>
      </c>
      <c r="G515" s="11" t="s">
        <v>3355</v>
      </c>
      <c r="H515" s="11" t="s">
        <v>1908</v>
      </c>
      <c r="I515" s="12" t="s">
        <v>3355</v>
      </c>
      <c r="J515" s="11" t="s">
        <v>2805</v>
      </c>
      <c r="K515" s="10"/>
      <c r="L515" s="10"/>
    </row>
    <row r="516" spans="1:12" x14ac:dyDescent="0.25">
      <c r="A516" s="21" t="s">
        <v>2175</v>
      </c>
      <c r="B516" s="12" t="s">
        <v>2176</v>
      </c>
      <c r="C516" s="11" t="s">
        <v>2805</v>
      </c>
      <c r="D516" s="13">
        <v>5</v>
      </c>
      <c r="E516" s="11">
        <v>0</v>
      </c>
      <c r="F516" s="21" t="s">
        <v>2177</v>
      </c>
      <c r="G516" s="11" t="s">
        <v>2178</v>
      </c>
      <c r="H516" s="11" t="s">
        <v>1908</v>
      </c>
      <c r="I516" s="12" t="s">
        <v>2176</v>
      </c>
      <c r="J516" s="11" t="s">
        <v>2805</v>
      </c>
      <c r="K516" s="10"/>
      <c r="L516" s="10"/>
    </row>
    <row r="517" spans="1:12" x14ac:dyDescent="0.25">
      <c r="A517" s="21" t="s">
        <v>3763</v>
      </c>
      <c r="B517" s="12" t="s">
        <v>3764</v>
      </c>
      <c r="C517" s="11" t="s">
        <v>2805</v>
      </c>
      <c r="D517" s="13" t="s">
        <v>255</v>
      </c>
      <c r="E517" s="11">
        <v>1053</v>
      </c>
      <c r="F517" s="21" t="s">
        <v>3765</v>
      </c>
      <c r="G517" s="11" t="s">
        <v>3764</v>
      </c>
      <c r="H517" s="11" t="s">
        <v>1908</v>
      </c>
      <c r="I517" s="12" t="s">
        <v>3764</v>
      </c>
      <c r="J517" s="11" t="s">
        <v>2805</v>
      </c>
      <c r="K517" s="10"/>
      <c r="L517" s="10"/>
    </row>
    <row r="518" spans="1:12" x14ac:dyDescent="0.25">
      <c r="A518" s="21" t="s">
        <v>3357</v>
      </c>
      <c r="B518" s="12" t="s">
        <v>3358</v>
      </c>
      <c r="C518" s="11" t="s">
        <v>2805</v>
      </c>
      <c r="D518" s="13" t="s">
        <v>270</v>
      </c>
      <c r="E518" s="11">
        <v>505</v>
      </c>
      <c r="F518" s="21" t="s">
        <v>3359</v>
      </c>
      <c r="G518" s="11" t="s">
        <v>3358</v>
      </c>
      <c r="H518" s="11" t="s">
        <v>1908</v>
      </c>
      <c r="I518" s="12" t="s">
        <v>3358</v>
      </c>
      <c r="J518" s="11" t="s">
        <v>2805</v>
      </c>
      <c r="K518" s="10"/>
      <c r="L518" s="10"/>
    </row>
    <row r="519" spans="1:12" x14ac:dyDescent="0.25">
      <c r="A519" s="21" t="s">
        <v>3766</v>
      </c>
      <c r="B519" s="12" t="s">
        <v>3767</v>
      </c>
      <c r="C519" s="11" t="s">
        <v>2805</v>
      </c>
      <c r="D519" s="13" t="s">
        <v>2226</v>
      </c>
      <c r="E519" s="11">
        <v>684</v>
      </c>
      <c r="F519" s="21" t="s">
        <v>1191</v>
      </c>
      <c r="G519" s="11" t="s">
        <v>3767</v>
      </c>
      <c r="H519" s="11" t="s">
        <v>1908</v>
      </c>
      <c r="I519" s="12" t="s">
        <v>3767</v>
      </c>
      <c r="J519" s="11" t="s">
        <v>2805</v>
      </c>
      <c r="K519" s="10"/>
      <c r="L519" s="10"/>
    </row>
    <row r="520" spans="1:12" x14ac:dyDescent="0.25">
      <c r="A520" s="21" t="s">
        <v>1194</v>
      </c>
      <c r="B520" s="12" t="s">
        <v>1195</v>
      </c>
      <c r="C520" s="11" t="s">
        <v>2805</v>
      </c>
      <c r="D520" s="13" t="s">
        <v>1196</v>
      </c>
      <c r="E520" s="11">
        <v>107</v>
      </c>
      <c r="F520" s="21" t="s">
        <v>1197</v>
      </c>
      <c r="G520" s="11" t="s">
        <v>1195</v>
      </c>
      <c r="H520" s="11" t="s">
        <v>1908</v>
      </c>
      <c r="I520" s="12" t="s">
        <v>1195</v>
      </c>
      <c r="J520" s="11" t="s">
        <v>2805</v>
      </c>
      <c r="K520" s="10"/>
      <c r="L520" s="10"/>
    </row>
    <row r="521" spans="1:12" x14ac:dyDescent="0.25">
      <c r="A521" s="21" t="s">
        <v>3360</v>
      </c>
      <c r="B521" s="12" t="s">
        <v>3361</v>
      </c>
      <c r="C521" s="11" t="s">
        <v>2805</v>
      </c>
      <c r="D521" s="13" t="s">
        <v>3362</v>
      </c>
      <c r="E521" s="11">
        <v>168</v>
      </c>
      <c r="F521" s="21" t="s">
        <v>3363</v>
      </c>
      <c r="G521" s="11" t="s">
        <v>3361</v>
      </c>
      <c r="H521" s="11" t="s">
        <v>1908</v>
      </c>
      <c r="I521" s="12" t="s">
        <v>3361</v>
      </c>
      <c r="J521" s="11" t="s">
        <v>2805</v>
      </c>
      <c r="K521" s="10"/>
      <c r="L521" s="10"/>
    </row>
    <row r="522" spans="1:12" x14ac:dyDescent="0.25">
      <c r="A522" s="21" t="s">
        <v>1198</v>
      </c>
      <c r="B522" s="12" t="s">
        <v>1199</v>
      </c>
      <c r="C522" s="11" t="s">
        <v>2800</v>
      </c>
      <c r="D522" s="13" t="s">
        <v>1908</v>
      </c>
      <c r="E522" s="11">
        <v>599</v>
      </c>
      <c r="F522" s="21" t="s">
        <v>1200</v>
      </c>
      <c r="G522" s="11" t="s">
        <v>1199</v>
      </c>
      <c r="H522" s="11" t="s">
        <v>1908</v>
      </c>
      <c r="I522" s="12" t="s">
        <v>1199</v>
      </c>
      <c r="J522" s="11" t="s">
        <v>2800</v>
      </c>
      <c r="K522" s="10"/>
      <c r="L522" s="10"/>
    </row>
    <row r="523" spans="1:12" x14ac:dyDescent="0.25">
      <c r="A523" s="21" t="s">
        <v>1201</v>
      </c>
      <c r="B523" s="12" t="s">
        <v>1202</v>
      </c>
      <c r="C523" s="11" t="s">
        <v>2805</v>
      </c>
      <c r="D523" s="13" t="s">
        <v>1203</v>
      </c>
      <c r="E523" s="11">
        <v>110</v>
      </c>
      <c r="F523" s="21" t="s">
        <v>146</v>
      </c>
      <c r="G523" s="11" t="s">
        <v>1202</v>
      </c>
      <c r="H523" s="11" t="s">
        <v>1908</v>
      </c>
      <c r="I523" s="12" t="s">
        <v>1202</v>
      </c>
      <c r="J523" s="11" t="s">
        <v>2805</v>
      </c>
      <c r="K523" s="10"/>
      <c r="L523" s="10"/>
    </row>
    <row r="524" spans="1:12" x14ac:dyDescent="0.25">
      <c r="A524" s="21" t="s">
        <v>3364</v>
      </c>
      <c r="B524" s="12" t="s">
        <v>3400</v>
      </c>
      <c r="C524" s="11" t="s">
        <v>2805</v>
      </c>
      <c r="D524" s="13" t="s">
        <v>3401</v>
      </c>
      <c r="E524" s="11">
        <v>101</v>
      </c>
      <c r="F524" s="21" t="s">
        <v>3402</v>
      </c>
      <c r="G524" s="11" t="s">
        <v>3400</v>
      </c>
      <c r="H524" s="11" t="s">
        <v>1908</v>
      </c>
      <c r="I524" s="12" t="s">
        <v>3400</v>
      </c>
      <c r="J524" s="11" t="s">
        <v>2805</v>
      </c>
      <c r="K524" s="10"/>
      <c r="L524" s="10"/>
    </row>
    <row r="525" spans="1:12" x14ac:dyDescent="0.25">
      <c r="A525" s="21" t="s">
        <v>147</v>
      </c>
      <c r="B525" s="12" t="s">
        <v>148</v>
      </c>
      <c r="C525" s="11" t="s">
        <v>2805</v>
      </c>
      <c r="D525" s="13" t="s">
        <v>4646</v>
      </c>
      <c r="E525" s="11">
        <v>945</v>
      </c>
      <c r="F525" s="21" t="s">
        <v>149</v>
      </c>
      <c r="G525" s="11" t="s">
        <v>148</v>
      </c>
      <c r="H525" s="11" t="s">
        <v>1908</v>
      </c>
      <c r="I525" s="12" t="s">
        <v>148</v>
      </c>
      <c r="J525" s="11" t="s">
        <v>2805</v>
      </c>
      <c r="K525" s="10"/>
      <c r="L525" s="10"/>
    </row>
    <row r="526" spans="1:12" x14ac:dyDescent="0.25">
      <c r="A526" s="21" t="s">
        <v>150</v>
      </c>
      <c r="B526" s="12" t="s">
        <v>151</v>
      </c>
      <c r="C526" s="11" t="s">
        <v>2805</v>
      </c>
      <c r="D526" s="13" t="s">
        <v>4096</v>
      </c>
      <c r="E526" s="11">
        <v>99</v>
      </c>
      <c r="F526" s="21" t="s">
        <v>152</v>
      </c>
      <c r="G526" s="11" t="s">
        <v>151</v>
      </c>
      <c r="H526" s="11" t="s">
        <v>1908</v>
      </c>
      <c r="I526" s="12" t="s">
        <v>151</v>
      </c>
      <c r="J526" s="11" t="s">
        <v>2805</v>
      </c>
      <c r="K526" s="10"/>
      <c r="L526" s="10"/>
    </row>
    <row r="527" spans="1:12" x14ac:dyDescent="0.25">
      <c r="A527" s="21" t="s">
        <v>3403</v>
      </c>
      <c r="B527" s="12" t="s">
        <v>3404</v>
      </c>
      <c r="C527" s="11" t="s">
        <v>2805</v>
      </c>
      <c r="D527" s="13" t="s">
        <v>897</v>
      </c>
      <c r="E527" s="11">
        <v>165</v>
      </c>
      <c r="F527" s="21" t="s">
        <v>1676</v>
      </c>
      <c r="G527" s="11" t="s">
        <v>3404</v>
      </c>
      <c r="H527" s="11" t="s">
        <v>1908</v>
      </c>
      <c r="I527" s="12" t="s">
        <v>3404</v>
      </c>
      <c r="J527" s="11" t="s">
        <v>2805</v>
      </c>
      <c r="K527" s="10"/>
      <c r="L527" s="10"/>
    </row>
    <row r="528" spans="1:12" x14ac:dyDescent="0.25">
      <c r="A528" s="21" t="s">
        <v>153</v>
      </c>
      <c r="B528" s="12" t="s">
        <v>154</v>
      </c>
      <c r="C528" s="11" t="s">
        <v>2805</v>
      </c>
      <c r="D528" s="13">
        <v>14</v>
      </c>
      <c r="E528" s="11">
        <v>235</v>
      </c>
      <c r="F528" s="21" t="s">
        <v>155</v>
      </c>
      <c r="G528" s="11" t="s">
        <v>154</v>
      </c>
      <c r="H528" s="11" t="s">
        <v>1908</v>
      </c>
      <c r="I528" s="12" t="s">
        <v>154</v>
      </c>
      <c r="J528" s="11" t="s">
        <v>2805</v>
      </c>
      <c r="K528" s="10"/>
      <c r="L528" s="10"/>
    </row>
    <row r="529" spans="1:12" x14ac:dyDescent="0.25">
      <c r="A529" s="21" t="s">
        <v>156</v>
      </c>
      <c r="B529" s="12" t="s">
        <v>157</v>
      </c>
      <c r="C529" s="11" t="s">
        <v>2805</v>
      </c>
      <c r="D529" s="13" t="s">
        <v>158</v>
      </c>
      <c r="E529" s="11">
        <v>460</v>
      </c>
      <c r="F529" s="21" t="s">
        <v>159</v>
      </c>
      <c r="G529" s="11" t="s">
        <v>157</v>
      </c>
      <c r="H529" s="11" t="s">
        <v>1908</v>
      </c>
      <c r="I529" s="12" t="s">
        <v>157</v>
      </c>
      <c r="J529" s="11" t="s">
        <v>2805</v>
      </c>
      <c r="K529" s="10"/>
      <c r="L529" s="10"/>
    </row>
    <row r="530" spans="1:12" x14ac:dyDescent="0.25">
      <c r="A530" s="21" t="s">
        <v>2064</v>
      </c>
      <c r="B530" s="12" t="s">
        <v>2065</v>
      </c>
      <c r="C530" s="11" t="s">
        <v>2805</v>
      </c>
      <c r="D530" s="13" t="s">
        <v>2066</v>
      </c>
      <c r="E530" s="11">
        <v>227</v>
      </c>
      <c r="F530" s="21" t="s">
        <v>2067</v>
      </c>
      <c r="G530" s="11" t="s">
        <v>2065</v>
      </c>
      <c r="H530" s="11" t="s">
        <v>1908</v>
      </c>
      <c r="I530" s="12" t="s">
        <v>2065</v>
      </c>
      <c r="J530" s="11" t="s">
        <v>2805</v>
      </c>
      <c r="K530" s="10"/>
      <c r="L530" s="10"/>
    </row>
    <row r="531" spans="1:12" x14ac:dyDescent="0.25">
      <c r="A531" s="21" t="s">
        <v>1677</v>
      </c>
      <c r="B531" s="12" t="s">
        <v>1678</v>
      </c>
      <c r="C531" s="11" t="s">
        <v>2805</v>
      </c>
      <c r="D531" s="13" t="s">
        <v>4259</v>
      </c>
      <c r="E531" s="11">
        <v>50</v>
      </c>
      <c r="F531" s="21" t="s">
        <v>1679</v>
      </c>
      <c r="G531" s="11" t="s">
        <v>1680</v>
      </c>
      <c r="H531" s="11" t="s">
        <v>1908</v>
      </c>
      <c r="I531" s="12" t="s">
        <v>1678</v>
      </c>
      <c r="J531" s="11" t="s">
        <v>2805</v>
      </c>
      <c r="K531" s="10"/>
      <c r="L531" s="10"/>
    </row>
    <row r="532" spans="1:12" x14ac:dyDescent="0.25">
      <c r="A532" s="21" t="s">
        <v>2068</v>
      </c>
      <c r="B532" s="12" t="s">
        <v>2094</v>
      </c>
      <c r="C532" s="11" t="s">
        <v>2805</v>
      </c>
      <c r="D532" s="13" t="s">
        <v>2095</v>
      </c>
      <c r="E532" s="11" t="s">
        <v>2163</v>
      </c>
      <c r="F532" s="21" t="s">
        <v>2096</v>
      </c>
      <c r="G532" s="11" t="s">
        <v>3875</v>
      </c>
      <c r="H532" s="11" t="s">
        <v>1908</v>
      </c>
      <c r="I532" s="12" t="s">
        <v>2094</v>
      </c>
      <c r="J532" s="11" t="s">
        <v>2805</v>
      </c>
      <c r="K532" s="10"/>
      <c r="L532" s="10"/>
    </row>
    <row r="533" spans="1:12" x14ac:dyDescent="0.25">
      <c r="A533" s="21" t="s">
        <v>729</v>
      </c>
      <c r="B533" s="12" t="s">
        <v>730</v>
      </c>
      <c r="C533" s="11" t="s">
        <v>2805</v>
      </c>
      <c r="D533" s="13" t="s">
        <v>731</v>
      </c>
      <c r="E533" s="11">
        <v>6237</v>
      </c>
      <c r="F533" s="21" t="s">
        <v>732</v>
      </c>
      <c r="G533" s="11" t="s">
        <v>1908</v>
      </c>
      <c r="H533" s="11" t="s">
        <v>1908</v>
      </c>
      <c r="I533" s="12" t="s">
        <v>730</v>
      </c>
      <c r="J533" s="11" t="s">
        <v>2805</v>
      </c>
      <c r="K533" s="10"/>
      <c r="L533" s="10"/>
    </row>
    <row r="534" spans="1:12" x14ac:dyDescent="0.25">
      <c r="A534" s="21" t="s">
        <v>3879</v>
      </c>
      <c r="B534" s="12" t="s">
        <v>3880</v>
      </c>
      <c r="C534" s="11" t="s">
        <v>2805</v>
      </c>
      <c r="D534" s="13" t="s">
        <v>2022</v>
      </c>
      <c r="E534" s="11">
        <v>2680</v>
      </c>
      <c r="F534" s="21" t="s">
        <v>3881</v>
      </c>
      <c r="G534" s="11" t="s">
        <v>1908</v>
      </c>
      <c r="H534" s="11" t="s">
        <v>1908</v>
      </c>
      <c r="I534" s="12" t="s">
        <v>3880</v>
      </c>
      <c r="J534" s="11" t="s">
        <v>2805</v>
      </c>
      <c r="K534" s="10"/>
      <c r="L534" s="10"/>
    </row>
    <row r="535" spans="1:12" x14ac:dyDescent="0.25">
      <c r="A535" s="21" t="s">
        <v>743</v>
      </c>
      <c r="B535" s="12" t="s">
        <v>744</v>
      </c>
      <c r="C535" s="11" t="s">
        <v>2800</v>
      </c>
      <c r="D535" s="13" t="s">
        <v>745</v>
      </c>
      <c r="E535" s="11">
        <v>251</v>
      </c>
      <c r="F535" s="21" t="s">
        <v>746</v>
      </c>
      <c r="G535" s="11" t="s">
        <v>1908</v>
      </c>
      <c r="H535" s="11" t="s">
        <v>1908</v>
      </c>
      <c r="I535" s="12" t="s">
        <v>744</v>
      </c>
      <c r="J535" s="11" t="s">
        <v>2800</v>
      </c>
      <c r="K535" s="10"/>
      <c r="L535" s="10"/>
    </row>
    <row r="536" spans="1:12" x14ac:dyDescent="0.25">
      <c r="A536" s="21" t="s">
        <v>720</v>
      </c>
      <c r="B536" s="12" t="s">
        <v>1908</v>
      </c>
      <c r="C536" s="11" t="s">
        <v>2800</v>
      </c>
      <c r="D536" s="13" t="s">
        <v>1479</v>
      </c>
      <c r="E536" s="11">
        <v>210</v>
      </c>
      <c r="F536" s="21" t="s">
        <v>721</v>
      </c>
      <c r="G536" s="11" t="s">
        <v>1908</v>
      </c>
      <c r="H536" s="11" t="s">
        <v>1908</v>
      </c>
      <c r="I536" s="12" t="s">
        <v>1908</v>
      </c>
      <c r="J536" s="11" t="s">
        <v>2800</v>
      </c>
      <c r="K536" s="10"/>
      <c r="L536" s="10"/>
    </row>
    <row r="537" spans="1:12" x14ac:dyDescent="0.25">
      <c r="A537" s="21" t="s">
        <v>722</v>
      </c>
      <c r="B537" s="12" t="s">
        <v>3741</v>
      </c>
      <c r="C537" s="11" t="s">
        <v>2800</v>
      </c>
      <c r="D537" s="13" t="s">
        <v>4301</v>
      </c>
      <c r="E537" s="11">
        <v>3479</v>
      </c>
      <c r="F537" s="21" t="s">
        <v>723</v>
      </c>
      <c r="G537" s="11" t="s">
        <v>1908</v>
      </c>
      <c r="H537" s="11" t="s">
        <v>1908</v>
      </c>
      <c r="I537" s="12" t="s">
        <v>3741</v>
      </c>
      <c r="J537" s="11" t="s">
        <v>2800</v>
      </c>
      <c r="K537" s="10"/>
      <c r="L537" s="10"/>
    </row>
    <row r="538" spans="1:12" x14ac:dyDescent="0.25">
      <c r="A538" s="21" t="s">
        <v>739</v>
      </c>
      <c r="B538" s="12" t="s">
        <v>740</v>
      </c>
      <c r="C538" s="11" t="s">
        <v>2800</v>
      </c>
      <c r="D538" s="13" t="s">
        <v>741</v>
      </c>
      <c r="E538" s="11">
        <v>2921</v>
      </c>
      <c r="F538" s="21" t="s">
        <v>742</v>
      </c>
      <c r="G538" s="11" t="s">
        <v>1908</v>
      </c>
      <c r="H538" s="11" t="s">
        <v>1908</v>
      </c>
      <c r="I538" s="12" t="s">
        <v>740</v>
      </c>
      <c r="J538" s="11" t="s">
        <v>2800</v>
      </c>
      <c r="K538" s="10"/>
      <c r="L538" s="10"/>
    </row>
    <row r="539" spans="1:12" x14ac:dyDescent="0.25">
      <c r="A539" s="21" t="s">
        <v>747</v>
      </c>
      <c r="B539" s="12" t="s">
        <v>748</v>
      </c>
      <c r="C539" s="11" t="s">
        <v>2805</v>
      </c>
      <c r="D539" s="13" t="s">
        <v>1045</v>
      </c>
      <c r="E539" s="11">
        <v>753</v>
      </c>
      <c r="F539" s="21" t="s">
        <v>749</v>
      </c>
      <c r="G539" s="11" t="s">
        <v>1908</v>
      </c>
      <c r="H539" s="11" t="s">
        <v>1908</v>
      </c>
      <c r="I539" s="12" t="s">
        <v>748</v>
      </c>
      <c r="J539" s="11" t="s">
        <v>2805</v>
      </c>
      <c r="K539" s="10"/>
      <c r="L539" s="10"/>
    </row>
    <row r="540" spans="1:12" x14ac:dyDescent="0.25">
      <c r="A540" s="21" t="s">
        <v>750</v>
      </c>
      <c r="B540" s="12" t="s">
        <v>3341</v>
      </c>
      <c r="C540" s="11" t="s">
        <v>2800</v>
      </c>
      <c r="D540" s="13" t="s">
        <v>4146</v>
      </c>
      <c r="E540" s="11">
        <v>3458</v>
      </c>
      <c r="F540" s="21" t="s">
        <v>3342</v>
      </c>
      <c r="G540" s="11" t="s">
        <v>1908</v>
      </c>
      <c r="H540" s="11" t="s">
        <v>1908</v>
      </c>
      <c r="I540" s="12" t="s">
        <v>3341</v>
      </c>
      <c r="J540" s="11" t="s">
        <v>2800</v>
      </c>
      <c r="K540" s="10"/>
      <c r="L540" s="10"/>
    </row>
    <row r="541" spans="1:12" x14ac:dyDescent="0.25">
      <c r="A541" s="21" t="s">
        <v>724</v>
      </c>
      <c r="B541" s="12" t="s">
        <v>3748</v>
      </c>
      <c r="C541" s="11" t="s">
        <v>2800</v>
      </c>
      <c r="D541" s="13" t="s">
        <v>1479</v>
      </c>
      <c r="E541" s="11">
        <v>2547</v>
      </c>
      <c r="F541" s="21" t="s">
        <v>725</v>
      </c>
      <c r="G541" s="11" t="s">
        <v>1908</v>
      </c>
      <c r="H541" s="11" t="s">
        <v>1908</v>
      </c>
      <c r="I541" s="12" t="s">
        <v>3748</v>
      </c>
      <c r="J541" s="11" t="s">
        <v>2800</v>
      </c>
      <c r="K541" s="10"/>
      <c r="L541" s="10"/>
    </row>
    <row r="542" spans="1:12" x14ac:dyDescent="0.25">
      <c r="A542" s="21" t="s">
        <v>726</v>
      </c>
      <c r="B542" s="12" t="s">
        <v>4287</v>
      </c>
      <c r="C542" s="11" t="s">
        <v>2800</v>
      </c>
      <c r="D542" s="13" t="s">
        <v>727</v>
      </c>
      <c r="E542" s="11">
        <v>1351</v>
      </c>
      <c r="F542" s="21" t="s">
        <v>728</v>
      </c>
      <c r="G542" s="11" t="s">
        <v>1908</v>
      </c>
      <c r="H542" s="11" t="s">
        <v>1908</v>
      </c>
      <c r="I542" s="12" t="s">
        <v>4287</v>
      </c>
      <c r="J542" s="11" t="s">
        <v>2800</v>
      </c>
      <c r="K542" s="10"/>
      <c r="L542" s="10"/>
    </row>
    <row r="543" spans="1:12" x14ac:dyDescent="0.25">
      <c r="A543" s="21" t="s">
        <v>733</v>
      </c>
      <c r="B543" s="12" t="s">
        <v>4294</v>
      </c>
      <c r="C543" s="11" t="s">
        <v>2800</v>
      </c>
      <c r="D543" s="13" t="s">
        <v>734</v>
      </c>
      <c r="E543" s="11">
        <v>3160</v>
      </c>
      <c r="F543" s="21" t="s">
        <v>735</v>
      </c>
      <c r="G543" s="11" t="s">
        <v>1908</v>
      </c>
      <c r="H543" s="11" t="s">
        <v>1908</v>
      </c>
      <c r="I543" s="12" t="s">
        <v>4294</v>
      </c>
      <c r="J543" s="11" t="s">
        <v>2800</v>
      </c>
      <c r="K543" s="10"/>
      <c r="L543" s="10"/>
    </row>
    <row r="544" spans="1:12" x14ac:dyDescent="0.25">
      <c r="A544" s="21" t="s">
        <v>736</v>
      </c>
      <c r="B544" s="12" t="s">
        <v>737</v>
      </c>
      <c r="C544" s="11" t="s">
        <v>2800</v>
      </c>
      <c r="D544" s="13" t="s">
        <v>731</v>
      </c>
      <c r="E544" s="11">
        <v>3782</v>
      </c>
      <c r="F544" s="21" t="s">
        <v>738</v>
      </c>
      <c r="G544" s="11" t="s">
        <v>1908</v>
      </c>
      <c r="H544" s="11" t="s">
        <v>1908</v>
      </c>
      <c r="I544" s="12" t="s">
        <v>737</v>
      </c>
      <c r="J544" s="11" t="s">
        <v>2800</v>
      </c>
      <c r="K544" s="10"/>
      <c r="L544" s="10"/>
    </row>
    <row r="545" spans="1:12" x14ac:dyDescent="0.25">
      <c r="A545" s="21" t="s">
        <v>160</v>
      </c>
      <c r="B545" s="12" t="s">
        <v>161</v>
      </c>
      <c r="C545" s="11" t="s">
        <v>2805</v>
      </c>
      <c r="D545" s="13" t="s">
        <v>1779</v>
      </c>
      <c r="E545" s="11">
        <v>198</v>
      </c>
      <c r="F545" s="21" t="s">
        <v>162</v>
      </c>
      <c r="G545" s="11" t="s">
        <v>161</v>
      </c>
      <c r="H545" s="11" t="s">
        <v>1908</v>
      </c>
      <c r="I545" s="12" t="s">
        <v>161</v>
      </c>
      <c r="J545" s="11" t="s">
        <v>2805</v>
      </c>
      <c r="K545" s="10"/>
      <c r="L545" s="10"/>
    </row>
    <row r="546" spans="1:12" x14ac:dyDescent="0.25">
      <c r="A546" s="21" t="s">
        <v>163</v>
      </c>
      <c r="B546" s="12" t="s">
        <v>164</v>
      </c>
      <c r="C546" s="11" t="s">
        <v>2805</v>
      </c>
      <c r="D546" s="13" t="s">
        <v>1908</v>
      </c>
      <c r="E546" s="11">
        <v>470</v>
      </c>
      <c r="F546" s="21" t="s">
        <v>165</v>
      </c>
      <c r="G546" s="11" t="s">
        <v>164</v>
      </c>
      <c r="H546" s="11" t="s">
        <v>1908</v>
      </c>
      <c r="I546" s="12" t="s">
        <v>164</v>
      </c>
      <c r="J546" s="11" t="s">
        <v>2805</v>
      </c>
      <c r="K546" s="10"/>
      <c r="L546" s="10"/>
    </row>
    <row r="547" spans="1:12" x14ac:dyDescent="0.25">
      <c r="A547" s="21" t="s">
        <v>1681</v>
      </c>
      <c r="B547" s="12" t="s">
        <v>637</v>
      </c>
      <c r="C547" s="11" t="s">
        <v>2800</v>
      </c>
      <c r="D547" s="13" t="s">
        <v>4510</v>
      </c>
      <c r="E547" s="11">
        <v>1069</v>
      </c>
      <c r="F547" s="21" t="s">
        <v>1682</v>
      </c>
      <c r="G547" s="11" t="s">
        <v>637</v>
      </c>
      <c r="H547" s="11" t="s">
        <v>1908</v>
      </c>
      <c r="I547" s="12" t="s">
        <v>637</v>
      </c>
      <c r="J547" s="11" t="s">
        <v>2800</v>
      </c>
      <c r="K547" s="10"/>
      <c r="L547" s="10"/>
    </row>
    <row r="548" spans="1:12" x14ac:dyDescent="0.25">
      <c r="A548" s="21" t="s">
        <v>166</v>
      </c>
      <c r="B548" s="12" t="s">
        <v>2767</v>
      </c>
      <c r="C548" s="11" t="s">
        <v>2805</v>
      </c>
      <c r="D548" s="13" t="s">
        <v>2768</v>
      </c>
      <c r="E548" s="11">
        <v>840</v>
      </c>
      <c r="F548" s="21" t="s">
        <v>2769</v>
      </c>
      <c r="G548" s="11" t="s">
        <v>2767</v>
      </c>
      <c r="H548" s="11" t="s">
        <v>1908</v>
      </c>
      <c r="I548" s="12" t="s">
        <v>2767</v>
      </c>
      <c r="J548" s="11" t="s">
        <v>2805</v>
      </c>
      <c r="K548" s="10"/>
      <c r="L548" s="10"/>
    </row>
    <row r="549" spans="1:12" x14ac:dyDescent="0.25">
      <c r="A549" s="21" t="s">
        <v>1683</v>
      </c>
      <c r="B549" s="12" t="s">
        <v>1684</v>
      </c>
      <c r="C549" s="11" t="s">
        <v>2805</v>
      </c>
      <c r="D549" s="13" t="s">
        <v>2214</v>
      </c>
      <c r="E549" s="11">
        <v>403</v>
      </c>
      <c r="F549" s="21" t="s">
        <v>1685</v>
      </c>
      <c r="G549" s="11" t="s">
        <v>1684</v>
      </c>
      <c r="H549" s="11" t="s">
        <v>1908</v>
      </c>
      <c r="I549" s="12" t="s">
        <v>1684</v>
      </c>
      <c r="J549" s="11" t="s">
        <v>2805</v>
      </c>
      <c r="K549" s="10"/>
      <c r="L549" s="10"/>
    </row>
    <row r="550" spans="1:12" x14ac:dyDescent="0.25">
      <c r="A550" s="21" t="s">
        <v>1686</v>
      </c>
      <c r="B550" s="12" t="s">
        <v>1687</v>
      </c>
      <c r="C550" s="11" t="s">
        <v>2805</v>
      </c>
      <c r="D550" s="13" t="s">
        <v>1668</v>
      </c>
      <c r="E550" s="11">
        <v>200</v>
      </c>
      <c r="F550" s="21" t="s">
        <v>1688</v>
      </c>
      <c r="G550" s="11" t="s">
        <v>1687</v>
      </c>
      <c r="H550" s="11" t="s">
        <v>1908</v>
      </c>
      <c r="I550" s="12" t="s">
        <v>1687</v>
      </c>
      <c r="J550" s="11" t="s">
        <v>2805</v>
      </c>
      <c r="K550" s="10"/>
      <c r="L550" s="10"/>
    </row>
    <row r="551" spans="1:12" x14ac:dyDescent="0.25">
      <c r="A551" s="21" t="s">
        <v>2770</v>
      </c>
      <c r="B551" s="12" t="s">
        <v>2771</v>
      </c>
      <c r="C551" s="11" t="s">
        <v>2805</v>
      </c>
      <c r="D551" s="13" t="s">
        <v>2772</v>
      </c>
      <c r="E551" s="11">
        <v>137</v>
      </c>
      <c r="F551" s="21" t="s">
        <v>2773</v>
      </c>
      <c r="G551" s="11" t="s">
        <v>2771</v>
      </c>
      <c r="H551" s="11" t="s">
        <v>1908</v>
      </c>
      <c r="I551" s="12" t="s">
        <v>2771</v>
      </c>
      <c r="J551" s="11" t="s">
        <v>2805</v>
      </c>
      <c r="K551" s="10"/>
      <c r="L551" s="10"/>
    </row>
    <row r="552" spans="1:12" x14ac:dyDescent="0.25">
      <c r="A552" s="21" t="s">
        <v>1689</v>
      </c>
      <c r="B552" s="12" t="s">
        <v>1690</v>
      </c>
      <c r="C552" s="11" t="s">
        <v>2805</v>
      </c>
      <c r="D552" s="13" t="s">
        <v>2782</v>
      </c>
      <c r="E552" s="11">
        <v>231</v>
      </c>
      <c r="F552" s="21" t="s">
        <v>1691</v>
      </c>
      <c r="G552" s="11" t="s">
        <v>1692</v>
      </c>
      <c r="H552" s="11" t="s">
        <v>1908</v>
      </c>
      <c r="I552" s="12" t="s">
        <v>1690</v>
      </c>
      <c r="J552" s="11" t="s">
        <v>2805</v>
      </c>
      <c r="K552" s="10"/>
      <c r="L552" s="10"/>
    </row>
    <row r="553" spans="1:12" x14ac:dyDescent="0.25">
      <c r="A553" s="21" t="s">
        <v>1693</v>
      </c>
      <c r="B553" s="12" t="s">
        <v>1694</v>
      </c>
      <c r="C553" s="11" t="s">
        <v>2805</v>
      </c>
      <c r="D553" s="13" t="s">
        <v>4655</v>
      </c>
      <c r="E553" s="11">
        <v>449</v>
      </c>
      <c r="F553" s="21" t="s">
        <v>1695</v>
      </c>
      <c r="G553" s="11" t="s">
        <v>1694</v>
      </c>
      <c r="H553" s="11" t="s">
        <v>1908</v>
      </c>
      <c r="I553" s="12" t="s">
        <v>1694</v>
      </c>
      <c r="J553" s="11" t="s">
        <v>2805</v>
      </c>
      <c r="K553" s="10"/>
      <c r="L553" s="10"/>
    </row>
    <row r="554" spans="1:12" x14ac:dyDescent="0.25">
      <c r="A554" s="21" t="s">
        <v>1696</v>
      </c>
      <c r="B554" s="12" t="s">
        <v>1697</v>
      </c>
      <c r="C554" s="11" t="s">
        <v>2805</v>
      </c>
      <c r="D554" s="13" t="s">
        <v>234</v>
      </c>
      <c r="E554" s="11">
        <v>353</v>
      </c>
      <c r="F554" s="21" t="s">
        <v>1698</v>
      </c>
      <c r="G554" s="11" t="s">
        <v>1697</v>
      </c>
      <c r="H554" s="11" t="s">
        <v>1908</v>
      </c>
      <c r="I554" s="12" t="s">
        <v>1697</v>
      </c>
      <c r="J554" s="11" t="s">
        <v>2805</v>
      </c>
      <c r="K554" s="10"/>
      <c r="L554" s="10"/>
    </row>
    <row r="555" spans="1:12" x14ac:dyDescent="0.25">
      <c r="A555" s="21" t="s">
        <v>1699</v>
      </c>
      <c r="B555" s="12" t="s">
        <v>1700</v>
      </c>
      <c r="C555" s="11" t="s">
        <v>2805</v>
      </c>
      <c r="D555" s="13" t="s">
        <v>2226</v>
      </c>
      <c r="E555" s="11">
        <v>631</v>
      </c>
      <c r="F555" s="21" t="s">
        <v>1701</v>
      </c>
      <c r="G555" s="11" t="s">
        <v>1700</v>
      </c>
      <c r="H555" s="11" t="s">
        <v>1908</v>
      </c>
      <c r="I555" s="12" t="s">
        <v>1700</v>
      </c>
      <c r="J555" s="11" t="s">
        <v>2805</v>
      </c>
      <c r="K555" s="10"/>
      <c r="L555" s="10"/>
    </row>
    <row r="556" spans="1:12" x14ac:dyDescent="0.25">
      <c r="A556" s="21" t="s">
        <v>1217</v>
      </c>
      <c r="B556" s="12" t="s">
        <v>1218</v>
      </c>
      <c r="C556" s="11" t="s">
        <v>2805</v>
      </c>
      <c r="D556" s="13" t="s">
        <v>1908</v>
      </c>
      <c r="E556" s="11">
        <v>391</v>
      </c>
      <c r="F556" s="21" t="s">
        <v>1219</v>
      </c>
      <c r="G556" s="11" t="s">
        <v>1218</v>
      </c>
      <c r="H556" s="11" t="s">
        <v>1908</v>
      </c>
      <c r="I556" s="12" t="s">
        <v>1218</v>
      </c>
      <c r="J556" s="11" t="s">
        <v>2805</v>
      </c>
      <c r="K556" s="10"/>
      <c r="L556" s="10"/>
    </row>
    <row r="557" spans="1:12" x14ac:dyDescent="0.25">
      <c r="A557" s="21" t="s">
        <v>2774</v>
      </c>
      <c r="B557" s="12" t="s">
        <v>2775</v>
      </c>
      <c r="C557" s="11" t="s">
        <v>2805</v>
      </c>
      <c r="D557" s="13" t="s">
        <v>1215</v>
      </c>
      <c r="E557" s="11">
        <v>163</v>
      </c>
      <c r="F557" s="21" t="s">
        <v>1216</v>
      </c>
      <c r="G557" s="11" t="s">
        <v>2775</v>
      </c>
      <c r="H557" s="11" t="s">
        <v>1908</v>
      </c>
      <c r="I557" s="12" t="s">
        <v>2775</v>
      </c>
      <c r="J557" s="11" t="s">
        <v>2805</v>
      </c>
      <c r="K557" s="10"/>
      <c r="L557" s="10"/>
    </row>
    <row r="558" spans="1:12" x14ac:dyDescent="0.25">
      <c r="A558" s="21" t="s">
        <v>1702</v>
      </c>
      <c r="B558" s="12" t="s">
        <v>1703</v>
      </c>
      <c r="C558" s="11" t="s">
        <v>2805</v>
      </c>
      <c r="D558" s="13" t="s">
        <v>1704</v>
      </c>
      <c r="E558" s="11" t="s">
        <v>2163</v>
      </c>
      <c r="F558" s="21" t="s">
        <v>1705</v>
      </c>
      <c r="G558" s="11" t="s">
        <v>1703</v>
      </c>
      <c r="H558" s="11" t="s">
        <v>1908</v>
      </c>
      <c r="I558" s="12" t="s">
        <v>1703</v>
      </c>
      <c r="J558" s="11" t="s">
        <v>2805</v>
      </c>
      <c r="K558" s="10"/>
      <c r="L558" s="10"/>
    </row>
    <row r="559" spans="1:12" x14ac:dyDescent="0.25">
      <c r="A559" s="21" t="s">
        <v>1220</v>
      </c>
      <c r="B559" s="12" t="s">
        <v>1221</v>
      </c>
      <c r="C559" s="11" t="s">
        <v>2805</v>
      </c>
      <c r="D559" s="13" t="s">
        <v>1222</v>
      </c>
      <c r="E559" s="11">
        <v>470</v>
      </c>
      <c r="F559" s="21" t="s">
        <v>1223</v>
      </c>
      <c r="G559" s="11" t="s">
        <v>1221</v>
      </c>
      <c r="H559" s="11" t="s">
        <v>1908</v>
      </c>
      <c r="I559" s="12" t="s">
        <v>1221</v>
      </c>
      <c r="J559" s="11" t="s">
        <v>2805</v>
      </c>
      <c r="K559" s="10"/>
      <c r="L559" s="10"/>
    </row>
    <row r="560" spans="1:12" x14ac:dyDescent="0.25">
      <c r="A560" s="21" t="s">
        <v>1706</v>
      </c>
      <c r="B560" s="12" t="s">
        <v>1707</v>
      </c>
      <c r="C560" s="11" t="s">
        <v>2805</v>
      </c>
      <c r="D560" s="13" t="s">
        <v>255</v>
      </c>
      <c r="E560" s="11">
        <v>790</v>
      </c>
      <c r="F560" s="21" t="s">
        <v>1708</v>
      </c>
      <c r="G560" s="11" t="s">
        <v>1707</v>
      </c>
      <c r="H560" s="11" t="s">
        <v>1908</v>
      </c>
      <c r="I560" s="12" t="s">
        <v>1707</v>
      </c>
      <c r="J560" s="11" t="s">
        <v>2805</v>
      </c>
      <c r="K560" s="10"/>
      <c r="L560" s="10"/>
    </row>
    <row r="561" spans="1:12" x14ac:dyDescent="0.25">
      <c r="A561" s="21" t="s">
        <v>1224</v>
      </c>
      <c r="B561" s="12" t="s">
        <v>1225</v>
      </c>
      <c r="C561" s="11" t="s">
        <v>2805</v>
      </c>
      <c r="D561" s="13" t="s">
        <v>255</v>
      </c>
      <c r="E561" s="11">
        <v>370</v>
      </c>
      <c r="F561" s="21" t="s">
        <v>1226</v>
      </c>
      <c r="G561" s="11" t="s">
        <v>1225</v>
      </c>
      <c r="H561" s="11" t="s">
        <v>1908</v>
      </c>
      <c r="I561" s="12" t="s">
        <v>1225</v>
      </c>
      <c r="J561" s="11" t="s">
        <v>2805</v>
      </c>
      <c r="K561" s="10"/>
      <c r="L561" s="10"/>
    </row>
    <row r="562" spans="1:12" x14ac:dyDescent="0.25">
      <c r="A562" s="21" t="s">
        <v>1227</v>
      </c>
      <c r="B562" s="12" t="s">
        <v>1228</v>
      </c>
      <c r="C562" s="11" t="s">
        <v>2805</v>
      </c>
      <c r="D562" s="13" t="s">
        <v>2226</v>
      </c>
      <c r="E562" s="11">
        <v>754</v>
      </c>
      <c r="F562" s="21" t="s">
        <v>1229</v>
      </c>
      <c r="G562" s="11" t="s">
        <v>1228</v>
      </c>
      <c r="H562" s="11" t="s">
        <v>1908</v>
      </c>
      <c r="I562" s="12" t="s">
        <v>1228</v>
      </c>
      <c r="J562" s="11" t="s">
        <v>2805</v>
      </c>
      <c r="K562" s="10"/>
      <c r="L562" s="10"/>
    </row>
    <row r="563" spans="1:12" x14ac:dyDescent="0.25">
      <c r="A563" s="21" t="s">
        <v>1230</v>
      </c>
      <c r="B563" s="12" t="s">
        <v>3802</v>
      </c>
      <c r="C563" s="11" t="s">
        <v>2805</v>
      </c>
      <c r="D563" s="13" t="s">
        <v>4453</v>
      </c>
      <c r="E563" s="11">
        <v>205</v>
      </c>
      <c r="F563" s="21" t="s">
        <v>4597</v>
      </c>
      <c r="G563" s="11" t="s">
        <v>3802</v>
      </c>
      <c r="H563" s="11" t="s">
        <v>1908</v>
      </c>
      <c r="I563" s="12" t="s">
        <v>3802</v>
      </c>
      <c r="J563" s="11" t="s">
        <v>2805</v>
      </c>
      <c r="K563" s="10"/>
      <c r="L563" s="10"/>
    </row>
    <row r="564" spans="1:12" x14ac:dyDescent="0.25">
      <c r="A564" s="21" t="s">
        <v>4598</v>
      </c>
      <c r="B564" s="12" t="s">
        <v>4599</v>
      </c>
      <c r="C564" s="11" t="s">
        <v>2805</v>
      </c>
      <c r="D564" s="13" t="s">
        <v>2132</v>
      </c>
      <c r="E564" s="11">
        <v>200</v>
      </c>
      <c r="F564" s="21" t="s">
        <v>4600</v>
      </c>
      <c r="G564" s="11" t="s">
        <v>4599</v>
      </c>
      <c r="H564" s="11" t="s">
        <v>1908</v>
      </c>
      <c r="I564" s="12" t="s">
        <v>4599</v>
      </c>
      <c r="J564" s="11" t="s">
        <v>2805</v>
      </c>
      <c r="K564" s="10"/>
      <c r="L564" s="10"/>
    </row>
    <row r="565" spans="1:12" x14ac:dyDescent="0.25">
      <c r="A565" s="21" t="s">
        <v>4601</v>
      </c>
      <c r="B565" s="12" t="s">
        <v>1600</v>
      </c>
      <c r="C565" s="11" t="s">
        <v>2805</v>
      </c>
      <c r="D565" s="13" t="s">
        <v>422</v>
      </c>
      <c r="E565" s="11">
        <v>403</v>
      </c>
      <c r="F565" s="21" t="s">
        <v>4602</v>
      </c>
      <c r="G565" s="11" t="s">
        <v>1600</v>
      </c>
      <c r="H565" s="11" t="s">
        <v>1908</v>
      </c>
      <c r="I565" s="12" t="s">
        <v>1600</v>
      </c>
      <c r="J565" s="11" t="s">
        <v>2805</v>
      </c>
      <c r="K565" s="10"/>
      <c r="L565" s="10"/>
    </row>
    <row r="566" spans="1:12" x14ac:dyDescent="0.25">
      <c r="A566" s="21" t="s">
        <v>4607</v>
      </c>
      <c r="B566" s="12" t="s">
        <v>4608</v>
      </c>
      <c r="C566" s="11" t="s">
        <v>2805</v>
      </c>
      <c r="D566" s="13" t="s">
        <v>1908</v>
      </c>
      <c r="E566" s="11">
        <v>269</v>
      </c>
      <c r="F566" s="21" t="s">
        <v>4609</v>
      </c>
      <c r="G566" s="11" t="s">
        <v>4610</v>
      </c>
      <c r="H566" s="11" t="s">
        <v>1908</v>
      </c>
      <c r="I566" s="12" t="s">
        <v>4608</v>
      </c>
      <c r="J566" s="11" t="s">
        <v>2805</v>
      </c>
      <c r="K566" s="10"/>
      <c r="L566" s="10"/>
    </row>
    <row r="567" spans="1:12" x14ac:dyDescent="0.25">
      <c r="A567" s="21" t="s">
        <v>4611</v>
      </c>
      <c r="B567" s="12" t="s">
        <v>4612</v>
      </c>
      <c r="C567" s="11" t="s">
        <v>2805</v>
      </c>
      <c r="D567" s="13" t="s">
        <v>2248</v>
      </c>
      <c r="E567" s="11">
        <v>316</v>
      </c>
      <c r="F567" s="21" t="s">
        <v>4613</v>
      </c>
      <c r="G567" s="11" t="s">
        <v>4612</v>
      </c>
      <c r="H567" s="11" t="s">
        <v>1908</v>
      </c>
      <c r="I567" s="12" t="s">
        <v>4612</v>
      </c>
      <c r="J567" s="11" t="s">
        <v>2805</v>
      </c>
      <c r="K567" s="10"/>
      <c r="L567" s="10"/>
    </row>
    <row r="568" spans="1:12" x14ac:dyDescent="0.25">
      <c r="A568" s="21" t="s">
        <v>4614</v>
      </c>
      <c r="B568" s="12" t="s">
        <v>4615</v>
      </c>
      <c r="C568" s="11" t="s">
        <v>2805</v>
      </c>
      <c r="D568" s="13" t="s">
        <v>247</v>
      </c>
      <c r="E568" s="11">
        <v>0</v>
      </c>
      <c r="F568" s="21" t="s">
        <v>4616</v>
      </c>
      <c r="G568" s="11" t="s">
        <v>4615</v>
      </c>
      <c r="H568" s="11" t="s">
        <v>1908</v>
      </c>
      <c r="I568" s="12" t="s">
        <v>4615</v>
      </c>
      <c r="J568" s="11" t="s">
        <v>2805</v>
      </c>
      <c r="K568" s="10"/>
      <c r="L568" s="10"/>
    </row>
    <row r="569" spans="1:12" x14ac:dyDescent="0.25">
      <c r="A569" s="21" t="s">
        <v>4617</v>
      </c>
      <c r="B569" s="12" t="s">
        <v>4618</v>
      </c>
      <c r="C569" s="11" t="s">
        <v>2805</v>
      </c>
      <c r="D569" s="13" t="s">
        <v>4619</v>
      </c>
      <c r="E569" s="11" t="s">
        <v>2163</v>
      </c>
      <c r="F569" s="21" t="s">
        <v>4620</v>
      </c>
      <c r="G569" s="11" t="s">
        <v>4618</v>
      </c>
      <c r="H569" s="11" t="s">
        <v>1908</v>
      </c>
      <c r="I569" s="12" t="s">
        <v>4618</v>
      </c>
      <c r="J569" s="11" t="s">
        <v>2805</v>
      </c>
      <c r="K569" s="10"/>
      <c r="L569" s="10"/>
    </row>
    <row r="570" spans="1:12" x14ac:dyDescent="0.25">
      <c r="A570" s="21" t="s">
        <v>4621</v>
      </c>
      <c r="B570" s="12" t="s">
        <v>4622</v>
      </c>
      <c r="C570" s="11" t="s">
        <v>2805</v>
      </c>
      <c r="D570" s="13" t="s">
        <v>992</v>
      </c>
      <c r="E570" s="11">
        <v>26</v>
      </c>
      <c r="F570" s="21" t="s">
        <v>4623</v>
      </c>
      <c r="G570" s="11" t="s">
        <v>4622</v>
      </c>
      <c r="H570" s="11" t="s">
        <v>1908</v>
      </c>
      <c r="I570" s="12" t="s">
        <v>4622</v>
      </c>
      <c r="J570" s="11" t="s">
        <v>2805</v>
      </c>
      <c r="K570" s="10"/>
      <c r="L570" s="10"/>
    </row>
    <row r="571" spans="1:12" x14ac:dyDescent="0.25">
      <c r="A571" s="21" t="s">
        <v>4624</v>
      </c>
      <c r="B571" s="12" t="s">
        <v>4625</v>
      </c>
      <c r="C571" s="11" t="s">
        <v>2805</v>
      </c>
      <c r="D571" s="13" t="s">
        <v>3025</v>
      </c>
      <c r="E571" s="11">
        <v>485</v>
      </c>
      <c r="F571" s="21" t="s">
        <v>4626</v>
      </c>
      <c r="G571" s="11" t="s">
        <v>4625</v>
      </c>
      <c r="H571" s="11" t="s">
        <v>1908</v>
      </c>
      <c r="I571" s="12" t="s">
        <v>4625</v>
      </c>
      <c r="J571" s="11" t="s">
        <v>2805</v>
      </c>
      <c r="K571" s="10"/>
      <c r="L571" s="10"/>
    </row>
    <row r="572" spans="1:12" x14ac:dyDescent="0.25">
      <c r="A572" s="21" t="s">
        <v>4627</v>
      </c>
      <c r="B572" s="12" t="s">
        <v>4628</v>
      </c>
      <c r="C572" s="11" t="s">
        <v>2805</v>
      </c>
      <c r="D572" s="13" t="s">
        <v>2648</v>
      </c>
      <c r="E572" s="11">
        <v>102</v>
      </c>
      <c r="F572" s="21" t="s">
        <v>4629</v>
      </c>
      <c r="G572" s="11" t="s">
        <v>4628</v>
      </c>
      <c r="H572" s="11" t="s">
        <v>1908</v>
      </c>
      <c r="I572" s="12" t="s">
        <v>4628</v>
      </c>
      <c r="J572" s="11" t="s">
        <v>2805</v>
      </c>
      <c r="K572" s="10"/>
      <c r="L572" s="10"/>
    </row>
    <row r="573" spans="1:12" x14ac:dyDescent="0.25">
      <c r="A573" s="21" t="s">
        <v>4630</v>
      </c>
      <c r="B573" s="12" t="s">
        <v>4631</v>
      </c>
      <c r="C573" s="11" t="s">
        <v>2805</v>
      </c>
      <c r="D573" s="13" t="s">
        <v>2190</v>
      </c>
      <c r="E573" s="11">
        <v>50</v>
      </c>
      <c r="F573" s="21" t="s">
        <v>4632</v>
      </c>
      <c r="G573" s="11" t="s">
        <v>4631</v>
      </c>
      <c r="H573" s="11" t="s">
        <v>1908</v>
      </c>
      <c r="I573" s="12" t="s">
        <v>4631</v>
      </c>
      <c r="J573" s="11" t="s">
        <v>2805</v>
      </c>
      <c r="K573" s="10"/>
      <c r="L573" s="10"/>
    </row>
    <row r="574" spans="1:12" x14ac:dyDescent="0.25">
      <c r="A574" s="21" t="s">
        <v>4633</v>
      </c>
      <c r="B574" s="12" t="s">
        <v>4634</v>
      </c>
      <c r="C574" s="11" t="s">
        <v>2805</v>
      </c>
      <c r="D574" s="13" t="s">
        <v>2190</v>
      </c>
      <c r="E574" s="11">
        <v>314</v>
      </c>
      <c r="F574" s="21" t="s">
        <v>4635</v>
      </c>
      <c r="G574" s="11" t="s">
        <v>4634</v>
      </c>
      <c r="H574" s="11" t="s">
        <v>1908</v>
      </c>
      <c r="I574" s="12" t="s">
        <v>4634</v>
      </c>
      <c r="J574" s="11" t="s">
        <v>2805</v>
      </c>
      <c r="K574" s="10"/>
      <c r="L574" s="10"/>
    </row>
    <row r="575" spans="1:12" x14ac:dyDescent="0.25">
      <c r="A575" s="21" t="s">
        <v>4642</v>
      </c>
      <c r="B575" s="12" t="s">
        <v>4643</v>
      </c>
      <c r="C575" s="11" t="s">
        <v>2805</v>
      </c>
      <c r="D575" s="13" t="s">
        <v>255</v>
      </c>
      <c r="E575" s="11">
        <v>373</v>
      </c>
      <c r="F575" s="21" t="s">
        <v>4644</v>
      </c>
      <c r="G575" s="11" t="s">
        <v>4643</v>
      </c>
      <c r="H575" s="11" t="s">
        <v>1908</v>
      </c>
      <c r="I575" s="12" t="s">
        <v>4643</v>
      </c>
      <c r="J575" s="11" t="s">
        <v>2805</v>
      </c>
      <c r="K575" s="10"/>
      <c r="L575" s="10"/>
    </row>
    <row r="576" spans="1:12" x14ac:dyDescent="0.25">
      <c r="A576" s="21" t="s">
        <v>1709</v>
      </c>
      <c r="B576" s="12" t="s">
        <v>1710</v>
      </c>
      <c r="C576" s="11" t="s">
        <v>2800</v>
      </c>
      <c r="D576" s="13" t="s">
        <v>4655</v>
      </c>
      <c r="E576" s="11">
        <v>15</v>
      </c>
      <c r="F576" s="21" t="s">
        <v>1711</v>
      </c>
      <c r="G576" s="11" t="s">
        <v>1710</v>
      </c>
      <c r="H576" s="11" t="s">
        <v>1908</v>
      </c>
      <c r="I576" s="12" t="s">
        <v>1710</v>
      </c>
      <c r="J576" s="11" t="s">
        <v>2800</v>
      </c>
      <c r="K576" s="10"/>
      <c r="L576" s="10"/>
    </row>
    <row r="577" spans="1:12" x14ac:dyDescent="0.25">
      <c r="A577" s="21" t="s">
        <v>4636</v>
      </c>
      <c r="B577" s="12" t="s">
        <v>4637</v>
      </c>
      <c r="C577" s="11" t="s">
        <v>2805</v>
      </c>
      <c r="D577" s="13" t="s">
        <v>1045</v>
      </c>
      <c r="E577" s="11">
        <v>202</v>
      </c>
      <c r="F577" s="21" t="s">
        <v>4638</v>
      </c>
      <c r="G577" s="11" t="s">
        <v>4637</v>
      </c>
      <c r="H577" s="11" t="s">
        <v>1908</v>
      </c>
      <c r="I577" s="12" t="s">
        <v>4637</v>
      </c>
      <c r="J577" s="11" t="s">
        <v>2805</v>
      </c>
      <c r="K577" s="10"/>
      <c r="L577" s="10"/>
    </row>
    <row r="578" spans="1:12" x14ac:dyDescent="0.25">
      <c r="A578" s="21" t="s">
        <v>4639</v>
      </c>
      <c r="B578" s="12" t="s">
        <v>4640</v>
      </c>
      <c r="C578" s="11" t="s">
        <v>2805</v>
      </c>
      <c r="D578" s="13" t="s">
        <v>858</v>
      </c>
      <c r="E578" s="11">
        <v>295</v>
      </c>
      <c r="F578" s="21" t="s">
        <v>4641</v>
      </c>
      <c r="G578" s="11" t="s">
        <v>4640</v>
      </c>
      <c r="H578" s="11" t="s">
        <v>1908</v>
      </c>
      <c r="I578" s="12" t="s">
        <v>4640</v>
      </c>
      <c r="J578" s="11" t="s">
        <v>2805</v>
      </c>
      <c r="K578" s="10"/>
      <c r="L578" s="10"/>
    </row>
    <row r="579" spans="1:12" x14ac:dyDescent="0.25">
      <c r="A579" s="21" t="s">
        <v>1715</v>
      </c>
      <c r="B579" s="12" t="s">
        <v>1716</v>
      </c>
      <c r="C579" s="11" t="s">
        <v>2805</v>
      </c>
      <c r="D579" s="13" t="s">
        <v>247</v>
      </c>
      <c r="E579" s="11">
        <v>531</v>
      </c>
      <c r="F579" s="21" t="s">
        <v>1717</v>
      </c>
      <c r="G579" s="11" t="s">
        <v>1716</v>
      </c>
      <c r="H579" s="11" t="s">
        <v>1908</v>
      </c>
      <c r="I579" s="12" t="s">
        <v>1716</v>
      </c>
      <c r="J579" s="11" t="s">
        <v>2805</v>
      </c>
      <c r="K579" s="10"/>
      <c r="L579" s="10"/>
    </row>
    <row r="580" spans="1:12" x14ac:dyDescent="0.25">
      <c r="A580" s="21" t="s">
        <v>2035</v>
      </c>
      <c r="B580" s="12" t="s">
        <v>2036</v>
      </c>
      <c r="C580" s="11" t="s">
        <v>2805</v>
      </c>
      <c r="D580" s="13" t="s">
        <v>430</v>
      </c>
      <c r="E580" s="11">
        <v>1</v>
      </c>
      <c r="F580" s="21" t="s">
        <v>2037</v>
      </c>
      <c r="G580" s="11" t="s">
        <v>2036</v>
      </c>
      <c r="H580" s="11" t="s">
        <v>1908</v>
      </c>
      <c r="I580" s="12" t="s">
        <v>2036</v>
      </c>
      <c r="J580" s="11" t="s">
        <v>2805</v>
      </c>
      <c r="K580" s="10"/>
      <c r="L580" s="10"/>
    </row>
    <row r="581" spans="1:12" x14ac:dyDescent="0.25">
      <c r="A581" s="21" t="s">
        <v>2030</v>
      </c>
      <c r="B581" s="12" t="s">
        <v>675</v>
      </c>
      <c r="C581" s="11" t="s">
        <v>2805</v>
      </c>
      <c r="D581" s="13" t="s">
        <v>4655</v>
      </c>
      <c r="E581" s="11">
        <v>462</v>
      </c>
      <c r="F581" s="21" t="s">
        <v>2031</v>
      </c>
      <c r="G581" s="11" t="s">
        <v>675</v>
      </c>
      <c r="H581" s="11" t="s">
        <v>1908</v>
      </c>
      <c r="I581" s="12" t="s">
        <v>675</v>
      </c>
      <c r="J581" s="11" t="s">
        <v>2805</v>
      </c>
      <c r="K581" s="10"/>
      <c r="L581" s="10"/>
    </row>
    <row r="582" spans="1:12" x14ac:dyDescent="0.25">
      <c r="A582" s="21" t="s">
        <v>1718</v>
      </c>
      <c r="B582" s="12" t="s">
        <v>1719</v>
      </c>
      <c r="C582" s="11" t="s">
        <v>2805</v>
      </c>
      <c r="D582" s="13" t="s">
        <v>1479</v>
      </c>
      <c r="E582" s="11">
        <v>60</v>
      </c>
      <c r="F582" s="21" t="s">
        <v>1720</v>
      </c>
      <c r="G582" s="11" t="s">
        <v>1719</v>
      </c>
      <c r="H582" s="11" t="s">
        <v>1908</v>
      </c>
      <c r="I582" s="12" t="s">
        <v>1719</v>
      </c>
      <c r="J582" s="11" t="s">
        <v>2805</v>
      </c>
      <c r="K582" s="10"/>
      <c r="L582" s="10"/>
    </row>
    <row r="583" spans="1:12" x14ac:dyDescent="0.25">
      <c r="A583" s="21" t="s">
        <v>1721</v>
      </c>
      <c r="B583" s="12" t="s">
        <v>1722</v>
      </c>
      <c r="C583" s="11" t="s">
        <v>2800</v>
      </c>
      <c r="D583" s="13" t="s">
        <v>3454</v>
      </c>
      <c r="E583" s="11">
        <v>184</v>
      </c>
      <c r="F583" s="21" t="s">
        <v>1723</v>
      </c>
      <c r="G583" s="11" t="s">
        <v>1722</v>
      </c>
      <c r="H583" s="11" t="s">
        <v>1908</v>
      </c>
      <c r="I583" s="12" t="s">
        <v>1722</v>
      </c>
      <c r="J583" s="11" t="s">
        <v>2800</v>
      </c>
      <c r="K583" s="10"/>
      <c r="L583" s="10"/>
    </row>
    <row r="584" spans="1:12" x14ac:dyDescent="0.25">
      <c r="A584" s="21" t="s">
        <v>1724</v>
      </c>
      <c r="B584" s="12" t="s">
        <v>1725</v>
      </c>
      <c r="C584" s="11" t="s">
        <v>2805</v>
      </c>
      <c r="D584" s="13" t="s">
        <v>1726</v>
      </c>
      <c r="E584" s="11">
        <v>255</v>
      </c>
      <c r="F584" s="21" t="s">
        <v>1727</v>
      </c>
      <c r="G584" s="11" t="s">
        <v>1725</v>
      </c>
      <c r="H584" s="11" t="s">
        <v>1908</v>
      </c>
      <c r="I584" s="12" t="s">
        <v>1725</v>
      </c>
      <c r="J584" s="11" t="s">
        <v>2805</v>
      </c>
      <c r="K584" s="10"/>
      <c r="L584" s="10"/>
    </row>
    <row r="585" spans="1:12" x14ac:dyDescent="0.25">
      <c r="A585" s="21" t="s">
        <v>1728</v>
      </c>
      <c r="B585" s="12" t="s">
        <v>1729</v>
      </c>
      <c r="C585" s="11" t="s">
        <v>2805</v>
      </c>
      <c r="D585" s="13" t="s">
        <v>1730</v>
      </c>
      <c r="E585" s="11" t="s">
        <v>2163</v>
      </c>
      <c r="F585" s="21" t="s">
        <v>1731</v>
      </c>
      <c r="G585" s="11" t="s">
        <v>1732</v>
      </c>
      <c r="H585" s="11" t="s">
        <v>1908</v>
      </c>
      <c r="I585" s="12" t="s">
        <v>1729</v>
      </c>
      <c r="J585" s="11" t="s">
        <v>2805</v>
      </c>
      <c r="K585" s="10"/>
      <c r="L585" s="10"/>
    </row>
    <row r="586" spans="1:12" x14ac:dyDescent="0.25">
      <c r="A586" s="21" t="s">
        <v>1733</v>
      </c>
      <c r="B586" s="12" t="s">
        <v>1734</v>
      </c>
      <c r="C586" s="11" t="s">
        <v>2805</v>
      </c>
      <c r="D586" s="13" t="s">
        <v>255</v>
      </c>
      <c r="E586" s="11">
        <v>897</v>
      </c>
      <c r="F586" s="21" t="s">
        <v>1735</v>
      </c>
      <c r="G586" s="11" t="s">
        <v>1734</v>
      </c>
      <c r="H586" s="11" t="s">
        <v>1908</v>
      </c>
      <c r="I586" s="12" t="s">
        <v>1734</v>
      </c>
      <c r="J586" s="11" t="s">
        <v>2805</v>
      </c>
      <c r="K586" s="10"/>
      <c r="L586" s="10"/>
    </row>
    <row r="587" spans="1:12" x14ac:dyDescent="0.25">
      <c r="A587" s="21" t="s">
        <v>1712</v>
      </c>
      <c r="B587" s="12" t="s">
        <v>1713</v>
      </c>
      <c r="C587" s="11" t="s">
        <v>2805</v>
      </c>
      <c r="D587" s="13" t="s">
        <v>270</v>
      </c>
      <c r="E587" s="11">
        <v>1</v>
      </c>
      <c r="F587" s="21" t="s">
        <v>1714</v>
      </c>
      <c r="G587" s="11" t="s">
        <v>346</v>
      </c>
      <c r="H587" s="11" t="s">
        <v>1908</v>
      </c>
      <c r="I587" s="12" t="s">
        <v>1713</v>
      </c>
      <c r="J587" s="11" t="s">
        <v>2805</v>
      </c>
      <c r="K587" s="10"/>
      <c r="L587" s="10"/>
    </row>
    <row r="588" spans="1:12" x14ac:dyDescent="0.25">
      <c r="A588" s="21" t="s">
        <v>2032</v>
      </c>
      <c r="B588" s="12" t="s">
        <v>2033</v>
      </c>
      <c r="C588" s="11" t="s">
        <v>2805</v>
      </c>
      <c r="D588" s="13" t="s">
        <v>3164</v>
      </c>
      <c r="E588" s="11">
        <v>99</v>
      </c>
      <c r="F588" s="21" t="s">
        <v>2034</v>
      </c>
      <c r="G588" s="11" t="s">
        <v>2033</v>
      </c>
      <c r="H588" s="11" t="s">
        <v>1908</v>
      </c>
      <c r="I588" s="12" t="s">
        <v>2033</v>
      </c>
      <c r="J588" s="11" t="s">
        <v>2805</v>
      </c>
      <c r="K588" s="10"/>
      <c r="L588" s="10"/>
    </row>
    <row r="589" spans="1:12" x14ac:dyDescent="0.25">
      <c r="A589" s="21" t="s">
        <v>1736</v>
      </c>
      <c r="B589" s="12" t="s">
        <v>1839</v>
      </c>
      <c r="C589" s="11" t="s">
        <v>2805</v>
      </c>
      <c r="D589" s="13" t="s">
        <v>1737</v>
      </c>
      <c r="E589" s="11">
        <v>0</v>
      </c>
      <c r="F589" s="21" t="s">
        <v>1738</v>
      </c>
      <c r="G589" s="11" t="s">
        <v>1839</v>
      </c>
      <c r="H589" s="11" t="s">
        <v>1908</v>
      </c>
      <c r="I589" s="12" t="s">
        <v>1839</v>
      </c>
      <c r="J589" s="11" t="s">
        <v>2805</v>
      </c>
      <c r="K589" s="10"/>
      <c r="L589" s="10"/>
    </row>
    <row r="590" spans="1:12" x14ac:dyDescent="0.25">
      <c r="A590" s="21" t="s">
        <v>2038</v>
      </c>
      <c r="B590" s="12" t="s">
        <v>2039</v>
      </c>
      <c r="C590" s="11" t="s">
        <v>2805</v>
      </c>
      <c r="D590" s="13" t="s">
        <v>3912</v>
      </c>
      <c r="E590" s="11">
        <v>494</v>
      </c>
      <c r="F590" s="21" t="s">
        <v>2040</v>
      </c>
      <c r="G590" s="11" t="s">
        <v>2039</v>
      </c>
      <c r="H590" s="11" t="s">
        <v>1908</v>
      </c>
      <c r="I590" s="12" t="s">
        <v>2039</v>
      </c>
      <c r="J590" s="11" t="s">
        <v>2805</v>
      </c>
      <c r="K590" s="10"/>
      <c r="L590" s="10"/>
    </row>
    <row r="591" spans="1:12" x14ac:dyDescent="0.25">
      <c r="A591" s="21" t="s">
        <v>2041</v>
      </c>
      <c r="B591" s="12" t="s">
        <v>2042</v>
      </c>
      <c r="C591" s="11" t="s">
        <v>2805</v>
      </c>
      <c r="D591" s="13" t="s">
        <v>2937</v>
      </c>
      <c r="E591" s="11">
        <v>266</v>
      </c>
      <c r="F591" s="21" t="s">
        <v>2043</v>
      </c>
      <c r="G591" s="11" t="s">
        <v>2042</v>
      </c>
      <c r="H591" s="11" t="s">
        <v>1908</v>
      </c>
      <c r="I591" s="12" t="s">
        <v>2042</v>
      </c>
      <c r="J591" s="11" t="s">
        <v>2805</v>
      </c>
      <c r="K591" s="10"/>
      <c r="L591" s="10"/>
    </row>
    <row r="592" spans="1:12" x14ac:dyDescent="0.25">
      <c r="A592" s="21" t="s">
        <v>1739</v>
      </c>
      <c r="B592" s="12" t="s">
        <v>1740</v>
      </c>
      <c r="C592" s="11" t="s">
        <v>2805</v>
      </c>
      <c r="D592" s="13" t="s">
        <v>4300</v>
      </c>
      <c r="E592" s="11">
        <v>44</v>
      </c>
      <c r="F592" s="21" t="s">
        <v>1741</v>
      </c>
      <c r="G592" s="11" t="s">
        <v>1740</v>
      </c>
      <c r="H592" s="11" t="s">
        <v>1908</v>
      </c>
      <c r="I592" s="12" t="s">
        <v>1740</v>
      </c>
      <c r="J592" s="11" t="s">
        <v>2805</v>
      </c>
      <c r="K592" s="10"/>
      <c r="L592" s="10"/>
    </row>
    <row r="593" spans="1:12" x14ac:dyDescent="0.25">
      <c r="A593" s="21" t="s">
        <v>2058</v>
      </c>
      <c r="B593" s="12" t="s">
        <v>2059</v>
      </c>
      <c r="C593" s="11" t="s">
        <v>2805</v>
      </c>
      <c r="D593" s="13" t="s">
        <v>2060</v>
      </c>
      <c r="E593" s="11">
        <v>174</v>
      </c>
      <c r="F593" s="21" t="s">
        <v>2061</v>
      </c>
      <c r="G593" s="11" t="s">
        <v>3768</v>
      </c>
      <c r="H593" s="11" t="s">
        <v>1908</v>
      </c>
      <c r="I593" s="12" t="s">
        <v>2059</v>
      </c>
      <c r="J593" s="11" t="s">
        <v>2805</v>
      </c>
      <c r="K593" s="10"/>
      <c r="L593" s="10"/>
    </row>
    <row r="594" spans="1:12" x14ac:dyDescent="0.25">
      <c r="A594" s="21" t="s">
        <v>1742</v>
      </c>
      <c r="B594" s="12" t="s">
        <v>1743</v>
      </c>
      <c r="C594" s="11" t="s">
        <v>2805</v>
      </c>
      <c r="D594" s="13" t="s">
        <v>415</v>
      </c>
      <c r="E594" s="11">
        <v>205</v>
      </c>
      <c r="F594" s="21" t="s">
        <v>1744</v>
      </c>
      <c r="G594" s="11" t="s">
        <v>1743</v>
      </c>
      <c r="H594" s="11" t="s">
        <v>1908</v>
      </c>
      <c r="I594" s="12" t="s">
        <v>1743</v>
      </c>
      <c r="J594" s="11" t="s">
        <v>2805</v>
      </c>
      <c r="K594" s="10"/>
      <c r="L594" s="10"/>
    </row>
    <row r="595" spans="1:12" x14ac:dyDescent="0.25">
      <c r="A595" s="21" t="s">
        <v>1745</v>
      </c>
      <c r="B595" s="12" t="s">
        <v>3526</v>
      </c>
      <c r="C595" s="11" t="s">
        <v>2805</v>
      </c>
      <c r="D595" s="13" t="s">
        <v>3527</v>
      </c>
      <c r="E595" s="11">
        <v>246</v>
      </c>
      <c r="F595" s="21" t="s">
        <v>3528</v>
      </c>
      <c r="G595" s="11" t="s">
        <v>3529</v>
      </c>
      <c r="H595" s="11" t="s">
        <v>1908</v>
      </c>
      <c r="I595" s="12" t="s">
        <v>3526</v>
      </c>
      <c r="J595" s="11" t="s">
        <v>2805</v>
      </c>
      <c r="K595" s="10"/>
      <c r="L595" s="10"/>
    </row>
    <row r="596" spans="1:12" x14ac:dyDescent="0.25">
      <c r="A596" s="21" t="s">
        <v>2044</v>
      </c>
      <c r="B596" s="12" t="s">
        <v>2045</v>
      </c>
      <c r="C596" s="11" t="s">
        <v>2805</v>
      </c>
      <c r="D596" s="13" t="s">
        <v>2674</v>
      </c>
      <c r="E596" s="11">
        <v>751</v>
      </c>
      <c r="F596" s="21" t="s">
        <v>2046</v>
      </c>
      <c r="G596" s="11" t="s">
        <v>2045</v>
      </c>
      <c r="H596" s="11" t="s">
        <v>1908</v>
      </c>
      <c r="I596" s="12" t="s">
        <v>2045</v>
      </c>
      <c r="J596" s="11" t="s">
        <v>2805</v>
      </c>
      <c r="K596" s="10"/>
      <c r="L596" s="10"/>
    </row>
    <row r="597" spans="1:12" x14ac:dyDescent="0.25">
      <c r="A597" s="21" t="s">
        <v>3530</v>
      </c>
      <c r="B597" s="12" t="s">
        <v>3531</v>
      </c>
      <c r="C597" s="11" t="s">
        <v>2805</v>
      </c>
      <c r="D597" s="13" t="s">
        <v>3532</v>
      </c>
      <c r="E597" s="11">
        <v>332</v>
      </c>
      <c r="F597" s="21" t="s">
        <v>3533</v>
      </c>
      <c r="G597" s="11" t="s">
        <v>3531</v>
      </c>
      <c r="H597" s="11" t="s">
        <v>1908</v>
      </c>
      <c r="I597" s="12" t="s">
        <v>3531</v>
      </c>
      <c r="J597" s="11" t="s">
        <v>2805</v>
      </c>
      <c r="K597" s="10"/>
      <c r="L597" s="10"/>
    </row>
    <row r="598" spans="1:12" x14ac:dyDescent="0.25">
      <c r="A598" s="21" t="s">
        <v>3534</v>
      </c>
      <c r="B598" s="12" t="s">
        <v>3535</v>
      </c>
      <c r="C598" s="11" t="s">
        <v>2805</v>
      </c>
      <c r="D598" s="13" t="s">
        <v>3536</v>
      </c>
      <c r="E598" s="11">
        <v>51</v>
      </c>
      <c r="F598" s="21" t="s">
        <v>3537</v>
      </c>
      <c r="G598" s="11" t="s">
        <v>3535</v>
      </c>
      <c r="H598" s="11" t="s">
        <v>1908</v>
      </c>
      <c r="I598" s="12" t="s">
        <v>3535</v>
      </c>
      <c r="J598" s="11" t="s">
        <v>2805</v>
      </c>
      <c r="K598" s="10"/>
      <c r="L598" s="10"/>
    </row>
    <row r="599" spans="1:12" x14ac:dyDescent="0.25">
      <c r="A599" s="21" t="s">
        <v>2047</v>
      </c>
      <c r="B599" s="12" t="s">
        <v>2048</v>
      </c>
      <c r="C599" s="11" t="s">
        <v>2805</v>
      </c>
      <c r="D599" s="13" t="s">
        <v>2049</v>
      </c>
      <c r="E599" s="11">
        <v>495</v>
      </c>
      <c r="F599" s="21" t="s">
        <v>2050</v>
      </c>
      <c r="G599" s="11" t="s">
        <v>2048</v>
      </c>
      <c r="H599" s="11" t="s">
        <v>1908</v>
      </c>
      <c r="I599" s="12" t="s">
        <v>2048</v>
      </c>
      <c r="J599" s="11" t="s">
        <v>2805</v>
      </c>
      <c r="K599" s="10"/>
      <c r="L599" s="10"/>
    </row>
    <row r="600" spans="1:12" x14ac:dyDescent="0.25">
      <c r="A600" s="21" t="s">
        <v>3538</v>
      </c>
      <c r="B600" s="12" t="s">
        <v>3539</v>
      </c>
      <c r="C600" s="11" t="s">
        <v>2805</v>
      </c>
      <c r="D600" s="13" t="s">
        <v>3540</v>
      </c>
      <c r="E600" s="11" t="s">
        <v>2163</v>
      </c>
      <c r="F600" s="21" t="s">
        <v>3541</v>
      </c>
      <c r="G600" s="11" t="s">
        <v>3542</v>
      </c>
      <c r="H600" s="11" t="s">
        <v>1908</v>
      </c>
      <c r="I600" s="12" t="s">
        <v>3539</v>
      </c>
      <c r="J600" s="11" t="s">
        <v>2805</v>
      </c>
      <c r="K600" s="10"/>
      <c r="L600" s="10"/>
    </row>
    <row r="601" spans="1:12" x14ac:dyDescent="0.25">
      <c r="A601" s="21" t="s">
        <v>2055</v>
      </c>
      <c r="B601" s="12" t="s">
        <v>2056</v>
      </c>
      <c r="C601" s="11" t="s">
        <v>2805</v>
      </c>
      <c r="D601" s="13" t="s">
        <v>2950</v>
      </c>
      <c r="E601" s="11">
        <v>330</v>
      </c>
      <c r="F601" s="21" t="s">
        <v>2057</v>
      </c>
      <c r="G601" s="11" t="s">
        <v>2056</v>
      </c>
      <c r="H601" s="11" t="s">
        <v>1908</v>
      </c>
      <c r="I601" s="12" t="s">
        <v>2056</v>
      </c>
      <c r="J601" s="11" t="s">
        <v>2805</v>
      </c>
      <c r="K601" s="10"/>
      <c r="L601" s="10"/>
    </row>
    <row r="602" spans="1:12" x14ac:dyDescent="0.25">
      <c r="A602" s="21" t="s">
        <v>2051</v>
      </c>
      <c r="B602" s="12" t="s">
        <v>2052</v>
      </c>
      <c r="C602" s="11" t="s">
        <v>2805</v>
      </c>
      <c r="D602" s="13" t="s">
        <v>2053</v>
      </c>
      <c r="E602" s="11">
        <v>598</v>
      </c>
      <c r="F602" s="21" t="s">
        <v>2054</v>
      </c>
      <c r="G602" s="11" t="s">
        <v>2052</v>
      </c>
      <c r="H602" s="11" t="s">
        <v>1908</v>
      </c>
      <c r="I602" s="12" t="s">
        <v>2052</v>
      </c>
      <c r="J602" s="11" t="s">
        <v>2805</v>
      </c>
      <c r="K602" s="10"/>
      <c r="L602" s="10"/>
    </row>
    <row r="603" spans="1:12" x14ac:dyDescent="0.25">
      <c r="A603" s="21" t="s">
        <v>3543</v>
      </c>
      <c r="B603" s="12" t="s">
        <v>3544</v>
      </c>
      <c r="C603" s="11" t="s">
        <v>2805</v>
      </c>
      <c r="D603" s="13" t="s">
        <v>4412</v>
      </c>
      <c r="E603" s="11">
        <v>758</v>
      </c>
      <c r="F603" s="21" t="s">
        <v>3545</v>
      </c>
      <c r="G603" s="11" t="s">
        <v>3544</v>
      </c>
      <c r="H603" s="11" t="s">
        <v>1908</v>
      </c>
      <c r="I603" s="12" t="s">
        <v>3544</v>
      </c>
      <c r="J603" s="11" t="s">
        <v>2805</v>
      </c>
      <c r="K603" s="10"/>
      <c r="L603" s="10"/>
    </row>
    <row r="604" spans="1:12" x14ac:dyDescent="0.25">
      <c r="A604" s="21" t="s">
        <v>2011</v>
      </c>
      <c r="B604" s="12" t="s">
        <v>2012</v>
      </c>
      <c r="C604" s="11" t="s">
        <v>2805</v>
      </c>
      <c r="D604" s="13" t="s">
        <v>3749</v>
      </c>
      <c r="E604" s="11">
        <v>518</v>
      </c>
      <c r="F604" s="21" t="s">
        <v>2013</v>
      </c>
      <c r="G604" s="11" t="s">
        <v>2012</v>
      </c>
      <c r="H604" s="11" t="s">
        <v>1908</v>
      </c>
      <c r="I604" s="12" t="s">
        <v>2012</v>
      </c>
      <c r="J604" s="11" t="s">
        <v>2805</v>
      </c>
      <c r="K604" s="10"/>
      <c r="L604" s="10"/>
    </row>
    <row r="605" spans="1:12" x14ac:dyDescent="0.25">
      <c r="A605" s="21" t="s">
        <v>3876</v>
      </c>
      <c r="B605" s="12" t="s">
        <v>3877</v>
      </c>
      <c r="C605" s="11" t="s">
        <v>2805</v>
      </c>
      <c r="D605" s="13" t="s">
        <v>255</v>
      </c>
      <c r="E605" s="11">
        <v>401</v>
      </c>
      <c r="F605" s="21" t="s">
        <v>3878</v>
      </c>
      <c r="G605" s="11" t="s">
        <v>4434</v>
      </c>
      <c r="H605" s="11" t="s">
        <v>1908</v>
      </c>
      <c r="I605" s="12" t="s">
        <v>3877</v>
      </c>
      <c r="J605" s="11" t="s">
        <v>2805</v>
      </c>
      <c r="K605" s="10"/>
      <c r="L605" s="10"/>
    </row>
    <row r="606" spans="1:12" x14ac:dyDescent="0.25">
      <c r="A606" s="21" t="s">
        <v>3769</v>
      </c>
      <c r="B606" s="12" t="s">
        <v>3770</v>
      </c>
      <c r="C606" s="11" t="s">
        <v>2800</v>
      </c>
      <c r="D606" s="13" t="s">
        <v>1045</v>
      </c>
      <c r="E606" s="11">
        <v>352</v>
      </c>
      <c r="F606" s="21" t="s">
        <v>3771</v>
      </c>
      <c r="G606" s="11" t="s">
        <v>3770</v>
      </c>
      <c r="H606" s="11" t="s">
        <v>1908</v>
      </c>
      <c r="I606" s="12" t="s">
        <v>3770</v>
      </c>
      <c r="J606" s="11" t="s">
        <v>2800</v>
      </c>
      <c r="K606" s="10"/>
      <c r="L606" s="10"/>
    </row>
    <row r="607" spans="1:12" x14ac:dyDescent="0.25">
      <c r="A607" s="21" t="s">
        <v>3549</v>
      </c>
      <c r="B607" s="12" t="s">
        <v>3550</v>
      </c>
      <c r="C607" s="11" t="s">
        <v>2805</v>
      </c>
      <c r="D607" s="13" t="s">
        <v>4438</v>
      </c>
      <c r="E607" s="11">
        <v>283</v>
      </c>
      <c r="F607" s="21" t="s">
        <v>3551</v>
      </c>
      <c r="G607" s="11" t="s">
        <v>3550</v>
      </c>
      <c r="H607" s="11" t="s">
        <v>1908</v>
      </c>
      <c r="I607" s="12" t="s">
        <v>3550</v>
      </c>
      <c r="J607" s="11" t="s">
        <v>2805</v>
      </c>
      <c r="K607" s="10"/>
      <c r="L607" s="10"/>
    </row>
    <row r="608" spans="1:12" x14ac:dyDescent="0.25">
      <c r="A608" s="21" t="s">
        <v>3772</v>
      </c>
      <c r="B608" s="12" t="s">
        <v>3773</v>
      </c>
      <c r="C608" s="11" t="s">
        <v>2805</v>
      </c>
      <c r="D608" s="13" t="s">
        <v>2778</v>
      </c>
      <c r="E608" s="11">
        <v>301</v>
      </c>
      <c r="F608" s="21" t="s">
        <v>3774</v>
      </c>
      <c r="G608" s="11" t="s">
        <v>3775</v>
      </c>
      <c r="H608" s="11" t="s">
        <v>1908</v>
      </c>
      <c r="I608" s="12" t="s">
        <v>3773</v>
      </c>
      <c r="J608" s="11" t="s">
        <v>2805</v>
      </c>
      <c r="K608" s="10"/>
      <c r="L608" s="10"/>
    </row>
    <row r="609" spans="1:12" x14ac:dyDescent="0.25">
      <c r="A609" s="21" t="s">
        <v>3546</v>
      </c>
      <c r="B609" s="12" t="s">
        <v>3547</v>
      </c>
      <c r="C609" s="11" t="s">
        <v>2805</v>
      </c>
      <c r="D609" s="13" t="s">
        <v>247</v>
      </c>
      <c r="E609" s="11">
        <v>707</v>
      </c>
      <c r="F609" s="21" t="s">
        <v>3548</v>
      </c>
      <c r="G609" s="11" t="s">
        <v>3547</v>
      </c>
      <c r="H609" s="11" t="s">
        <v>1908</v>
      </c>
      <c r="I609" s="12" t="s">
        <v>3547</v>
      </c>
      <c r="J609" s="11" t="s">
        <v>2805</v>
      </c>
      <c r="K609" s="10"/>
      <c r="L609" s="10"/>
    </row>
    <row r="610" spans="1:12" x14ac:dyDescent="0.25">
      <c r="A610" s="21" t="s">
        <v>3552</v>
      </c>
      <c r="B610" s="12" t="s">
        <v>4265</v>
      </c>
      <c r="C610" s="11" t="s">
        <v>2805</v>
      </c>
      <c r="D610" s="13" t="s">
        <v>2901</v>
      </c>
      <c r="E610" s="11">
        <v>150</v>
      </c>
      <c r="F610" s="21" t="s">
        <v>3553</v>
      </c>
      <c r="G610" s="11" t="s">
        <v>4265</v>
      </c>
      <c r="H610" s="11" t="s">
        <v>1908</v>
      </c>
      <c r="I610" s="12" t="s">
        <v>4265</v>
      </c>
      <c r="J610" s="11" t="s">
        <v>2805</v>
      </c>
      <c r="K610" s="10"/>
      <c r="L610" s="10"/>
    </row>
    <row r="611" spans="1:12" x14ac:dyDescent="0.25">
      <c r="A611" s="21" t="s">
        <v>3776</v>
      </c>
      <c r="B611" s="12" t="s">
        <v>3777</v>
      </c>
      <c r="C611" s="11" t="s">
        <v>2805</v>
      </c>
      <c r="D611" s="13" t="s">
        <v>1668</v>
      </c>
      <c r="E611" s="11">
        <v>462</v>
      </c>
      <c r="F611" s="21" t="s">
        <v>3778</v>
      </c>
      <c r="G611" s="11" t="s">
        <v>3777</v>
      </c>
      <c r="H611" s="11" t="s">
        <v>1908</v>
      </c>
      <c r="I611" s="12" t="s">
        <v>3777</v>
      </c>
      <c r="J611" s="11" t="s">
        <v>2805</v>
      </c>
      <c r="K611" s="10"/>
      <c r="L611" s="10"/>
    </row>
    <row r="612" spans="1:12" x14ac:dyDescent="0.25">
      <c r="A612" s="21" t="s">
        <v>3554</v>
      </c>
      <c r="B612" s="12" t="s">
        <v>3555</v>
      </c>
      <c r="C612" s="11" t="s">
        <v>2805</v>
      </c>
      <c r="D612" s="13" t="s">
        <v>3556</v>
      </c>
      <c r="E612" s="11">
        <v>223</v>
      </c>
      <c r="F612" s="21" t="s">
        <v>3557</v>
      </c>
      <c r="G612" s="11" t="s">
        <v>3558</v>
      </c>
      <c r="H612" s="11" t="s">
        <v>1908</v>
      </c>
      <c r="I612" s="12" t="s">
        <v>3555</v>
      </c>
      <c r="J612" s="11" t="s">
        <v>2805</v>
      </c>
      <c r="K612" s="10"/>
      <c r="L612" s="10"/>
    </row>
    <row r="613" spans="1:12" x14ac:dyDescent="0.25">
      <c r="A613" s="21" t="s">
        <v>3779</v>
      </c>
      <c r="B613" s="12" t="s">
        <v>3780</v>
      </c>
      <c r="C613" s="11" t="s">
        <v>2805</v>
      </c>
      <c r="D613" s="13" t="s">
        <v>3781</v>
      </c>
      <c r="E613" s="11">
        <v>1441</v>
      </c>
      <c r="F613" s="21" t="s">
        <v>3782</v>
      </c>
      <c r="G613" s="11" t="s">
        <v>3780</v>
      </c>
      <c r="H613" s="11" t="s">
        <v>1908</v>
      </c>
      <c r="I613" s="12" t="s">
        <v>3780</v>
      </c>
      <c r="J613" s="11" t="s">
        <v>2805</v>
      </c>
      <c r="K613" s="10"/>
      <c r="L613" s="10"/>
    </row>
    <row r="614" spans="1:12" x14ac:dyDescent="0.25">
      <c r="A614" s="21" t="s">
        <v>3783</v>
      </c>
      <c r="B614" s="12" t="s">
        <v>3784</v>
      </c>
      <c r="C614" s="11" t="s">
        <v>2805</v>
      </c>
      <c r="D614" s="13" t="s">
        <v>430</v>
      </c>
      <c r="E614" s="11">
        <v>248</v>
      </c>
      <c r="F614" s="21" t="s">
        <v>3785</v>
      </c>
      <c r="G614" s="11" t="s">
        <v>3784</v>
      </c>
      <c r="H614" s="11" t="s">
        <v>1908</v>
      </c>
      <c r="I614" s="12" t="s">
        <v>3784</v>
      </c>
      <c r="J614" s="11" t="s">
        <v>2805</v>
      </c>
      <c r="K614" s="10"/>
      <c r="L614" s="10"/>
    </row>
    <row r="615" spans="1:12" x14ac:dyDescent="0.25">
      <c r="A615" s="21" t="s">
        <v>3559</v>
      </c>
      <c r="B615" s="12" t="s">
        <v>3560</v>
      </c>
      <c r="C615" s="11" t="s">
        <v>2805</v>
      </c>
      <c r="D615" s="13" t="s">
        <v>2258</v>
      </c>
      <c r="E615" s="11">
        <v>964</v>
      </c>
      <c r="F615" s="21" t="s">
        <v>3561</v>
      </c>
      <c r="G615" s="11" t="s">
        <v>3560</v>
      </c>
      <c r="H615" s="11" t="s">
        <v>1908</v>
      </c>
      <c r="I615" s="12" t="s">
        <v>3560</v>
      </c>
      <c r="J615" s="11" t="s">
        <v>2805</v>
      </c>
      <c r="K615" s="10"/>
      <c r="L615" s="10"/>
    </row>
    <row r="616" spans="1:12" x14ac:dyDescent="0.25">
      <c r="A616" s="21" t="s">
        <v>3786</v>
      </c>
      <c r="B616" s="12" t="s">
        <v>3787</v>
      </c>
      <c r="C616" s="11" t="s">
        <v>2805</v>
      </c>
      <c r="D616" s="13">
        <v>1</v>
      </c>
      <c r="E616" s="11">
        <v>25</v>
      </c>
      <c r="F616" s="21" t="s">
        <v>3788</v>
      </c>
      <c r="G616" s="11" t="s">
        <v>3787</v>
      </c>
      <c r="H616" s="11" t="s">
        <v>1908</v>
      </c>
      <c r="I616" s="12" t="s">
        <v>3787</v>
      </c>
      <c r="J616" s="11" t="s">
        <v>2805</v>
      </c>
      <c r="K616" s="10"/>
      <c r="L616" s="10"/>
    </row>
    <row r="617" spans="1:12" x14ac:dyDescent="0.25">
      <c r="A617" s="21" t="s">
        <v>3562</v>
      </c>
      <c r="B617" s="12" t="s">
        <v>3563</v>
      </c>
      <c r="C617" s="11" t="s">
        <v>2805</v>
      </c>
      <c r="D617" s="13" t="s">
        <v>4646</v>
      </c>
      <c r="E617" s="11">
        <v>802</v>
      </c>
      <c r="F617" s="21" t="s">
        <v>3564</v>
      </c>
      <c r="G617" s="11" t="s">
        <v>3563</v>
      </c>
      <c r="H617" s="11" t="s">
        <v>1908</v>
      </c>
      <c r="I617" s="12" t="s">
        <v>3563</v>
      </c>
      <c r="J617" s="11" t="s">
        <v>2805</v>
      </c>
      <c r="K617" s="10"/>
      <c r="L617" s="10"/>
    </row>
    <row r="618" spans="1:12" x14ac:dyDescent="0.25">
      <c r="A618" s="21" t="s">
        <v>3789</v>
      </c>
      <c r="B618" s="12" t="s">
        <v>3790</v>
      </c>
      <c r="C618" s="11" t="s">
        <v>2805</v>
      </c>
      <c r="D618" s="13" t="s">
        <v>1660</v>
      </c>
      <c r="E618" s="11">
        <v>297</v>
      </c>
      <c r="F618" s="21" t="s">
        <v>3791</v>
      </c>
      <c r="G618" s="11" t="s">
        <v>3790</v>
      </c>
      <c r="H618" s="11" t="s">
        <v>1908</v>
      </c>
      <c r="I618" s="12" t="s">
        <v>3790</v>
      </c>
      <c r="J618" s="11" t="s">
        <v>2805</v>
      </c>
      <c r="K618" s="10"/>
      <c r="L618" s="10"/>
    </row>
    <row r="619" spans="1:12" x14ac:dyDescent="0.25">
      <c r="A619" s="21" t="s">
        <v>3565</v>
      </c>
      <c r="B619" s="12" t="s">
        <v>3566</v>
      </c>
      <c r="C619" s="11" t="s">
        <v>2805</v>
      </c>
      <c r="D619" s="13" t="s">
        <v>2226</v>
      </c>
      <c r="E619" s="11">
        <v>709</v>
      </c>
      <c r="F619" s="21" t="s">
        <v>3567</v>
      </c>
      <c r="G619" s="11" t="s">
        <v>3566</v>
      </c>
      <c r="H619" s="11" t="s">
        <v>1908</v>
      </c>
      <c r="I619" s="12" t="s">
        <v>3566</v>
      </c>
      <c r="J619" s="11" t="s">
        <v>2805</v>
      </c>
      <c r="K619" s="10"/>
      <c r="L619" s="10"/>
    </row>
    <row r="620" spans="1:12" x14ac:dyDescent="0.25">
      <c r="A620" s="21" t="s">
        <v>3792</v>
      </c>
      <c r="B620" s="12" t="s">
        <v>3793</v>
      </c>
      <c r="C620" s="11" t="s">
        <v>2805</v>
      </c>
      <c r="D620" s="13">
        <v>5</v>
      </c>
      <c r="E620" s="11">
        <v>398</v>
      </c>
      <c r="F620" s="21" t="s">
        <v>3794</v>
      </c>
      <c r="G620" s="11" t="s">
        <v>3793</v>
      </c>
      <c r="H620" s="11" t="s">
        <v>1908</v>
      </c>
      <c r="I620" s="12" t="s">
        <v>3793</v>
      </c>
      <c r="J620" s="11" t="s">
        <v>2805</v>
      </c>
      <c r="K620" s="10"/>
      <c r="L620" s="10"/>
    </row>
    <row r="621" spans="1:12" x14ac:dyDescent="0.25">
      <c r="A621" s="21" t="s">
        <v>3795</v>
      </c>
      <c r="B621" s="12" t="s">
        <v>3796</v>
      </c>
      <c r="C621" s="11" t="s">
        <v>2805</v>
      </c>
      <c r="D621" s="13" t="s">
        <v>3454</v>
      </c>
      <c r="E621" s="11">
        <v>433</v>
      </c>
      <c r="F621" s="21" t="s">
        <v>3797</v>
      </c>
      <c r="G621" s="11" t="s">
        <v>3796</v>
      </c>
      <c r="H621" s="11" t="s">
        <v>1908</v>
      </c>
      <c r="I621" s="12" t="s">
        <v>3796</v>
      </c>
      <c r="J621" s="11" t="s">
        <v>2805</v>
      </c>
      <c r="K621" s="10"/>
      <c r="L621" s="10"/>
    </row>
    <row r="622" spans="1:12" x14ac:dyDescent="0.25">
      <c r="A622" s="21" t="s">
        <v>3568</v>
      </c>
      <c r="B622" s="12" t="s">
        <v>3569</v>
      </c>
      <c r="C622" s="11" t="s">
        <v>2805</v>
      </c>
      <c r="D622" s="13" t="s">
        <v>234</v>
      </c>
      <c r="E622" s="11">
        <v>112</v>
      </c>
      <c r="F622" s="21" t="s">
        <v>3570</v>
      </c>
      <c r="G622" s="11" t="s">
        <v>324</v>
      </c>
      <c r="H622" s="11" t="s">
        <v>1908</v>
      </c>
      <c r="I622" s="12" t="s">
        <v>3569</v>
      </c>
      <c r="J622" s="11" t="s">
        <v>2805</v>
      </c>
      <c r="K622" s="10"/>
      <c r="L622" s="10"/>
    </row>
    <row r="623" spans="1:12" x14ac:dyDescent="0.25">
      <c r="A623" s="21" t="s">
        <v>3571</v>
      </c>
      <c r="B623" s="12" t="s">
        <v>3572</v>
      </c>
      <c r="C623" s="11" t="s">
        <v>2805</v>
      </c>
      <c r="D623" s="13" t="s">
        <v>2226</v>
      </c>
      <c r="E623" s="11">
        <v>557</v>
      </c>
      <c r="F623" s="21" t="s">
        <v>3573</v>
      </c>
      <c r="G623" s="11" t="s">
        <v>3572</v>
      </c>
      <c r="H623" s="11" t="s">
        <v>1908</v>
      </c>
      <c r="I623" s="12" t="s">
        <v>3572</v>
      </c>
      <c r="J623" s="11" t="s">
        <v>2805</v>
      </c>
      <c r="K623" s="10"/>
      <c r="L623" s="10"/>
    </row>
    <row r="624" spans="1:12" x14ac:dyDescent="0.25">
      <c r="A624" s="21" t="s">
        <v>3574</v>
      </c>
      <c r="B624" s="12" t="s">
        <v>3575</v>
      </c>
      <c r="C624" s="11" t="s">
        <v>2805</v>
      </c>
      <c r="D624" s="13" t="s">
        <v>2248</v>
      </c>
      <c r="E624" s="11">
        <v>1</v>
      </c>
      <c r="F624" s="21" t="s">
        <v>3576</v>
      </c>
      <c r="G624" s="11" t="s">
        <v>3575</v>
      </c>
      <c r="H624" s="11" t="s">
        <v>1908</v>
      </c>
      <c r="I624" s="12" t="s">
        <v>3575</v>
      </c>
      <c r="J624" s="11" t="s">
        <v>2805</v>
      </c>
      <c r="K624" s="10"/>
      <c r="L624" s="10"/>
    </row>
    <row r="625" spans="1:12" x14ac:dyDescent="0.25">
      <c r="A625" s="21" t="s">
        <v>3577</v>
      </c>
      <c r="B625" s="12" t="s">
        <v>3578</v>
      </c>
      <c r="C625" s="11" t="s">
        <v>2805</v>
      </c>
      <c r="D625" s="13" t="s">
        <v>4438</v>
      </c>
      <c r="E625" s="11">
        <v>63</v>
      </c>
      <c r="F625" s="21" t="s">
        <v>3579</v>
      </c>
      <c r="G625" s="11" t="s">
        <v>3580</v>
      </c>
      <c r="H625" s="11" t="s">
        <v>1908</v>
      </c>
      <c r="I625" s="12" t="s">
        <v>3578</v>
      </c>
      <c r="J625" s="11" t="s">
        <v>2805</v>
      </c>
      <c r="K625" s="10"/>
      <c r="L625" s="10"/>
    </row>
    <row r="626" spans="1:12" x14ac:dyDescent="0.25">
      <c r="A626" s="21" t="s">
        <v>3581</v>
      </c>
      <c r="B626" s="12" t="s">
        <v>3582</v>
      </c>
      <c r="C626" s="11" t="s">
        <v>2805</v>
      </c>
      <c r="D626" s="13" t="s">
        <v>247</v>
      </c>
      <c r="E626" s="11">
        <v>4444</v>
      </c>
      <c r="F626" s="21" t="s">
        <v>3583</v>
      </c>
      <c r="G626" s="11" t="s">
        <v>3582</v>
      </c>
      <c r="H626" s="11" t="s">
        <v>1908</v>
      </c>
      <c r="I626" s="12" t="s">
        <v>3582</v>
      </c>
      <c r="J626" s="11" t="s">
        <v>2805</v>
      </c>
      <c r="K626" s="10"/>
      <c r="L626" s="10"/>
    </row>
    <row r="627" spans="1:12" x14ac:dyDescent="0.25">
      <c r="A627" s="21" t="s">
        <v>2024</v>
      </c>
      <c r="B627" s="12" t="s">
        <v>2025</v>
      </c>
      <c r="C627" s="11" t="s">
        <v>2805</v>
      </c>
      <c r="D627" s="13" t="s">
        <v>2026</v>
      </c>
      <c r="E627" s="11">
        <v>1044</v>
      </c>
      <c r="F627" s="21" t="s">
        <v>2027</v>
      </c>
      <c r="G627" s="11" t="s">
        <v>2015</v>
      </c>
      <c r="H627" s="11" t="s">
        <v>1908</v>
      </c>
      <c r="I627" s="12" t="s">
        <v>2025</v>
      </c>
      <c r="J627" s="11" t="s">
        <v>2805</v>
      </c>
      <c r="K627" s="10"/>
      <c r="L627" s="10"/>
    </row>
    <row r="628" spans="1:12" x14ac:dyDescent="0.25">
      <c r="A628" s="21" t="s">
        <v>2020</v>
      </c>
      <c r="B628" s="12" t="s">
        <v>2021</v>
      </c>
      <c r="C628" s="11" t="s">
        <v>2805</v>
      </c>
      <c r="D628" s="13" t="s">
        <v>2022</v>
      </c>
      <c r="E628" s="11">
        <v>1982</v>
      </c>
      <c r="F628" s="21" t="s">
        <v>2023</v>
      </c>
      <c r="G628" s="11" t="s">
        <v>2015</v>
      </c>
      <c r="H628" s="11" t="s">
        <v>1908</v>
      </c>
      <c r="I628" s="12" t="s">
        <v>2021</v>
      </c>
      <c r="J628" s="11" t="s">
        <v>2805</v>
      </c>
      <c r="K628" s="10"/>
      <c r="L628" s="10"/>
    </row>
    <row r="629" spans="1:12" x14ac:dyDescent="0.25">
      <c r="A629" s="21" t="s">
        <v>2017</v>
      </c>
      <c r="B629" s="12" t="s">
        <v>2018</v>
      </c>
      <c r="C629" s="11" t="s">
        <v>2805</v>
      </c>
      <c r="D629" s="13" t="s">
        <v>2398</v>
      </c>
      <c r="E629" s="11">
        <v>484</v>
      </c>
      <c r="F629" s="21" t="s">
        <v>2019</v>
      </c>
      <c r="G629" s="11" t="s">
        <v>2015</v>
      </c>
      <c r="H629" s="11" t="s">
        <v>1908</v>
      </c>
      <c r="I629" s="12" t="s">
        <v>2018</v>
      </c>
      <c r="J629" s="11" t="s">
        <v>2805</v>
      </c>
      <c r="K629" s="10"/>
      <c r="L629" s="10"/>
    </row>
    <row r="630" spans="1:12" x14ac:dyDescent="0.25">
      <c r="A630" s="21" t="s">
        <v>2014</v>
      </c>
      <c r="B630" s="12" t="s">
        <v>2015</v>
      </c>
      <c r="C630" s="11" t="s">
        <v>2800</v>
      </c>
      <c r="D630" s="13" t="s">
        <v>430</v>
      </c>
      <c r="E630" s="11">
        <v>624</v>
      </c>
      <c r="F630" s="21" t="s">
        <v>2016</v>
      </c>
      <c r="G630" s="11" t="s">
        <v>2015</v>
      </c>
      <c r="H630" s="11" t="s">
        <v>1908</v>
      </c>
      <c r="I630" s="12" t="s">
        <v>2015</v>
      </c>
      <c r="J630" s="11" t="s">
        <v>2800</v>
      </c>
      <c r="K630" s="10"/>
      <c r="L630" s="10"/>
    </row>
    <row r="631" spans="1:12" x14ac:dyDescent="0.25">
      <c r="A631" s="21" t="s">
        <v>3584</v>
      </c>
      <c r="B631" s="12" t="s">
        <v>3585</v>
      </c>
      <c r="C631" s="11" t="s">
        <v>2805</v>
      </c>
      <c r="D631" s="13" t="s">
        <v>3586</v>
      </c>
      <c r="E631" s="11">
        <v>43</v>
      </c>
      <c r="F631" s="21" t="s">
        <v>3587</v>
      </c>
      <c r="G631" s="11" t="s">
        <v>3585</v>
      </c>
      <c r="H631" s="11" t="s">
        <v>1908</v>
      </c>
      <c r="I631" s="12" t="s">
        <v>3585</v>
      </c>
      <c r="J631" s="11" t="s">
        <v>2805</v>
      </c>
      <c r="K631" s="10"/>
      <c r="L631" s="10"/>
    </row>
    <row r="632" spans="1:12" x14ac:dyDescent="0.25">
      <c r="A632" s="21" t="s">
        <v>3588</v>
      </c>
      <c r="B632" s="12" t="s">
        <v>3589</v>
      </c>
      <c r="C632" s="11" t="s">
        <v>2805</v>
      </c>
      <c r="D632" s="13" t="s">
        <v>4438</v>
      </c>
      <c r="E632" s="11">
        <v>1193</v>
      </c>
      <c r="F632" s="21" t="s">
        <v>3590</v>
      </c>
      <c r="G632" s="11" t="s">
        <v>3589</v>
      </c>
      <c r="H632" s="11" t="s">
        <v>1908</v>
      </c>
      <c r="I632" s="12" t="s">
        <v>3589</v>
      </c>
      <c r="J632" s="11" t="s">
        <v>2805</v>
      </c>
      <c r="K632" s="10"/>
      <c r="L632" s="10"/>
    </row>
    <row r="633" spans="1:12" x14ac:dyDescent="0.25">
      <c r="A633" s="21" t="s">
        <v>3798</v>
      </c>
      <c r="B633" s="12" t="s">
        <v>3799</v>
      </c>
      <c r="C633" s="11" t="s">
        <v>2800</v>
      </c>
      <c r="D633" s="13" t="s">
        <v>3800</v>
      </c>
      <c r="E633" s="11">
        <v>81</v>
      </c>
      <c r="F633" s="21" t="s">
        <v>3801</v>
      </c>
      <c r="G633" s="11" t="s">
        <v>3799</v>
      </c>
      <c r="H633" s="11" t="s">
        <v>1908</v>
      </c>
      <c r="I633" s="12" t="s">
        <v>3799</v>
      </c>
      <c r="J633" s="11" t="s">
        <v>2800</v>
      </c>
      <c r="K633" s="10"/>
      <c r="L633" s="10"/>
    </row>
    <row r="634" spans="1:12" x14ac:dyDescent="0.25">
      <c r="A634" s="21" t="s">
        <v>3596</v>
      </c>
      <c r="B634" s="12" t="s">
        <v>3597</v>
      </c>
      <c r="C634" s="11" t="s">
        <v>2805</v>
      </c>
      <c r="D634" s="13" t="s">
        <v>2248</v>
      </c>
      <c r="E634" s="11">
        <v>499</v>
      </c>
      <c r="F634" s="21" t="s">
        <v>3598</v>
      </c>
      <c r="G634" s="11" t="s">
        <v>3597</v>
      </c>
      <c r="H634" s="11" t="s">
        <v>1908</v>
      </c>
      <c r="I634" s="12" t="s">
        <v>3597</v>
      </c>
      <c r="J634" s="11" t="s">
        <v>2805</v>
      </c>
      <c r="K634" s="10"/>
      <c r="L634" s="10"/>
    </row>
    <row r="635" spans="1:12" x14ac:dyDescent="0.25">
      <c r="A635" s="21" t="s">
        <v>3591</v>
      </c>
      <c r="B635" s="12" t="s">
        <v>3592</v>
      </c>
      <c r="C635" s="11" t="s">
        <v>2805</v>
      </c>
      <c r="D635" s="13" t="s">
        <v>3593</v>
      </c>
      <c r="E635" s="11">
        <v>305</v>
      </c>
      <c r="F635" s="21" t="s">
        <v>3594</v>
      </c>
      <c r="G635" s="11" t="s">
        <v>3595</v>
      </c>
      <c r="H635" s="11" t="s">
        <v>1908</v>
      </c>
      <c r="I635" s="12" t="s">
        <v>3592</v>
      </c>
      <c r="J635" s="11" t="s">
        <v>2805</v>
      </c>
      <c r="K635" s="10"/>
      <c r="L635" s="10"/>
    </row>
    <row r="636" spans="1:12" x14ac:dyDescent="0.25">
      <c r="A636" s="21" t="s">
        <v>3599</v>
      </c>
      <c r="B636" s="12" t="s">
        <v>3600</v>
      </c>
      <c r="C636" s="11" t="s">
        <v>2805</v>
      </c>
      <c r="D636" s="13" t="s">
        <v>1894</v>
      </c>
      <c r="E636" s="11">
        <v>235</v>
      </c>
      <c r="F636" s="21" t="s">
        <v>3601</v>
      </c>
      <c r="G636" s="11" t="s">
        <v>3602</v>
      </c>
      <c r="H636" s="11" t="s">
        <v>1908</v>
      </c>
      <c r="I636" s="12" t="s">
        <v>3600</v>
      </c>
      <c r="J636" s="11" t="s">
        <v>2805</v>
      </c>
      <c r="K636" s="10"/>
      <c r="L636" s="10"/>
    </row>
    <row r="637" spans="1:12" x14ac:dyDescent="0.25">
      <c r="A637" s="21" t="s">
        <v>2085</v>
      </c>
      <c r="B637" s="12" t="s">
        <v>2086</v>
      </c>
      <c r="C637" s="11" t="s">
        <v>2805</v>
      </c>
      <c r="D637" s="13" t="s">
        <v>234</v>
      </c>
      <c r="E637" s="11">
        <v>405</v>
      </c>
      <c r="F637" s="21" t="s">
        <v>2087</v>
      </c>
      <c r="G637" s="11" t="s">
        <v>2086</v>
      </c>
      <c r="H637" s="11" t="s">
        <v>1908</v>
      </c>
      <c r="I637" s="12" t="s">
        <v>2086</v>
      </c>
      <c r="J637" s="11" t="s">
        <v>2805</v>
      </c>
      <c r="K637" s="10"/>
      <c r="L637" s="10"/>
    </row>
    <row r="638" spans="1:12" x14ac:dyDescent="0.25">
      <c r="A638" s="21" t="s">
        <v>2081</v>
      </c>
      <c r="B638" s="12" t="s">
        <v>2082</v>
      </c>
      <c r="C638" s="11" t="s">
        <v>2805</v>
      </c>
      <c r="D638" s="13" t="s">
        <v>4718</v>
      </c>
      <c r="E638" s="11">
        <v>201</v>
      </c>
      <c r="F638" s="21" t="s">
        <v>2083</v>
      </c>
      <c r="G638" s="11" t="s">
        <v>2084</v>
      </c>
      <c r="H638" s="11" t="s">
        <v>1908</v>
      </c>
      <c r="I638" s="12" t="s">
        <v>2082</v>
      </c>
      <c r="J638" s="11" t="s">
        <v>2805</v>
      </c>
      <c r="K638" s="10"/>
      <c r="L638" s="10"/>
    </row>
    <row r="639" spans="1:12" x14ac:dyDescent="0.25">
      <c r="A639" s="21" t="s">
        <v>2088</v>
      </c>
      <c r="B639" s="12" t="s">
        <v>2089</v>
      </c>
      <c r="C639" s="11" t="s">
        <v>2805</v>
      </c>
      <c r="D639" s="13" t="s">
        <v>1908</v>
      </c>
      <c r="E639" s="11">
        <v>45</v>
      </c>
      <c r="F639" s="21" t="s">
        <v>2090</v>
      </c>
      <c r="G639" s="11" t="s">
        <v>2089</v>
      </c>
      <c r="H639" s="11" t="s">
        <v>1908</v>
      </c>
      <c r="I639" s="12" t="s">
        <v>2089</v>
      </c>
      <c r="J639" s="11" t="s">
        <v>2805</v>
      </c>
      <c r="K639" s="10"/>
      <c r="L639" s="10"/>
    </row>
    <row r="640" spans="1:12" x14ac:dyDescent="0.25">
      <c r="A640" s="21" t="s">
        <v>1896</v>
      </c>
      <c r="B640" s="12" t="s">
        <v>1944</v>
      </c>
      <c r="C640" s="11" t="s">
        <v>2805</v>
      </c>
      <c r="D640" s="13" t="s">
        <v>255</v>
      </c>
      <c r="E640" s="11">
        <v>230</v>
      </c>
      <c r="F640" s="21" t="s">
        <v>1945</v>
      </c>
      <c r="G640" s="11" t="s">
        <v>2140</v>
      </c>
      <c r="H640" s="11" t="s">
        <v>1908</v>
      </c>
      <c r="I640" s="12" t="s">
        <v>1944</v>
      </c>
      <c r="J640" s="11" t="s">
        <v>2805</v>
      </c>
      <c r="K640" s="10"/>
      <c r="L640" s="10"/>
    </row>
    <row r="641" spans="1:12" x14ac:dyDescent="0.25">
      <c r="A641" s="21" t="s">
        <v>1946</v>
      </c>
      <c r="B641" s="12" t="s">
        <v>1947</v>
      </c>
      <c r="C641" s="11" t="s">
        <v>2800</v>
      </c>
      <c r="D641" s="13" t="s">
        <v>84</v>
      </c>
      <c r="E641" s="11">
        <v>198</v>
      </c>
      <c r="F641" s="21" t="s">
        <v>1948</v>
      </c>
      <c r="G641" s="11" t="s">
        <v>1947</v>
      </c>
      <c r="H641" s="11" t="s">
        <v>1908</v>
      </c>
      <c r="I641" s="12" t="s">
        <v>1947</v>
      </c>
      <c r="J641" s="11" t="s">
        <v>2800</v>
      </c>
      <c r="K641" s="10"/>
      <c r="L641" s="10"/>
    </row>
    <row r="642" spans="1:12" x14ac:dyDescent="0.25">
      <c r="A642" s="21" t="s">
        <v>2007</v>
      </c>
      <c r="B642" s="12" t="s">
        <v>2008</v>
      </c>
      <c r="C642" s="11" t="s">
        <v>2805</v>
      </c>
      <c r="D642" s="13" t="s">
        <v>2880</v>
      </c>
      <c r="E642" s="11">
        <v>0</v>
      </c>
      <c r="F642" s="21" t="s">
        <v>2009</v>
      </c>
      <c r="G642" s="11" t="s">
        <v>2010</v>
      </c>
      <c r="H642" s="11" t="s">
        <v>1908</v>
      </c>
      <c r="I642" s="12" t="s">
        <v>2008</v>
      </c>
      <c r="J642" s="11" t="s">
        <v>2805</v>
      </c>
      <c r="K642" s="10"/>
      <c r="L642" s="10"/>
    </row>
    <row r="643" spans="1:12" x14ac:dyDescent="0.25">
      <c r="A643" s="21" t="s">
        <v>1949</v>
      </c>
      <c r="B643" s="12" t="s">
        <v>1950</v>
      </c>
      <c r="C643" s="11" t="s">
        <v>2805</v>
      </c>
      <c r="D643" s="13" t="s">
        <v>247</v>
      </c>
      <c r="E643" s="11">
        <v>533</v>
      </c>
      <c r="F643" s="21" t="s">
        <v>1951</v>
      </c>
      <c r="G643" s="11" t="s">
        <v>1952</v>
      </c>
      <c r="H643" s="11" t="s">
        <v>1908</v>
      </c>
      <c r="I643" s="12" t="s">
        <v>1950</v>
      </c>
      <c r="J643" s="11" t="s">
        <v>2805</v>
      </c>
      <c r="K643" s="10"/>
      <c r="L643" s="10"/>
    </row>
    <row r="644" spans="1:12" x14ac:dyDescent="0.25">
      <c r="A644" s="21" t="s">
        <v>1953</v>
      </c>
      <c r="B644" s="12" t="s">
        <v>1954</v>
      </c>
      <c r="C644" s="11" t="s">
        <v>2805</v>
      </c>
      <c r="D644" s="13" t="s">
        <v>4300</v>
      </c>
      <c r="E644" s="11">
        <v>841</v>
      </c>
      <c r="F644" s="21" t="s">
        <v>1955</v>
      </c>
      <c r="G644" s="11" t="s">
        <v>1956</v>
      </c>
      <c r="H644" s="11" t="s">
        <v>1908</v>
      </c>
      <c r="I644" s="12" t="s">
        <v>1954</v>
      </c>
      <c r="J644" s="11" t="s">
        <v>2805</v>
      </c>
      <c r="K644" s="10"/>
      <c r="L644" s="10"/>
    </row>
    <row r="645" spans="1:12" x14ac:dyDescent="0.25">
      <c r="A645" s="21" t="s">
        <v>2091</v>
      </c>
      <c r="B645" s="12" t="s">
        <v>2092</v>
      </c>
      <c r="C645" s="11" t="s">
        <v>2805</v>
      </c>
      <c r="D645" s="13" t="s">
        <v>1275</v>
      </c>
      <c r="E645" s="11">
        <v>1100</v>
      </c>
      <c r="F645" s="21" t="s">
        <v>2093</v>
      </c>
      <c r="G645" s="11" t="s">
        <v>2092</v>
      </c>
      <c r="H645" s="11" t="s">
        <v>1908</v>
      </c>
      <c r="I645" s="12" t="s">
        <v>2092</v>
      </c>
      <c r="J645" s="11" t="s">
        <v>2805</v>
      </c>
      <c r="K645" s="10"/>
      <c r="L645" s="10"/>
    </row>
    <row r="646" spans="1:12" x14ac:dyDescent="0.25">
      <c r="A646" s="21" t="s">
        <v>3818</v>
      </c>
      <c r="B646" s="12" t="s">
        <v>3819</v>
      </c>
      <c r="C646" s="11" t="s">
        <v>2805</v>
      </c>
      <c r="D646" s="13" t="s">
        <v>1222</v>
      </c>
      <c r="E646" s="11">
        <v>538</v>
      </c>
      <c r="F646" s="21" t="s">
        <v>3820</v>
      </c>
      <c r="G646" s="11" t="s">
        <v>3819</v>
      </c>
      <c r="H646" s="11" t="s">
        <v>1908</v>
      </c>
      <c r="I646" s="12" t="s">
        <v>3819</v>
      </c>
      <c r="J646" s="11" t="s">
        <v>2805</v>
      </c>
      <c r="K646" s="10"/>
      <c r="L646" s="10"/>
    </row>
    <row r="647" spans="1:12" x14ac:dyDescent="0.25">
      <c r="A647" s="21" t="s">
        <v>3825</v>
      </c>
      <c r="B647" s="12" t="s">
        <v>3826</v>
      </c>
      <c r="C647" s="11" t="s">
        <v>2805</v>
      </c>
      <c r="D647" s="13" t="s">
        <v>3827</v>
      </c>
      <c r="E647" s="11">
        <v>170</v>
      </c>
      <c r="F647" s="21" t="s">
        <v>3828</v>
      </c>
      <c r="G647" s="11" t="s">
        <v>3829</v>
      </c>
      <c r="H647" s="11" t="s">
        <v>1908</v>
      </c>
      <c r="I647" s="12" t="s">
        <v>3826</v>
      </c>
      <c r="J647" s="11" t="s">
        <v>2805</v>
      </c>
      <c r="K647" s="10"/>
      <c r="L647" s="10"/>
    </row>
    <row r="648" spans="1:12" x14ac:dyDescent="0.25">
      <c r="A648" s="21" t="s">
        <v>1957</v>
      </c>
      <c r="B648" s="12" t="s">
        <v>1958</v>
      </c>
      <c r="C648" s="11" t="s">
        <v>2805</v>
      </c>
      <c r="D648" s="13" t="s">
        <v>234</v>
      </c>
      <c r="E648" s="11">
        <v>650</v>
      </c>
      <c r="F648" s="21" t="s">
        <v>1959</v>
      </c>
      <c r="G648" s="11" t="s">
        <v>1960</v>
      </c>
      <c r="H648" s="11" t="s">
        <v>1908</v>
      </c>
      <c r="I648" s="12" t="s">
        <v>1958</v>
      </c>
      <c r="J648" s="11" t="s">
        <v>2805</v>
      </c>
      <c r="K648" s="10"/>
      <c r="L648" s="10"/>
    </row>
    <row r="649" spans="1:12" x14ac:dyDescent="0.25">
      <c r="A649" s="21" t="s">
        <v>1961</v>
      </c>
      <c r="B649" s="12" t="s">
        <v>1962</v>
      </c>
      <c r="C649" s="11" t="s">
        <v>2805</v>
      </c>
      <c r="D649" s="13" t="s">
        <v>1963</v>
      </c>
      <c r="E649" s="11">
        <v>1105</v>
      </c>
      <c r="F649" s="21" t="s">
        <v>1964</v>
      </c>
      <c r="G649" s="11" t="s">
        <v>1965</v>
      </c>
      <c r="H649" s="11" t="s">
        <v>1908</v>
      </c>
      <c r="I649" s="12" t="s">
        <v>1962</v>
      </c>
      <c r="J649" s="11" t="s">
        <v>2805</v>
      </c>
      <c r="K649" s="10"/>
      <c r="L649" s="10"/>
    </row>
    <row r="650" spans="1:12" x14ac:dyDescent="0.25">
      <c r="A650" s="21" t="s">
        <v>1966</v>
      </c>
      <c r="B650" s="12" t="s">
        <v>4556</v>
      </c>
      <c r="C650" s="11" t="s">
        <v>2805</v>
      </c>
      <c r="D650" s="13" t="s">
        <v>4557</v>
      </c>
      <c r="E650" s="11">
        <v>98</v>
      </c>
      <c r="F650" s="21" t="s">
        <v>4558</v>
      </c>
      <c r="G650" s="11" t="s">
        <v>4559</v>
      </c>
      <c r="H650" s="11" t="s">
        <v>1908</v>
      </c>
      <c r="I650" s="12" t="s">
        <v>4556</v>
      </c>
      <c r="J650" s="11" t="s">
        <v>2805</v>
      </c>
      <c r="K650" s="10"/>
      <c r="L650" s="10"/>
    </row>
    <row r="651" spans="1:12" x14ac:dyDescent="0.25">
      <c r="A651" s="21" t="s">
        <v>3821</v>
      </c>
      <c r="B651" s="12" t="s">
        <v>3822</v>
      </c>
      <c r="C651" s="11" t="s">
        <v>2805</v>
      </c>
      <c r="D651" s="13" t="s">
        <v>3823</v>
      </c>
      <c r="E651" s="11">
        <v>350</v>
      </c>
      <c r="F651" s="21" t="s">
        <v>3824</v>
      </c>
      <c r="G651" s="11" t="s">
        <v>3822</v>
      </c>
      <c r="H651" s="11" t="s">
        <v>1908</v>
      </c>
      <c r="I651" s="12" t="s">
        <v>3822</v>
      </c>
      <c r="J651" s="11" t="s">
        <v>2805</v>
      </c>
      <c r="K651" s="10"/>
      <c r="L651" s="10"/>
    </row>
    <row r="652" spans="1:12" x14ac:dyDescent="0.25">
      <c r="A652" s="21" t="s">
        <v>4560</v>
      </c>
      <c r="B652" s="12" t="s">
        <v>4561</v>
      </c>
      <c r="C652" s="11" t="s">
        <v>2805</v>
      </c>
      <c r="D652" s="13" t="s">
        <v>415</v>
      </c>
      <c r="E652" s="11">
        <v>152</v>
      </c>
      <c r="F652" s="21" t="s">
        <v>4562</v>
      </c>
      <c r="G652" s="11" t="s">
        <v>4563</v>
      </c>
      <c r="H652" s="11" t="s">
        <v>1908</v>
      </c>
      <c r="I652" s="12" t="s">
        <v>4561</v>
      </c>
      <c r="J652" s="11" t="s">
        <v>2805</v>
      </c>
      <c r="K652" s="10"/>
      <c r="L652" s="10"/>
    </row>
    <row r="653" spans="1:12" x14ac:dyDescent="0.25">
      <c r="A653" s="21" t="s">
        <v>3830</v>
      </c>
      <c r="B653" s="12" t="s">
        <v>3831</v>
      </c>
      <c r="C653" s="11" t="s">
        <v>2805</v>
      </c>
      <c r="D653" s="13" t="s">
        <v>4311</v>
      </c>
      <c r="E653" s="11">
        <v>1</v>
      </c>
      <c r="F653" s="21" t="s">
        <v>3832</v>
      </c>
      <c r="G653" s="11" t="s">
        <v>3831</v>
      </c>
      <c r="H653" s="11" t="s">
        <v>1908</v>
      </c>
      <c r="I653" s="12" t="s">
        <v>3831</v>
      </c>
      <c r="J653" s="11" t="s">
        <v>2805</v>
      </c>
      <c r="K653" s="10"/>
      <c r="L653" s="10"/>
    </row>
    <row r="654" spans="1:12" x14ac:dyDescent="0.25">
      <c r="A654" s="21" t="s">
        <v>4564</v>
      </c>
      <c r="B654" s="12" t="s">
        <v>4565</v>
      </c>
      <c r="C654" s="11" t="s">
        <v>2805</v>
      </c>
      <c r="D654" s="13" t="s">
        <v>247</v>
      </c>
      <c r="E654" s="11">
        <v>314</v>
      </c>
      <c r="F654" s="21" t="s">
        <v>4566</v>
      </c>
      <c r="G654" s="11" t="s">
        <v>4567</v>
      </c>
      <c r="H654" s="11" t="s">
        <v>1908</v>
      </c>
      <c r="I654" s="12" t="s">
        <v>4565</v>
      </c>
      <c r="J654" s="11" t="s">
        <v>2805</v>
      </c>
      <c r="K654" s="10"/>
      <c r="L654" s="10"/>
    </row>
    <row r="655" spans="1:12" x14ac:dyDescent="0.25">
      <c r="A655" s="21" t="s">
        <v>3882</v>
      </c>
      <c r="B655" s="12" t="s">
        <v>3883</v>
      </c>
      <c r="C655" s="11" t="s">
        <v>2805</v>
      </c>
      <c r="D655" s="13" t="s">
        <v>3884</v>
      </c>
      <c r="E655" s="11">
        <v>398</v>
      </c>
      <c r="F655" s="21" t="s">
        <v>3885</v>
      </c>
      <c r="G655" s="11" t="s">
        <v>3883</v>
      </c>
      <c r="H655" s="11" t="s">
        <v>1908</v>
      </c>
      <c r="I655" s="12" t="s">
        <v>3883</v>
      </c>
      <c r="J655" s="11" t="s">
        <v>2805</v>
      </c>
      <c r="K655" s="10"/>
      <c r="L655" s="10"/>
    </row>
    <row r="656" spans="1:12" x14ac:dyDescent="0.25">
      <c r="A656" s="21" t="s">
        <v>4568</v>
      </c>
      <c r="B656" s="12" t="s">
        <v>4569</v>
      </c>
      <c r="C656" s="11" t="s">
        <v>2805</v>
      </c>
      <c r="D656" s="13" t="s">
        <v>4570</v>
      </c>
      <c r="E656" s="11">
        <v>111</v>
      </c>
      <c r="F656" s="21" t="s">
        <v>4571</v>
      </c>
      <c r="G656" s="11" t="s">
        <v>4572</v>
      </c>
      <c r="H656" s="11" t="s">
        <v>1908</v>
      </c>
      <c r="I656" s="12" t="s">
        <v>4569</v>
      </c>
      <c r="J656" s="11" t="s">
        <v>2805</v>
      </c>
      <c r="K656" s="10"/>
      <c r="L656" s="10"/>
    </row>
    <row r="657" spans="1:12" x14ac:dyDescent="0.25">
      <c r="A657" s="21" t="s">
        <v>3833</v>
      </c>
      <c r="B657" s="12" t="s">
        <v>3834</v>
      </c>
      <c r="C657" s="11" t="s">
        <v>2805</v>
      </c>
      <c r="D657" s="13" t="s">
        <v>897</v>
      </c>
      <c r="E657" s="11">
        <v>51</v>
      </c>
      <c r="F657" s="21" t="s">
        <v>3835</v>
      </c>
      <c r="G657" s="11" t="s">
        <v>3834</v>
      </c>
      <c r="H657" s="11" t="s">
        <v>1908</v>
      </c>
      <c r="I657" s="12" t="s">
        <v>3834</v>
      </c>
      <c r="J657" s="11" t="s">
        <v>2805</v>
      </c>
      <c r="K657" s="10"/>
      <c r="L657" s="10"/>
    </row>
    <row r="658" spans="1:12" x14ac:dyDescent="0.25">
      <c r="A658" s="21" t="s">
        <v>4573</v>
      </c>
      <c r="B658" s="12" t="s">
        <v>4574</v>
      </c>
      <c r="C658" s="11" t="s">
        <v>2805</v>
      </c>
      <c r="D658" s="13" t="s">
        <v>247</v>
      </c>
      <c r="E658" s="11">
        <v>2035</v>
      </c>
      <c r="F658" s="21" t="s">
        <v>4575</v>
      </c>
      <c r="G658" s="11" t="s">
        <v>4576</v>
      </c>
      <c r="H658" s="11" t="s">
        <v>1908</v>
      </c>
      <c r="I658" s="12" t="s">
        <v>4574</v>
      </c>
      <c r="J658" s="11" t="s">
        <v>2805</v>
      </c>
      <c r="K658" s="10"/>
      <c r="L658" s="10"/>
    </row>
    <row r="659" spans="1:12" x14ac:dyDescent="0.25">
      <c r="A659" s="21" t="s">
        <v>3840</v>
      </c>
      <c r="B659" s="12" t="s">
        <v>3841</v>
      </c>
      <c r="C659" s="11" t="s">
        <v>2805</v>
      </c>
      <c r="D659" s="13" t="s">
        <v>3842</v>
      </c>
      <c r="E659" s="11">
        <v>630</v>
      </c>
      <c r="F659" s="21" t="s">
        <v>3843</v>
      </c>
      <c r="G659" s="11" t="s">
        <v>3841</v>
      </c>
      <c r="H659" s="11" t="s">
        <v>1908</v>
      </c>
      <c r="I659" s="12" t="s">
        <v>3841</v>
      </c>
      <c r="J659" s="11" t="s">
        <v>2805</v>
      </c>
      <c r="K659" s="10"/>
      <c r="L659" s="10"/>
    </row>
    <row r="660" spans="1:12" x14ac:dyDescent="0.25">
      <c r="A660" s="21" t="s">
        <v>4577</v>
      </c>
      <c r="B660" s="12" t="s">
        <v>4578</v>
      </c>
      <c r="C660" s="11" t="s">
        <v>2805</v>
      </c>
      <c r="D660" s="13" t="s">
        <v>4579</v>
      </c>
      <c r="E660" s="11">
        <v>61</v>
      </c>
      <c r="F660" s="21" t="s">
        <v>4580</v>
      </c>
      <c r="G660" s="11" t="s">
        <v>4578</v>
      </c>
      <c r="H660" s="11" t="s">
        <v>1908</v>
      </c>
      <c r="I660" s="12" t="s">
        <v>4578</v>
      </c>
      <c r="J660" s="11" t="s">
        <v>2805</v>
      </c>
      <c r="K660" s="10"/>
      <c r="L660" s="10"/>
    </row>
    <row r="661" spans="1:12" x14ac:dyDescent="0.25">
      <c r="A661" s="21" t="s">
        <v>3836</v>
      </c>
      <c r="B661" s="12" t="s">
        <v>3837</v>
      </c>
      <c r="C661" s="11" t="s">
        <v>2805</v>
      </c>
      <c r="D661" s="13" t="s">
        <v>3838</v>
      </c>
      <c r="E661" s="11">
        <v>262</v>
      </c>
      <c r="F661" s="21" t="s">
        <v>3839</v>
      </c>
      <c r="G661" s="11" t="s">
        <v>3837</v>
      </c>
      <c r="H661" s="11" t="s">
        <v>1908</v>
      </c>
      <c r="I661" s="12" t="s">
        <v>3837</v>
      </c>
      <c r="J661" s="11" t="s">
        <v>2805</v>
      </c>
      <c r="K661" s="10"/>
      <c r="L661" s="10"/>
    </row>
    <row r="662" spans="1:12" x14ac:dyDescent="0.25">
      <c r="A662" s="21" t="s">
        <v>4581</v>
      </c>
      <c r="B662" s="12" t="s">
        <v>4582</v>
      </c>
      <c r="C662" s="11" t="s">
        <v>2800</v>
      </c>
      <c r="D662" s="13" t="s">
        <v>247</v>
      </c>
      <c r="E662" s="11">
        <v>199</v>
      </c>
      <c r="F662" s="21" t="s">
        <v>4583</v>
      </c>
      <c r="G662" s="11" t="s">
        <v>4582</v>
      </c>
      <c r="H662" s="11" t="s">
        <v>1908</v>
      </c>
      <c r="I662" s="12" t="s">
        <v>4582</v>
      </c>
      <c r="J662" s="11" t="s">
        <v>2800</v>
      </c>
      <c r="K662" s="10"/>
      <c r="L662" s="10"/>
    </row>
    <row r="663" spans="1:12" x14ac:dyDescent="0.25">
      <c r="A663" s="21" t="s">
        <v>4584</v>
      </c>
      <c r="B663" s="12" t="s">
        <v>4585</v>
      </c>
      <c r="C663" s="11" t="s">
        <v>2805</v>
      </c>
      <c r="D663" s="13" t="s">
        <v>430</v>
      </c>
      <c r="E663" s="11">
        <v>495</v>
      </c>
      <c r="F663" s="21" t="s">
        <v>4586</v>
      </c>
      <c r="G663" s="11" t="s">
        <v>4585</v>
      </c>
      <c r="H663" s="11" t="s">
        <v>1908</v>
      </c>
      <c r="I663" s="12" t="s">
        <v>4585</v>
      </c>
      <c r="J663" s="11" t="s">
        <v>2805</v>
      </c>
      <c r="K663" s="10"/>
      <c r="L663" s="10"/>
    </row>
    <row r="664" spans="1:12" x14ac:dyDescent="0.25">
      <c r="A664" s="21" t="s">
        <v>4587</v>
      </c>
      <c r="B664" s="12" t="s">
        <v>4588</v>
      </c>
      <c r="C664" s="11" t="s">
        <v>2805</v>
      </c>
      <c r="D664" s="13" t="s">
        <v>234</v>
      </c>
      <c r="E664" s="11">
        <v>46</v>
      </c>
      <c r="F664" s="21" t="s">
        <v>4589</v>
      </c>
      <c r="G664" s="11" t="s">
        <v>4590</v>
      </c>
      <c r="H664" s="11" t="s">
        <v>1908</v>
      </c>
      <c r="I664" s="12" t="s">
        <v>4588</v>
      </c>
      <c r="J664" s="11" t="s">
        <v>2805</v>
      </c>
      <c r="K664" s="10"/>
      <c r="L664" s="10"/>
    </row>
    <row r="665" spans="1:12" x14ac:dyDescent="0.25">
      <c r="A665" s="21" t="s">
        <v>4591</v>
      </c>
      <c r="B665" s="12" t="s">
        <v>4592</v>
      </c>
      <c r="C665" s="11" t="s">
        <v>2805</v>
      </c>
      <c r="D665" s="13" t="s">
        <v>255</v>
      </c>
      <c r="E665" s="11">
        <v>505</v>
      </c>
      <c r="F665" s="21" t="s">
        <v>4593</v>
      </c>
      <c r="G665" s="11" t="s">
        <v>4594</v>
      </c>
      <c r="H665" s="11" t="s">
        <v>1908</v>
      </c>
      <c r="I665" s="12" t="s">
        <v>4592</v>
      </c>
      <c r="J665" s="11" t="s">
        <v>2805</v>
      </c>
      <c r="K665" s="10"/>
      <c r="L665" s="10"/>
    </row>
    <row r="666" spans="1:12" x14ac:dyDescent="0.25">
      <c r="A666" s="21" t="s">
        <v>3844</v>
      </c>
      <c r="B666" s="12" t="s">
        <v>3845</v>
      </c>
      <c r="C666" s="11" t="s">
        <v>2805</v>
      </c>
      <c r="D666" s="13" t="s">
        <v>3867</v>
      </c>
      <c r="E666" s="11">
        <v>106</v>
      </c>
      <c r="F666" s="21" t="s">
        <v>3846</v>
      </c>
      <c r="G666" s="11" t="s">
        <v>3845</v>
      </c>
      <c r="H666" s="11" t="s">
        <v>1908</v>
      </c>
      <c r="I666" s="12" t="s">
        <v>3845</v>
      </c>
      <c r="J666" s="11" t="s">
        <v>2805</v>
      </c>
      <c r="K666" s="10"/>
      <c r="L666" s="10"/>
    </row>
    <row r="667" spans="1:12" x14ac:dyDescent="0.25">
      <c r="A667" s="21" t="s">
        <v>4595</v>
      </c>
      <c r="B667" s="12" t="s">
        <v>4596</v>
      </c>
      <c r="C667" s="11" t="s">
        <v>2805</v>
      </c>
      <c r="D667" s="13" t="s">
        <v>1997</v>
      </c>
      <c r="E667" s="11">
        <v>905</v>
      </c>
      <c r="F667" s="21" t="s">
        <v>1998</v>
      </c>
      <c r="G667" s="11" t="s">
        <v>4596</v>
      </c>
      <c r="H667" s="11" t="s">
        <v>1908</v>
      </c>
      <c r="I667" s="12" t="s">
        <v>4596</v>
      </c>
      <c r="J667" s="11" t="s">
        <v>2805</v>
      </c>
      <c r="K667" s="10"/>
      <c r="L667" s="10"/>
    </row>
    <row r="668" spans="1:12" x14ac:dyDescent="0.25">
      <c r="A668" s="21" t="s">
        <v>1999</v>
      </c>
      <c r="B668" s="12" t="s">
        <v>2000</v>
      </c>
      <c r="C668" s="11" t="s">
        <v>2805</v>
      </c>
      <c r="D668" s="13" t="s">
        <v>2001</v>
      </c>
      <c r="E668" s="11">
        <v>745</v>
      </c>
      <c r="F668" s="21" t="s">
        <v>2002</v>
      </c>
      <c r="G668" s="11" t="s">
        <v>2003</v>
      </c>
      <c r="H668" s="11" t="s">
        <v>1908</v>
      </c>
      <c r="I668" s="12" t="s">
        <v>2000</v>
      </c>
      <c r="J668" s="11" t="s">
        <v>2805</v>
      </c>
      <c r="K668" s="10"/>
      <c r="L668" s="10"/>
    </row>
    <row r="669" spans="1:12" x14ac:dyDescent="0.25">
      <c r="A669" s="21" t="s">
        <v>2004</v>
      </c>
      <c r="B669" s="12" t="s">
        <v>2005</v>
      </c>
      <c r="C669" s="11" t="s">
        <v>2800</v>
      </c>
      <c r="D669" s="13" t="s">
        <v>4259</v>
      </c>
      <c r="E669" s="11">
        <v>299</v>
      </c>
      <c r="F669" s="21" t="s">
        <v>2006</v>
      </c>
      <c r="G669" s="11" t="s">
        <v>2005</v>
      </c>
      <c r="H669" s="11" t="s">
        <v>1908</v>
      </c>
      <c r="I669" s="12" t="s">
        <v>2005</v>
      </c>
      <c r="J669" s="11" t="s">
        <v>2800</v>
      </c>
      <c r="K669" s="10"/>
      <c r="L669" s="10"/>
    </row>
    <row r="670" spans="1:12" x14ac:dyDescent="0.25">
      <c r="A670" s="21" t="s">
        <v>3862</v>
      </c>
      <c r="B670" s="12" t="s">
        <v>3863</v>
      </c>
      <c r="C670" s="11" t="s">
        <v>2805</v>
      </c>
      <c r="D670" s="13" t="s">
        <v>247</v>
      </c>
      <c r="E670" s="11">
        <v>164</v>
      </c>
      <c r="F670" s="21" t="s">
        <v>3864</v>
      </c>
      <c r="G670" s="11" t="s">
        <v>3865</v>
      </c>
      <c r="H670" s="11" t="s">
        <v>1908</v>
      </c>
      <c r="I670" s="12" t="s">
        <v>3863</v>
      </c>
      <c r="J670" s="11" t="s">
        <v>2805</v>
      </c>
      <c r="K670" s="10"/>
      <c r="L670" s="10"/>
    </row>
    <row r="671" spans="1:12" x14ac:dyDescent="0.25">
      <c r="A671" s="21" t="s">
        <v>3847</v>
      </c>
      <c r="B671" s="12" t="s">
        <v>3848</v>
      </c>
      <c r="C671" s="11" t="s">
        <v>2805</v>
      </c>
      <c r="D671" s="13" t="s">
        <v>3849</v>
      </c>
      <c r="E671" s="11">
        <v>300</v>
      </c>
      <c r="F671" s="21" t="s">
        <v>3850</v>
      </c>
      <c r="G671" s="11" t="s">
        <v>3848</v>
      </c>
      <c r="H671" s="11" t="s">
        <v>1908</v>
      </c>
      <c r="I671" s="12" t="s">
        <v>3848</v>
      </c>
      <c r="J671" s="11" t="s">
        <v>2805</v>
      </c>
      <c r="K671" s="10"/>
      <c r="L671" s="10"/>
    </row>
    <row r="672" spans="1:12" x14ac:dyDescent="0.25">
      <c r="A672" s="21" t="s">
        <v>3886</v>
      </c>
      <c r="B672" s="12" t="s">
        <v>3887</v>
      </c>
      <c r="C672" s="11" t="s">
        <v>2805</v>
      </c>
      <c r="D672" s="13" t="s">
        <v>4718</v>
      </c>
      <c r="E672" s="11">
        <v>2756</v>
      </c>
      <c r="F672" s="21" t="s">
        <v>3888</v>
      </c>
      <c r="G672" s="11" t="s">
        <v>3854</v>
      </c>
      <c r="H672" s="11" t="s">
        <v>1908</v>
      </c>
      <c r="I672" s="12" t="s">
        <v>3887</v>
      </c>
      <c r="J672" s="11" t="s">
        <v>2805</v>
      </c>
      <c r="K672" s="10"/>
      <c r="L672" s="10"/>
    </row>
    <row r="673" spans="1:12" x14ac:dyDescent="0.25">
      <c r="A673" s="21" t="s">
        <v>3889</v>
      </c>
      <c r="B673" s="12" t="s">
        <v>3890</v>
      </c>
      <c r="C673" s="11" t="s">
        <v>2805</v>
      </c>
      <c r="D673" s="13" t="s">
        <v>3891</v>
      </c>
      <c r="E673" s="11">
        <v>690</v>
      </c>
      <c r="F673" s="21" t="s">
        <v>3892</v>
      </c>
      <c r="G673" s="11" t="s">
        <v>3854</v>
      </c>
      <c r="H673" s="11" t="s">
        <v>1908</v>
      </c>
      <c r="I673" s="12" t="s">
        <v>3890</v>
      </c>
      <c r="J673" s="11" t="s">
        <v>2805</v>
      </c>
      <c r="K673" s="10"/>
      <c r="L673" s="10"/>
    </row>
    <row r="674" spans="1:12" x14ac:dyDescent="0.25">
      <c r="A674" s="21" t="s">
        <v>3893</v>
      </c>
      <c r="B674" s="12" t="s">
        <v>3894</v>
      </c>
      <c r="C674" s="11" t="s">
        <v>2805</v>
      </c>
      <c r="D674" s="13" t="s">
        <v>4096</v>
      </c>
      <c r="E674" s="11">
        <v>405</v>
      </c>
      <c r="F674" s="21" t="s">
        <v>2174</v>
      </c>
      <c r="G674" s="11" t="s">
        <v>3854</v>
      </c>
      <c r="H674" s="11" t="s">
        <v>1908</v>
      </c>
      <c r="I674" s="12" t="s">
        <v>3894</v>
      </c>
      <c r="J674" s="11" t="s">
        <v>2805</v>
      </c>
      <c r="K674" s="10"/>
      <c r="L674" s="10"/>
    </row>
    <row r="675" spans="1:12" x14ac:dyDescent="0.25">
      <c r="A675" s="21" t="s">
        <v>3851</v>
      </c>
      <c r="B675" s="12" t="s">
        <v>3852</v>
      </c>
      <c r="C675" s="11" t="s">
        <v>2800</v>
      </c>
      <c r="D675" s="13" t="s">
        <v>1803</v>
      </c>
      <c r="E675" s="11">
        <v>1190</v>
      </c>
      <c r="F675" s="21" t="s">
        <v>3853</v>
      </c>
      <c r="G675" s="11" t="s">
        <v>3854</v>
      </c>
      <c r="H675" s="11" t="s">
        <v>1908</v>
      </c>
      <c r="I675" s="12" t="s">
        <v>3852</v>
      </c>
      <c r="J675" s="11" t="s">
        <v>2800</v>
      </c>
      <c r="K675" s="10"/>
      <c r="L675" s="10"/>
    </row>
    <row r="676" spans="1:12" x14ac:dyDescent="0.25">
      <c r="A676" s="21" t="s">
        <v>3855</v>
      </c>
      <c r="B676" s="12" t="s">
        <v>1055</v>
      </c>
      <c r="C676" s="11" t="s">
        <v>2805</v>
      </c>
      <c r="D676" s="13" t="s">
        <v>3856</v>
      </c>
      <c r="E676" s="11">
        <v>760</v>
      </c>
      <c r="F676" s="21" t="s">
        <v>3857</v>
      </c>
      <c r="G676" s="11" t="s">
        <v>1055</v>
      </c>
      <c r="H676" s="11" t="s">
        <v>1908</v>
      </c>
      <c r="I676" s="12" t="s">
        <v>1055</v>
      </c>
      <c r="J676" s="11" t="s">
        <v>2805</v>
      </c>
      <c r="K676" s="10"/>
      <c r="L676" s="10"/>
    </row>
    <row r="677" spans="1:12" x14ac:dyDescent="0.25">
      <c r="A677" s="21" t="s">
        <v>3866</v>
      </c>
      <c r="B677" s="12" t="s">
        <v>4656</v>
      </c>
      <c r="C677" s="11" t="s">
        <v>2805</v>
      </c>
      <c r="D677" s="13" t="s">
        <v>4657</v>
      </c>
      <c r="E677" s="11">
        <v>599</v>
      </c>
      <c r="F677" s="21" t="s">
        <v>4658</v>
      </c>
      <c r="G677" s="11" t="s">
        <v>4656</v>
      </c>
      <c r="H677" s="11" t="s">
        <v>1908</v>
      </c>
      <c r="I677" s="12" t="s">
        <v>4656</v>
      </c>
      <c r="J677" s="11" t="s">
        <v>2805</v>
      </c>
      <c r="K677" s="10"/>
      <c r="L677" s="10"/>
    </row>
    <row r="678" spans="1:12" x14ac:dyDescent="0.25">
      <c r="A678" s="21" t="s">
        <v>3858</v>
      </c>
      <c r="B678" s="12" t="s">
        <v>3859</v>
      </c>
      <c r="C678" s="11" t="s">
        <v>2805</v>
      </c>
      <c r="D678" s="13" t="s">
        <v>3860</v>
      </c>
      <c r="E678" s="11">
        <v>995</v>
      </c>
      <c r="F678" s="21" t="s">
        <v>3861</v>
      </c>
      <c r="G678" s="11" t="s">
        <v>3859</v>
      </c>
      <c r="H678" s="11" t="s">
        <v>1908</v>
      </c>
      <c r="I678" s="12" t="s">
        <v>3859</v>
      </c>
      <c r="J678" s="11" t="s">
        <v>2805</v>
      </c>
      <c r="K678" s="10"/>
      <c r="L678" s="10"/>
    </row>
    <row r="679" spans="1:12" x14ac:dyDescent="0.25">
      <c r="A679" s="21" t="s">
        <v>4659</v>
      </c>
      <c r="B679" s="12" t="s">
        <v>2062</v>
      </c>
      <c r="C679" s="11" t="s">
        <v>2805</v>
      </c>
      <c r="D679" s="13" t="s">
        <v>4259</v>
      </c>
      <c r="E679" s="11">
        <v>847</v>
      </c>
      <c r="F679" s="21" t="s">
        <v>2063</v>
      </c>
      <c r="G679" s="11" t="s">
        <v>2062</v>
      </c>
      <c r="H679" s="11" t="s">
        <v>1908</v>
      </c>
      <c r="I679" s="12" t="s">
        <v>2062</v>
      </c>
      <c r="J679" s="11" t="s">
        <v>2805</v>
      </c>
      <c r="K679" s="10"/>
      <c r="L679" s="10"/>
    </row>
    <row r="680" spans="1:12" x14ac:dyDescent="0.25">
      <c r="A680" s="21" t="s">
        <v>3377</v>
      </c>
      <c r="B680" s="12" t="s">
        <v>3324</v>
      </c>
      <c r="C680" s="11" t="s">
        <v>2805</v>
      </c>
      <c r="D680" s="13" t="s">
        <v>3378</v>
      </c>
      <c r="E680" s="11">
        <v>595</v>
      </c>
      <c r="F680" s="21" t="s">
        <v>3379</v>
      </c>
      <c r="G680" s="11" t="s">
        <v>3324</v>
      </c>
      <c r="H680" s="11" t="s">
        <v>897</v>
      </c>
      <c r="I680" s="12" t="s">
        <v>3324</v>
      </c>
      <c r="J680" s="11" t="s">
        <v>2805</v>
      </c>
      <c r="K680" s="10"/>
      <c r="L680" s="10"/>
    </row>
    <row r="681" spans="1:12" x14ac:dyDescent="0.25">
      <c r="A681" s="21" t="s">
        <v>639</v>
      </c>
      <c r="B681" s="12" t="s">
        <v>2193</v>
      </c>
      <c r="C681" s="11" t="s">
        <v>2805</v>
      </c>
      <c r="D681" s="13" t="s">
        <v>897</v>
      </c>
      <c r="E681" s="11">
        <v>689</v>
      </c>
      <c r="F681" s="21" t="s">
        <v>640</v>
      </c>
      <c r="G681" s="11" t="s">
        <v>2193</v>
      </c>
      <c r="H681" s="11" t="s">
        <v>897</v>
      </c>
      <c r="I681" s="12" t="s">
        <v>2193</v>
      </c>
      <c r="J681" s="11" t="s">
        <v>2805</v>
      </c>
      <c r="K681" s="10"/>
      <c r="L681" s="10"/>
    </row>
    <row r="682" spans="1:12" x14ac:dyDescent="0.25">
      <c r="A682" s="21" t="s">
        <v>684</v>
      </c>
      <c r="B682" s="12" t="s">
        <v>2101</v>
      </c>
      <c r="C682" s="11" t="s">
        <v>2805</v>
      </c>
      <c r="D682" s="13" t="s">
        <v>247</v>
      </c>
      <c r="E682" s="11">
        <v>0</v>
      </c>
      <c r="F682" s="21" t="s">
        <v>685</v>
      </c>
      <c r="G682" s="11" t="s">
        <v>2101</v>
      </c>
      <c r="H682" s="11" t="s">
        <v>897</v>
      </c>
      <c r="I682" s="12" t="s">
        <v>2101</v>
      </c>
      <c r="J682" s="11" t="s">
        <v>2805</v>
      </c>
      <c r="K682" s="10"/>
      <c r="L682" s="10"/>
    </row>
    <row r="683" spans="1:12" x14ac:dyDescent="0.25">
      <c r="A683" s="21" t="s">
        <v>641</v>
      </c>
      <c r="B683" s="12" t="s">
        <v>642</v>
      </c>
      <c r="C683" s="11" t="s">
        <v>2805</v>
      </c>
      <c r="D683" s="13" t="s">
        <v>3179</v>
      </c>
      <c r="E683" s="11">
        <v>0</v>
      </c>
      <c r="F683" s="21" t="s">
        <v>3180</v>
      </c>
      <c r="G683" s="11" t="s">
        <v>642</v>
      </c>
      <c r="H683" s="11" t="s">
        <v>897</v>
      </c>
      <c r="I683" s="12" t="s">
        <v>642</v>
      </c>
      <c r="J683" s="11" t="s">
        <v>2805</v>
      </c>
      <c r="K683" s="10"/>
      <c r="L683" s="10"/>
    </row>
    <row r="684" spans="1:12" x14ac:dyDescent="0.25">
      <c r="A684" s="21" t="s">
        <v>3380</v>
      </c>
      <c r="B684" s="12" t="s">
        <v>3381</v>
      </c>
      <c r="C684" s="11" t="s">
        <v>2805</v>
      </c>
      <c r="D684" s="13" t="s">
        <v>4311</v>
      </c>
      <c r="E684" s="11">
        <v>1</v>
      </c>
      <c r="F684" s="21" t="s">
        <v>3382</v>
      </c>
      <c r="G684" s="11" t="s">
        <v>3381</v>
      </c>
      <c r="H684" s="11" t="s">
        <v>897</v>
      </c>
      <c r="I684" s="12" t="s">
        <v>3381</v>
      </c>
      <c r="J684" s="11" t="s">
        <v>2805</v>
      </c>
      <c r="K684" s="10"/>
      <c r="L684" s="10"/>
    </row>
    <row r="685" spans="1:12" x14ac:dyDescent="0.25">
      <c r="A685" s="21" t="s">
        <v>3181</v>
      </c>
      <c r="B685" s="12" t="s">
        <v>1336</v>
      </c>
      <c r="C685" s="11" t="s">
        <v>2805</v>
      </c>
      <c r="D685" s="13" t="s">
        <v>247</v>
      </c>
      <c r="E685" s="11">
        <v>555</v>
      </c>
      <c r="F685" s="21" t="s">
        <v>3182</v>
      </c>
      <c r="G685" s="11" t="s">
        <v>1336</v>
      </c>
      <c r="H685" s="11" t="s">
        <v>897</v>
      </c>
      <c r="I685" s="12" t="s">
        <v>1336</v>
      </c>
      <c r="J685" s="11" t="s">
        <v>2805</v>
      </c>
      <c r="K685" s="10"/>
      <c r="L685" s="10"/>
    </row>
    <row r="686" spans="1:12" x14ac:dyDescent="0.25">
      <c r="A686" s="21" t="s">
        <v>632</v>
      </c>
      <c r="B686" s="12" t="s">
        <v>897</v>
      </c>
      <c r="C686" s="11" t="s">
        <v>2800</v>
      </c>
      <c r="D686" s="13" t="s">
        <v>3491</v>
      </c>
      <c r="E686" s="11">
        <v>1098</v>
      </c>
      <c r="F686" s="21" t="s">
        <v>633</v>
      </c>
      <c r="G686" s="11" t="s">
        <v>897</v>
      </c>
      <c r="H686" s="11" t="s">
        <v>897</v>
      </c>
      <c r="I686" s="12" t="s">
        <v>897</v>
      </c>
      <c r="J686" s="11" t="s">
        <v>2800</v>
      </c>
      <c r="K686" s="10"/>
      <c r="L686" s="10"/>
    </row>
    <row r="687" spans="1:12" x14ac:dyDescent="0.25">
      <c r="A687" s="21" t="s">
        <v>634</v>
      </c>
      <c r="B687" s="12" t="s">
        <v>3741</v>
      </c>
      <c r="C687" s="11" t="s">
        <v>2805</v>
      </c>
      <c r="D687" s="13" t="s">
        <v>4646</v>
      </c>
      <c r="E687" s="11">
        <v>2295</v>
      </c>
      <c r="F687" s="21" t="s">
        <v>635</v>
      </c>
      <c r="G687" s="11" t="s">
        <v>897</v>
      </c>
      <c r="H687" s="11" t="s">
        <v>897</v>
      </c>
      <c r="I687" s="12" t="s">
        <v>3741</v>
      </c>
      <c r="J687" s="11" t="s">
        <v>2805</v>
      </c>
      <c r="K687" s="10"/>
      <c r="L687" s="10"/>
    </row>
    <row r="688" spans="1:12" x14ac:dyDescent="0.25">
      <c r="A688" s="21" t="s">
        <v>636</v>
      </c>
      <c r="B688" s="12" t="s">
        <v>3748</v>
      </c>
      <c r="C688" s="11" t="s">
        <v>2805</v>
      </c>
      <c r="D688" s="13" t="s">
        <v>637</v>
      </c>
      <c r="E688" s="11">
        <v>1890</v>
      </c>
      <c r="F688" s="21" t="s">
        <v>638</v>
      </c>
      <c r="G688" s="11" t="s">
        <v>897</v>
      </c>
      <c r="H688" s="11" t="s">
        <v>897</v>
      </c>
      <c r="I688" s="12" t="s">
        <v>3748</v>
      </c>
      <c r="J688" s="11" t="s">
        <v>2805</v>
      </c>
      <c r="K688" s="10"/>
      <c r="L688" s="10"/>
    </row>
    <row r="689" spans="1:12" x14ac:dyDescent="0.25">
      <c r="A689" s="21" t="s">
        <v>686</v>
      </c>
      <c r="B689" s="12" t="s">
        <v>687</v>
      </c>
      <c r="C689" s="11" t="s">
        <v>2800</v>
      </c>
      <c r="D689" s="13" t="s">
        <v>688</v>
      </c>
      <c r="E689" s="11">
        <v>999</v>
      </c>
      <c r="F689" s="21" t="s">
        <v>689</v>
      </c>
      <c r="G689" s="11" t="s">
        <v>687</v>
      </c>
      <c r="H689" s="11" t="s">
        <v>897</v>
      </c>
      <c r="I689" s="12" t="s">
        <v>687</v>
      </c>
      <c r="J689" s="11" t="s">
        <v>2800</v>
      </c>
      <c r="K689" s="10"/>
      <c r="L689" s="10"/>
    </row>
    <row r="690" spans="1:12" x14ac:dyDescent="0.25">
      <c r="A690" s="21" t="s">
        <v>3183</v>
      </c>
      <c r="B690" s="12" t="s">
        <v>3184</v>
      </c>
      <c r="C690" s="11" t="s">
        <v>2805</v>
      </c>
      <c r="D690" s="13" t="s">
        <v>4311</v>
      </c>
      <c r="E690" s="11">
        <v>1184</v>
      </c>
      <c r="F690" s="21" t="s">
        <v>3185</v>
      </c>
      <c r="G690" s="11" t="s">
        <v>3184</v>
      </c>
      <c r="H690" s="11" t="s">
        <v>897</v>
      </c>
      <c r="I690" s="12" t="s">
        <v>3184</v>
      </c>
      <c r="J690" s="11" t="s">
        <v>2805</v>
      </c>
      <c r="K690" s="10"/>
      <c r="L690" s="10"/>
    </row>
    <row r="691" spans="1:12" x14ac:dyDescent="0.25">
      <c r="A691" s="21" t="s">
        <v>3186</v>
      </c>
      <c r="B691" s="12" t="s">
        <v>651</v>
      </c>
      <c r="C691" s="11" t="s">
        <v>2805</v>
      </c>
      <c r="D691" s="13" t="s">
        <v>4311</v>
      </c>
      <c r="E691" s="11">
        <v>810</v>
      </c>
      <c r="F691" s="21" t="s">
        <v>652</v>
      </c>
      <c r="G691" s="11" t="s">
        <v>651</v>
      </c>
      <c r="H691" s="11" t="s">
        <v>897</v>
      </c>
      <c r="I691" s="12" t="s">
        <v>651</v>
      </c>
      <c r="J691" s="11" t="s">
        <v>2805</v>
      </c>
      <c r="K691" s="10"/>
      <c r="L691" s="10"/>
    </row>
    <row r="692" spans="1:12" x14ac:dyDescent="0.25">
      <c r="A692" s="21" t="s">
        <v>3372</v>
      </c>
      <c r="B692" s="12" t="s">
        <v>3373</v>
      </c>
      <c r="C692" s="11" t="s">
        <v>2805</v>
      </c>
      <c r="D692" s="13" t="s">
        <v>3374</v>
      </c>
      <c r="E692" s="11" t="s">
        <v>2163</v>
      </c>
      <c r="F692" s="21" t="s">
        <v>3375</v>
      </c>
      <c r="G692" s="11" t="s">
        <v>3376</v>
      </c>
      <c r="H692" s="11" t="s">
        <v>897</v>
      </c>
      <c r="I692" s="12" t="s">
        <v>3373</v>
      </c>
      <c r="J692" s="11" t="s">
        <v>2805</v>
      </c>
      <c r="K692" s="10"/>
      <c r="L692" s="10"/>
    </row>
    <row r="693" spans="1:12" x14ac:dyDescent="0.25">
      <c r="A693" s="21" t="s">
        <v>3383</v>
      </c>
      <c r="B693" s="12" t="s">
        <v>3384</v>
      </c>
      <c r="C693" s="11" t="s">
        <v>2805</v>
      </c>
      <c r="D693" s="13" t="s">
        <v>247</v>
      </c>
      <c r="E693" s="11">
        <v>0</v>
      </c>
      <c r="F693" s="21" t="s">
        <v>3385</v>
      </c>
      <c r="G693" s="11" t="s">
        <v>3384</v>
      </c>
      <c r="H693" s="11" t="s">
        <v>897</v>
      </c>
      <c r="I693" s="12" t="s">
        <v>3384</v>
      </c>
      <c r="J693" s="11" t="s">
        <v>2805</v>
      </c>
      <c r="K693" s="10"/>
      <c r="L693" s="10"/>
    </row>
    <row r="694" spans="1:12" x14ac:dyDescent="0.25">
      <c r="A694" s="21" t="s">
        <v>3386</v>
      </c>
      <c r="B694" s="12" t="s">
        <v>3387</v>
      </c>
      <c r="C694" s="11" t="s">
        <v>2805</v>
      </c>
      <c r="D694" s="13" t="s">
        <v>1276</v>
      </c>
      <c r="E694" s="11">
        <v>2113</v>
      </c>
      <c r="F694" s="21" t="s">
        <v>3388</v>
      </c>
      <c r="G694" s="11" t="s">
        <v>3389</v>
      </c>
      <c r="H694" s="11" t="s">
        <v>897</v>
      </c>
      <c r="I694" s="12" t="s">
        <v>3387</v>
      </c>
      <c r="J694" s="11" t="s">
        <v>2805</v>
      </c>
      <c r="K694" s="10"/>
      <c r="L694" s="10"/>
    </row>
    <row r="695" spans="1:12" x14ac:dyDescent="0.25">
      <c r="A695" s="21" t="s">
        <v>2436</v>
      </c>
      <c r="B695" s="12" t="s">
        <v>2437</v>
      </c>
      <c r="C695" s="11" t="s">
        <v>2800</v>
      </c>
      <c r="D695" s="13" t="s">
        <v>4646</v>
      </c>
      <c r="E695" s="11">
        <v>942</v>
      </c>
      <c r="F695" s="21" t="s">
        <v>2438</v>
      </c>
      <c r="G695" s="11" t="s">
        <v>2437</v>
      </c>
      <c r="H695" s="11" t="s">
        <v>897</v>
      </c>
      <c r="I695" s="12" t="s">
        <v>2437</v>
      </c>
      <c r="J695" s="11" t="s">
        <v>2800</v>
      </c>
      <c r="K695" s="10"/>
      <c r="L695" s="10"/>
    </row>
    <row r="696" spans="1:12" x14ac:dyDescent="0.25">
      <c r="A696" s="21" t="s">
        <v>2439</v>
      </c>
      <c r="B696" s="12" t="s">
        <v>2440</v>
      </c>
      <c r="C696" s="11" t="s">
        <v>2805</v>
      </c>
      <c r="D696" s="13" t="s">
        <v>234</v>
      </c>
      <c r="E696" s="11">
        <v>100</v>
      </c>
      <c r="F696" s="21" t="s">
        <v>2441</v>
      </c>
      <c r="G696" s="11" t="s">
        <v>2440</v>
      </c>
      <c r="H696" s="11" t="s">
        <v>897</v>
      </c>
      <c r="I696" s="12" t="s">
        <v>2440</v>
      </c>
      <c r="J696" s="11" t="s">
        <v>2805</v>
      </c>
      <c r="K696" s="10"/>
      <c r="L696" s="10"/>
    </row>
    <row r="697" spans="1:12" x14ac:dyDescent="0.25">
      <c r="A697" s="21" t="s">
        <v>2442</v>
      </c>
      <c r="B697" s="12" t="s">
        <v>2443</v>
      </c>
      <c r="C697" s="11" t="s">
        <v>2805</v>
      </c>
      <c r="D697" s="13" t="s">
        <v>2444</v>
      </c>
      <c r="E697" s="11">
        <v>0</v>
      </c>
      <c r="F697" s="21" t="s">
        <v>2445</v>
      </c>
      <c r="G697" s="11" t="s">
        <v>2443</v>
      </c>
      <c r="H697" s="11" t="s">
        <v>897</v>
      </c>
      <c r="I697" s="12" t="s">
        <v>2443</v>
      </c>
      <c r="J697" s="11" t="s">
        <v>2805</v>
      </c>
      <c r="K697" s="10"/>
      <c r="L697" s="10"/>
    </row>
    <row r="698" spans="1:12" x14ac:dyDescent="0.25">
      <c r="A698" s="21" t="s">
        <v>2446</v>
      </c>
      <c r="B698" s="12" t="s">
        <v>2234</v>
      </c>
      <c r="C698" s="11" t="s">
        <v>2805</v>
      </c>
      <c r="D698" s="13" t="s">
        <v>2447</v>
      </c>
      <c r="E698" s="11">
        <v>1801</v>
      </c>
      <c r="F698" s="21" t="s">
        <v>2448</v>
      </c>
      <c r="G698" s="11" t="s">
        <v>2234</v>
      </c>
      <c r="H698" s="11" t="s">
        <v>897</v>
      </c>
      <c r="I698" s="12" t="s">
        <v>2234</v>
      </c>
      <c r="J698" s="11" t="s">
        <v>2805</v>
      </c>
      <c r="K698" s="10"/>
      <c r="L698" s="10"/>
    </row>
    <row r="699" spans="1:12" x14ac:dyDescent="0.25">
      <c r="A699" s="21" t="s">
        <v>674</v>
      </c>
      <c r="B699" s="12" t="s">
        <v>675</v>
      </c>
      <c r="C699" s="11" t="s">
        <v>2805</v>
      </c>
      <c r="D699" s="13" t="s">
        <v>1479</v>
      </c>
      <c r="E699" s="11">
        <v>798</v>
      </c>
      <c r="F699" s="21" t="s">
        <v>676</v>
      </c>
      <c r="G699" s="11" t="s">
        <v>675</v>
      </c>
      <c r="H699" s="11" t="s">
        <v>897</v>
      </c>
      <c r="I699" s="12" t="s">
        <v>675</v>
      </c>
      <c r="J699" s="11" t="s">
        <v>2805</v>
      </c>
      <c r="K699" s="10"/>
      <c r="L699" s="10"/>
    </row>
    <row r="700" spans="1:12" x14ac:dyDescent="0.25">
      <c r="A700" s="21" t="s">
        <v>2449</v>
      </c>
      <c r="B700" s="12" t="s">
        <v>580</v>
      </c>
      <c r="C700" s="11" t="s">
        <v>2805</v>
      </c>
      <c r="D700" s="13" t="s">
        <v>2226</v>
      </c>
      <c r="E700" s="11">
        <v>0</v>
      </c>
      <c r="F700" s="21" t="s">
        <v>2450</v>
      </c>
      <c r="G700" s="11" t="s">
        <v>580</v>
      </c>
      <c r="H700" s="11" t="s">
        <v>897</v>
      </c>
      <c r="I700" s="12" t="s">
        <v>580</v>
      </c>
      <c r="J700" s="11" t="s">
        <v>2805</v>
      </c>
      <c r="K700" s="10"/>
      <c r="L700" s="10"/>
    </row>
    <row r="701" spans="1:12" x14ac:dyDescent="0.25">
      <c r="A701" s="21" t="s">
        <v>2451</v>
      </c>
      <c r="B701" s="12" t="s">
        <v>2452</v>
      </c>
      <c r="C701" s="11" t="s">
        <v>2805</v>
      </c>
      <c r="D701" s="13" t="s">
        <v>2901</v>
      </c>
      <c r="E701" s="11">
        <v>0</v>
      </c>
      <c r="F701" s="21" t="s">
        <v>2453</v>
      </c>
      <c r="G701" s="11" t="s">
        <v>2454</v>
      </c>
      <c r="H701" s="11" t="s">
        <v>897</v>
      </c>
      <c r="I701" s="12" t="s">
        <v>2452</v>
      </c>
      <c r="J701" s="11" t="s">
        <v>2805</v>
      </c>
      <c r="K701" s="10"/>
      <c r="L701" s="10"/>
    </row>
    <row r="702" spans="1:12" x14ac:dyDescent="0.25">
      <c r="A702" s="21" t="s">
        <v>2455</v>
      </c>
      <c r="B702" s="12" t="s">
        <v>2456</v>
      </c>
      <c r="C702" s="11" t="s">
        <v>2805</v>
      </c>
      <c r="D702" s="13" t="s">
        <v>2190</v>
      </c>
      <c r="E702" s="11">
        <v>984</v>
      </c>
      <c r="F702" s="21" t="s">
        <v>2457</v>
      </c>
      <c r="G702" s="11" t="s">
        <v>2456</v>
      </c>
      <c r="H702" s="11" t="s">
        <v>897</v>
      </c>
      <c r="I702" s="12" t="s">
        <v>2456</v>
      </c>
      <c r="J702" s="11" t="s">
        <v>2805</v>
      </c>
      <c r="K702" s="10"/>
      <c r="L702" s="10"/>
    </row>
    <row r="703" spans="1:12" x14ac:dyDescent="0.25">
      <c r="A703" s="21" t="s">
        <v>2458</v>
      </c>
      <c r="B703" s="12" t="s">
        <v>10</v>
      </c>
      <c r="C703" s="11" t="s">
        <v>2805</v>
      </c>
      <c r="D703" s="13" t="s">
        <v>1668</v>
      </c>
      <c r="E703" s="11">
        <v>599</v>
      </c>
      <c r="F703" s="21" t="s">
        <v>751</v>
      </c>
      <c r="G703" s="11" t="s">
        <v>10</v>
      </c>
      <c r="H703" s="11" t="s">
        <v>897</v>
      </c>
      <c r="I703" s="12" t="s">
        <v>10</v>
      </c>
      <c r="J703" s="11" t="s">
        <v>2805</v>
      </c>
      <c r="K703" s="10"/>
      <c r="L703" s="10"/>
    </row>
    <row r="704" spans="1:12" x14ac:dyDescent="0.25">
      <c r="A704" s="21" t="s">
        <v>690</v>
      </c>
      <c r="B704" s="12" t="s">
        <v>691</v>
      </c>
      <c r="C704" s="11" t="s">
        <v>2805</v>
      </c>
      <c r="D704" s="13" t="s">
        <v>255</v>
      </c>
      <c r="E704" s="11">
        <v>501</v>
      </c>
      <c r="F704" s="21" t="s">
        <v>692</v>
      </c>
      <c r="G704" s="11" t="s">
        <v>691</v>
      </c>
      <c r="H704" s="11" t="s">
        <v>897</v>
      </c>
      <c r="I704" s="12" t="s">
        <v>691</v>
      </c>
      <c r="J704" s="11" t="s">
        <v>2805</v>
      </c>
      <c r="K704" s="10"/>
      <c r="L704" s="10"/>
    </row>
    <row r="705" spans="1:12" x14ac:dyDescent="0.25">
      <c r="A705" s="21" t="s">
        <v>710</v>
      </c>
      <c r="B705" s="12" t="s">
        <v>711</v>
      </c>
      <c r="C705" s="11" t="s">
        <v>2805</v>
      </c>
      <c r="D705" s="13" t="s">
        <v>3324</v>
      </c>
      <c r="E705" s="11">
        <v>1199</v>
      </c>
      <c r="F705" s="21" t="s">
        <v>712</v>
      </c>
      <c r="G705" s="11" t="s">
        <v>711</v>
      </c>
      <c r="H705" s="11" t="s">
        <v>897</v>
      </c>
      <c r="I705" s="12" t="s">
        <v>711</v>
      </c>
      <c r="J705" s="11" t="s">
        <v>2805</v>
      </c>
      <c r="K705" s="10"/>
      <c r="L705" s="10"/>
    </row>
    <row r="706" spans="1:12" x14ac:dyDescent="0.25">
      <c r="A706" s="21" t="s">
        <v>693</v>
      </c>
      <c r="B706" s="12" t="s">
        <v>694</v>
      </c>
      <c r="C706" s="11" t="s">
        <v>2805</v>
      </c>
      <c r="D706" s="13" t="s">
        <v>695</v>
      </c>
      <c r="E706" s="11">
        <v>115</v>
      </c>
      <c r="F706" s="21" t="s">
        <v>2434</v>
      </c>
      <c r="G706" s="11" t="s">
        <v>2435</v>
      </c>
      <c r="H706" s="11" t="s">
        <v>897</v>
      </c>
      <c r="I706" s="12" t="s">
        <v>694</v>
      </c>
      <c r="J706" s="11" t="s">
        <v>2805</v>
      </c>
      <c r="K706" s="10"/>
      <c r="L706" s="10"/>
    </row>
    <row r="707" spans="1:12" x14ac:dyDescent="0.25">
      <c r="A707" s="21" t="s">
        <v>752</v>
      </c>
      <c r="B707" s="12" t="s">
        <v>753</v>
      </c>
      <c r="C707" s="11" t="s">
        <v>2805</v>
      </c>
      <c r="D707" s="13" t="s">
        <v>2226</v>
      </c>
      <c r="E707" s="11">
        <v>642</v>
      </c>
      <c r="F707" s="21" t="s">
        <v>754</v>
      </c>
      <c r="G707" s="11" t="s">
        <v>753</v>
      </c>
      <c r="H707" s="11" t="s">
        <v>897</v>
      </c>
      <c r="I707" s="12" t="s">
        <v>753</v>
      </c>
      <c r="J707" s="11" t="s">
        <v>2805</v>
      </c>
      <c r="K707" s="10"/>
      <c r="L707" s="10"/>
    </row>
    <row r="708" spans="1:12" x14ac:dyDescent="0.25">
      <c r="A708" s="21" t="s">
        <v>713</v>
      </c>
      <c r="B708" s="12" t="s">
        <v>714</v>
      </c>
      <c r="C708" s="11" t="s">
        <v>2800</v>
      </c>
      <c r="D708" s="13" t="s">
        <v>715</v>
      </c>
      <c r="E708" s="11">
        <v>998</v>
      </c>
      <c r="F708" s="21" t="s">
        <v>716</v>
      </c>
      <c r="G708" s="11" t="s">
        <v>714</v>
      </c>
      <c r="H708" s="11" t="s">
        <v>897</v>
      </c>
      <c r="I708" s="12" t="s">
        <v>714</v>
      </c>
      <c r="J708" s="11" t="s">
        <v>2800</v>
      </c>
      <c r="K708" s="10"/>
      <c r="L708" s="10"/>
    </row>
    <row r="709" spans="1:12" x14ac:dyDescent="0.25">
      <c r="A709" s="21" t="s">
        <v>755</v>
      </c>
      <c r="B709" s="12" t="s">
        <v>756</v>
      </c>
      <c r="C709" s="11" t="s">
        <v>2805</v>
      </c>
      <c r="D709" s="13" t="s">
        <v>1479</v>
      </c>
      <c r="E709" s="11">
        <v>0</v>
      </c>
      <c r="F709" s="21" t="s">
        <v>757</v>
      </c>
      <c r="G709" s="11" t="s">
        <v>756</v>
      </c>
      <c r="H709" s="11" t="s">
        <v>897</v>
      </c>
      <c r="I709" s="12" t="s">
        <v>756</v>
      </c>
      <c r="J709" s="11" t="s">
        <v>2805</v>
      </c>
      <c r="K709" s="10"/>
      <c r="L709" s="10"/>
    </row>
    <row r="710" spans="1:12" x14ac:dyDescent="0.25">
      <c r="A710" s="21" t="s">
        <v>758</v>
      </c>
      <c r="B710" s="12" t="s">
        <v>759</v>
      </c>
      <c r="C710" s="11" t="s">
        <v>2805</v>
      </c>
      <c r="D710" s="13" t="s">
        <v>4311</v>
      </c>
      <c r="E710" s="11">
        <v>605</v>
      </c>
      <c r="F710" s="21" t="s">
        <v>760</v>
      </c>
      <c r="G710" s="11" t="s">
        <v>759</v>
      </c>
      <c r="H710" s="11" t="s">
        <v>897</v>
      </c>
      <c r="I710" s="12" t="s">
        <v>759</v>
      </c>
      <c r="J710" s="11" t="s">
        <v>2805</v>
      </c>
      <c r="K710" s="10"/>
      <c r="L710" s="10"/>
    </row>
    <row r="711" spans="1:12" x14ac:dyDescent="0.25">
      <c r="A711" s="21" t="s">
        <v>677</v>
      </c>
      <c r="B711" s="12" t="s">
        <v>2140</v>
      </c>
      <c r="C711" s="11" t="s">
        <v>2805</v>
      </c>
      <c r="D711" s="13" t="s">
        <v>255</v>
      </c>
      <c r="E711" s="11">
        <v>0</v>
      </c>
      <c r="F711" s="21" t="s">
        <v>678</v>
      </c>
      <c r="G711" s="11" t="s">
        <v>2140</v>
      </c>
      <c r="H711" s="11" t="s">
        <v>897</v>
      </c>
      <c r="I711" s="12" t="s">
        <v>2140</v>
      </c>
      <c r="J711" s="11" t="s">
        <v>2805</v>
      </c>
      <c r="K711" s="10"/>
      <c r="L711" s="10"/>
    </row>
    <row r="712" spans="1:12" x14ac:dyDescent="0.25">
      <c r="A712" s="21" t="s">
        <v>761</v>
      </c>
      <c r="B712" s="12" t="s">
        <v>762</v>
      </c>
      <c r="C712" s="11" t="s">
        <v>2805</v>
      </c>
      <c r="D712" s="13" t="s">
        <v>763</v>
      </c>
      <c r="E712" s="11">
        <v>0</v>
      </c>
      <c r="F712" s="21" t="s">
        <v>764</v>
      </c>
      <c r="G712" s="11" t="s">
        <v>762</v>
      </c>
      <c r="H712" s="11" t="s">
        <v>897</v>
      </c>
      <c r="I712" s="12" t="s">
        <v>762</v>
      </c>
      <c r="J712" s="11" t="s">
        <v>2805</v>
      </c>
      <c r="K712" s="10"/>
      <c r="L712" s="10"/>
    </row>
    <row r="713" spans="1:12" x14ac:dyDescent="0.25">
      <c r="A713" s="21" t="s">
        <v>765</v>
      </c>
      <c r="B713" s="12" t="s">
        <v>2749</v>
      </c>
      <c r="C713" s="11" t="s">
        <v>2805</v>
      </c>
      <c r="D713" s="13" t="s">
        <v>4655</v>
      </c>
      <c r="E713" s="11">
        <v>0</v>
      </c>
      <c r="F713" s="21" t="s">
        <v>766</v>
      </c>
      <c r="G713" s="11" t="s">
        <v>2749</v>
      </c>
      <c r="H713" s="11" t="s">
        <v>897</v>
      </c>
      <c r="I713" s="12" t="s">
        <v>2749</v>
      </c>
      <c r="J713" s="11" t="s">
        <v>2805</v>
      </c>
      <c r="K713" s="10"/>
      <c r="L713" s="10"/>
    </row>
    <row r="714" spans="1:12" x14ac:dyDescent="0.25">
      <c r="A714" s="21" t="s">
        <v>767</v>
      </c>
      <c r="B714" s="12" t="s">
        <v>643</v>
      </c>
      <c r="C714" s="11" t="s">
        <v>2805</v>
      </c>
      <c r="D714" s="13" t="s">
        <v>4510</v>
      </c>
      <c r="E714" s="11">
        <v>687</v>
      </c>
      <c r="F714" s="21" t="s">
        <v>644</v>
      </c>
      <c r="G714" s="11" t="s">
        <v>643</v>
      </c>
      <c r="H714" s="11" t="s">
        <v>897</v>
      </c>
      <c r="I714" s="12" t="s">
        <v>643</v>
      </c>
      <c r="J714" s="11" t="s">
        <v>2805</v>
      </c>
      <c r="K714" s="10"/>
      <c r="L714" s="10"/>
    </row>
    <row r="715" spans="1:12" x14ac:dyDescent="0.25">
      <c r="A715" s="21" t="s">
        <v>645</v>
      </c>
      <c r="B715" s="12" t="s">
        <v>2189</v>
      </c>
      <c r="C715" s="11" t="s">
        <v>2805</v>
      </c>
      <c r="D715" s="13" t="s">
        <v>4655</v>
      </c>
      <c r="E715" s="11">
        <v>895</v>
      </c>
      <c r="F715" s="21" t="s">
        <v>646</v>
      </c>
      <c r="G715" s="11" t="s">
        <v>2189</v>
      </c>
      <c r="H715" s="11" t="s">
        <v>897</v>
      </c>
      <c r="I715" s="12" t="s">
        <v>2189</v>
      </c>
      <c r="J715" s="11" t="s">
        <v>2805</v>
      </c>
      <c r="K715" s="10"/>
      <c r="L715" s="10"/>
    </row>
    <row r="716" spans="1:12" x14ac:dyDescent="0.25">
      <c r="A716" s="21" t="s">
        <v>647</v>
      </c>
      <c r="B716" s="12" t="s">
        <v>648</v>
      </c>
      <c r="C716" s="11" t="s">
        <v>2805</v>
      </c>
      <c r="D716" s="13" t="s">
        <v>649</v>
      </c>
      <c r="E716" s="11">
        <v>850</v>
      </c>
      <c r="F716" s="21" t="s">
        <v>650</v>
      </c>
      <c r="G716" s="11" t="s">
        <v>648</v>
      </c>
      <c r="H716" s="11" t="s">
        <v>897</v>
      </c>
      <c r="I716" s="12" t="s">
        <v>648</v>
      </c>
      <c r="J716" s="11" t="s">
        <v>2805</v>
      </c>
      <c r="K716" s="10"/>
      <c r="L716" s="10"/>
    </row>
    <row r="717" spans="1:12" x14ac:dyDescent="0.25">
      <c r="A717" s="21" t="s">
        <v>3370</v>
      </c>
      <c r="B717" s="12" t="s">
        <v>353</v>
      </c>
      <c r="C717" s="11" t="s">
        <v>2805</v>
      </c>
      <c r="D717" s="13" t="s">
        <v>4162</v>
      </c>
      <c r="E717" s="11">
        <v>204</v>
      </c>
      <c r="F717" s="21" t="s">
        <v>3371</v>
      </c>
      <c r="G717" s="11" t="s">
        <v>353</v>
      </c>
      <c r="H717" s="11" t="s">
        <v>897</v>
      </c>
      <c r="I717" s="12" t="s">
        <v>353</v>
      </c>
      <c r="J717" s="11" t="s">
        <v>2805</v>
      </c>
      <c r="K717" s="10"/>
      <c r="L717" s="10"/>
    </row>
    <row r="718" spans="1:12" x14ac:dyDescent="0.25">
      <c r="A718" s="21" t="s">
        <v>679</v>
      </c>
      <c r="B718" s="12" t="s">
        <v>833</v>
      </c>
      <c r="C718" s="11" t="s">
        <v>2805</v>
      </c>
      <c r="D718" s="13" t="s">
        <v>1034</v>
      </c>
      <c r="E718" s="11">
        <v>805</v>
      </c>
      <c r="F718" s="21" t="s">
        <v>680</v>
      </c>
      <c r="G718" s="11" t="s">
        <v>833</v>
      </c>
      <c r="H718" s="11" t="s">
        <v>897</v>
      </c>
      <c r="I718" s="12" t="s">
        <v>833</v>
      </c>
      <c r="J718" s="11" t="s">
        <v>2805</v>
      </c>
      <c r="K718" s="10"/>
      <c r="L718" s="10"/>
    </row>
    <row r="719" spans="1:12" x14ac:dyDescent="0.25">
      <c r="A719" s="21" t="s">
        <v>717</v>
      </c>
      <c r="B719" s="12" t="s">
        <v>718</v>
      </c>
      <c r="C719" s="11" t="s">
        <v>2805</v>
      </c>
      <c r="D719" s="13" t="s">
        <v>2190</v>
      </c>
      <c r="E719" s="11">
        <v>1251</v>
      </c>
      <c r="F719" s="21" t="s">
        <v>719</v>
      </c>
      <c r="G719" s="11" t="s">
        <v>718</v>
      </c>
      <c r="H719" s="11" t="s">
        <v>897</v>
      </c>
      <c r="I719" s="12" t="s">
        <v>718</v>
      </c>
      <c r="J719" s="11" t="s">
        <v>2805</v>
      </c>
      <c r="K719" s="10"/>
      <c r="L719" s="10"/>
    </row>
    <row r="720" spans="1:12" x14ac:dyDescent="0.25">
      <c r="A720" s="21" t="s">
        <v>681</v>
      </c>
      <c r="B720" s="12" t="s">
        <v>2827</v>
      </c>
      <c r="C720" s="11" t="s">
        <v>2805</v>
      </c>
      <c r="D720" s="13" t="s">
        <v>682</v>
      </c>
      <c r="E720" s="11">
        <v>302</v>
      </c>
      <c r="F720" s="21" t="s">
        <v>683</v>
      </c>
      <c r="G720" s="11" t="s">
        <v>2827</v>
      </c>
      <c r="H720" s="11" t="s">
        <v>897</v>
      </c>
      <c r="I720" s="12" t="s">
        <v>2827</v>
      </c>
      <c r="J720" s="11" t="s">
        <v>2805</v>
      </c>
      <c r="K720" s="10"/>
      <c r="L720" s="10"/>
    </row>
    <row r="721" spans="1:12" x14ac:dyDescent="0.25">
      <c r="A721" s="21" t="s">
        <v>1263</v>
      </c>
      <c r="B721" s="12" t="s">
        <v>1264</v>
      </c>
      <c r="C721" s="11" t="s">
        <v>2805</v>
      </c>
      <c r="D721" s="13" t="s">
        <v>1265</v>
      </c>
      <c r="E721" s="11" t="s">
        <v>2163</v>
      </c>
      <c r="F721" s="21" t="s">
        <v>1266</v>
      </c>
      <c r="G721" s="11" t="s">
        <v>1300</v>
      </c>
      <c r="H721" s="11" t="s">
        <v>2398</v>
      </c>
      <c r="I721" s="12" t="s">
        <v>1264</v>
      </c>
      <c r="J721" s="11" t="s">
        <v>2805</v>
      </c>
      <c r="K721" s="10"/>
      <c r="L721" s="10"/>
    </row>
    <row r="722" spans="1:12" x14ac:dyDescent="0.25">
      <c r="A722" s="21" t="s">
        <v>1298</v>
      </c>
      <c r="B722" s="12" t="s">
        <v>1299</v>
      </c>
      <c r="C722" s="11" t="s">
        <v>2805</v>
      </c>
      <c r="D722" s="13" t="s">
        <v>1300</v>
      </c>
      <c r="E722" s="11">
        <v>0</v>
      </c>
      <c r="F722" s="21" t="s">
        <v>3803</v>
      </c>
      <c r="G722" s="11" t="s">
        <v>3804</v>
      </c>
      <c r="H722" s="11" t="s">
        <v>2398</v>
      </c>
      <c r="I722" s="12" t="s">
        <v>1299</v>
      </c>
      <c r="J722" s="11" t="s">
        <v>2805</v>
      </c>
      <c r="K722" s="10"/>
      <c r="L722" s="10"/>
    </row>
    <row r="723" spans="1:12" x14ac:dyDescent="0.25">
      <c r="A723" s="21" t="s">
        <v>1174</v>
      </c>
      <c r="B723" s="12" t="s">
        <v>1175</v>
      </c>
      <c r="C723" s="11" t="s">
        <v>2805</v>
      </c>
      <c r="D723" s="13" t="s">
        <v>2262</v>
      </c>
      <c r="E723" s="11">
        <v>265</v>
      </c>
      <c r="F723" s="21" t="s">
        <v>1176</v>
      </c>
      <c r="G723" s="11" t="s">
        <v>1175</v>
      </c>
      <c r="H723" s="11" t="s">
        <v>2398</v>
      </c>
      <c r="I723" s="12" t="s">
        <v>1175</v>
      </c>
      <c r="J723" s="11" t="s">
        <v>2805</v>
      </c>
      <c r="K723" s="10"/>
      <c r="L723" s="10"/>
    </row>
    <row r="724" spans="1:12" x14ac:dyDescent="0.25">
      <c r="A724" s="21" t="s">
        <v>1177</v>
      </c>
      <c r="B724" s="12" t="s">
        <v>1178</v>
      </c>
      <c r="C724" s="11" t="s">
        <v>2805</v>
      </c>
      <c r="D724" s="13" t="s">
        <v>1471</v>
      </c>
      <c r="E724" s="11">
        <v>161</v>
      </c>
      <c r="F724" s="21" t="s">
        <v>1179</v>
      </c>
      <c r="G724" s="11" t="s">
        <v>1178</v>
      </c>
      <c r="H724" s="11" t="s">
        <v>2398</v>
      </c>
      <c r="I724" s="12" t="s">
        <v>1178</v>
      </c>
      <c r="J724" s="11" t="s">
        <v>2805</v>
      </c>
      <c r="K724" s="10"/>
      <c r="L724" s="10"/>
    </row>
    <row r="725" spans="1:12" x14ac:dyDescent="0.25">
      <c r="A725" s="21" t="s">
        <v>1180</v>
      </c>
      <c r="B725" s="12" t="s">
        <v>1660</v>
      </c>
      <c r="C725" s="11" t="s">
        <v>2805</v>
      </c>
      <c r="D725" s="13">
        <v>6</v>
      </c>
      <c r="E725" s="11">
        <v>684</v>
      </c>
      <c r="F725" s="21" t="s">
        <v>1181</v>
      </c>
      <c r="G725" s="11" t="s">
        <v>1660</v>
      </c>
      <c r="H725" s="11" t="s">
        <v>2398</v>
      </c>
      <c r="I725" s="12" t="s">
        <v>1660</v>
      </c>
      <c r="J725" s="11" t="s">
        <v>2805</v>
      </c>
      <c r="K725" s="10"/>
      <c r="L725" s="10"/>
    </row>
    <row r="726" spans="1:12" x14ac:dyDescent="0.25">
      <c r="A726" s="21" t="s">
        <v>1182</v>
      </c>
      <c r="B726" s="12" t="s">
        <v>1183</v>
      </c>
      <c r="C726" s="11" t="s">
        <v>2805</v>
      </c>
      <c r="D726" s="13" t="s">
        <v>1184</v>
      </c>
      <c r="E726" s="11">
        <v>274</v>
      </c>
      <c r="F726" s="21" t="s">
        <v>1185</v>
      </c>
      <c r="G726" s="11" t="s">
        <v>1183</v>
      </c>
      <c r="H726" s="11" t="s">
        <v>2398</v>
      </c>
      <c r="I726" s="12" t="s">
        <v>1183</v>
      </c>
      <c r="J726" s="11" t="s">
        <v>2805</v>
      </c>
      <c r="K726" s="10"/>
      <c r="L726" s="10"/>
    </row>
    <row r="727" spans="1:12" x14ac:dyDescent="0.25">
      <c r="A727" s="21" t="s">
        <v>1244</v>
      </c>
      <c r="B727" s="12" t="s">
        <v>1245</v>
      </c>
      <c r="C727" s="11" t="s">
        <v>2800</v>
      </c>
      <c r="D727" s="13" t="s">
        <v>1246</v>
      </c>
      <c r="E727" s="11">
        <v>1320</v>
      </c>
      <c r="F727" s="21" t="s">
        <v>1247</v>
      </c>
      <c r="G727" s="11" t="s">
        <v>1245</v>
      </c>
      <c r="H727" s="11" t="s">
        <v>2398</v>
      </c>
      <c r="I727" s="12" t="s">
        <v>1245</v>
      </c>
      <c r="J727" s="11" t="s">
        <v>2800</v>
      </c>
      <c r="K727" s="10"/>
      <c r="L727" s="10"/>
    </row>
    <row r="728" spans="1:12" x14ac:dyDescent="0.25">
      <c r="A728" s="21" t="s">
        <v>1248</v>
      </c>
      <c r="B728" s="12" t="s">
        <v>1479</v>
      </c>
      <c r="C728" s="11" t="s">
        <v>2800</v>
      </c>
      <c r="D728" s="13" t="s">
        <v>1249</v>
      </c>
      <c r="E728" s="11">
        <v>431</v>
      </c>
      <c r="F728" s="21" t="s">
        <v>1250</v>
      </c>
      <c r="G728" s="11" t="s">
        <v>1479</v>
      </c>
      <c r="H728" s="11" t="s">
        <v>2398</v>
      </c>
      <c r="I728" s="12" t="s">
        <v>1479</v>
      </c>
      <c r="J728" s="11" t="s">
        <v>2800</v>
      </c>
      <c r="K728" s="10"/>
      <c r="L728" s="10"/>
    </row>
    <row r="729" spans="1:12" x14ac:dyDescent="0.25">
      <c r="A729" s="21" t="s">
        <v>1186</v>
      </c>
      <c r="B729" s="12" t="s">
        <v>1187</v>
      </c>
      <c r="C729" s="11" t="s">
        <v>2800</v>
      </c>
      <c r="D729" s="13" t="s">
        <v>1188</v>
      </c>
      <c r="E729" s="11">
        <v>712</v>
      </c>
      <c r="F729" s="21" t="s">
        <v>1189</v>
      </c>
      <c r="G729" s="11" t="s">
        <v>1187</v>
      </c>
      <c r="H729" s="11" t="s">
        <v>2398</v>
      </c>
      <c r="I729" s="12" t="s">
        <v>1187</v>
      </c>
      <c r="J729" s="11" t="s">
        <v>2800</v>
      </c>
      <c r="K729" s="10"/>
      <c r="L729" s="10"/>
    </row>
    <row r="730" spans="1:12" x14ac:dyDescent="0.25">
      <c r="A730" s="21" t="s">
        <v>3814</v>
      </c>
      <c r="B730" s="12" t="s">
        <v>3815</v>
      </c>
      <c r="C730" s="11" t="s">
        <v>2800</v>
      </c>
      <c r="D730" s="13" t="s">
        <v>2262</v>
      </c>
      <c r="E730" s="11">
        <v>575</v>
      </c>
      <c r="F730" s="21" t="s">
        <v>3816</v>
      </c>
      <c r="G730" s="11" t="s">
        <v>3815</v>
      </c>
      <c r="H730" s="11" t="s">
        <v>2398</v>
      </c>
      <c r="I730" s="12" t="s">
        <v>3815</v>
      </c>
      <c r="J730" s="11" t="s">
        <v>2800</v>
      </c>
      <c r="K730" s="10"/>
      <c r="L730" s="10"/>
    </row>
    <row r="731" spans="1:12" x14ac:dyDescent="0.25">
      <c r="A731" s="21" t="s">
        <v>3817</v>
      </c>
      <c r="B731" s="12" t="s">
        <v>1242</v>
      </c>
      <c r="C731" s="11" t="s">
        <v>2805</v>
      </c>
      <c r="D731" s="13" t="s">
        <v>4399</v>
      </c>
      <c r="E731" s="11">
        <v>396</v>
      </c>
      <c r="F731" s="21" t="s">
        <v>1243</v>
      </c>
      <c r="G731" s="11" t="s">
        <v>3815</v>
      </c>
      <c r="H731" s="11" t="s">
        <v>2398</v>
      </c>
      <c r="I731" s="12" t="s">
        <v>1242</v>
      </c>
      <c r="J731" s="11" t="s">
        <v>2805</v>
      </c>
      <c r="K731" s="10"/>
      <c r="L731" s="10"/>
    </row>
    <row r="732" spans="1:12" x14ac:dyDescent="0.25">
      <c r="A732" s="21" t="s">
        <v>1190</v>
      </c>
      <c r="B732" s="12" t="s">
        <v>2876</v>
      </c>
      <c r="C732" s="11" t="s">
        <v>2805</v>
      </c>
      <c r="D732" s="13" t="s">
        <v>2226</v>
      </c>
      <c r="E732" s="11">
        <v>907</v>
      </c>
      <c r="F732" s="21" t="s">
        <v>2877</v>
      </c>
      <c r="G732" s="11" t="s">
        <v>2876</v>
      </c>
      <c r="H732" s="11" t="s">
        <v>2398</v>
      </c>
      <c r="I732" s="12" t="s">
        <v>2876</v>
      </c>
      <c r="J732" s="11" t="s">
        <v>2805</v>
      </c>
      <c r="K732" s="10"/>
      <c r="L732" s="10"/>
    </row>
    <row r="733" spans="1:12" x14ac:dyDescent="0.25">
      <c r="A733" s="21" t="s">
        <v>2878</v>
      </c>
      <c r="B733" s="12" t="s">
        <v>2879</v>
      </c>
      <c r="C733" s="11" t="s">
        <v>2805</v>
      </c>
      <c r="D733" s="13" t="s">
        <v>2880</v>
      </c>
      <c r="E733" s="11">
        <v>400</v>
      </c>
      <c r="F733" s="21" t="s">
        <v>2881</v>
      </c>
      <c r="G733" s="11" t="s">
        <v>2879</v>
      </c>
      <c r="H733" s="11" t="s">
        <v>2398</v>
      </c>
      <c r="I733" s="12" t="s">
        <v>2879</v>
      </c>
      <c r="J733" s="11" t="s">
        <v>2805</v>
      </c>
      <c r="K733" s="10"/>
      <c r="L733" s="10"/>
    </row>
    <row r="734" spans="1:12" x14ac:dyDescent="0.25">
      <c r="A734" s="21" t="s">
        <v>1251</v>
      </c>
      <c r="B734" s="12" t="s">
        <v>1252</v>
      </c>
      <c r="C734" s="11" t="s">
        <v>2805</v>
      </c>
      <c r="D734" s="13" t="s">
        <v>1253</v>
      </c>
      <c r="E734" s="11">
        <v>1272</v>
      </c>
      <c r="F734" s="21" t="s">
        <v>1254</v>
      </c>
      <c r="G734" s="11" t="s">
        <v>1252</v>
      </c>
      <c r="H734" s="11" t="s">
        <v>2398</v>
      </c>
      <c r="I734" s="12" t="s">
        <v>1252</v>
      </c>
      <c r="J734" s="11" t="s">
        <v>2805</v>
      </c>
      <c r="K734" s="10"/>
      <c r="L734" s="10"/>
    </row>
    <row r="735" spans="1:12" x14ac:dyDescent="0.25">
      <c r="A735" s="21" t="s">
        <v>1255</v>
      </c>
      <c r="B735" s="12" t="s">
        <v>1256</v>
      </c>
      <c r="C735" s="11" t="s">
        <v>2805</v>
      </c>
      <c r="D735" s="13" t="s">
        <v>1257</v>
      </c>
      <c r="E735" s="11">
        <v>430</v>
      </c>
      <c r="F735" s="21" t="s">
        <v>1258</v>
      </c>
      <c r="G735" s="11" t="s">
        <v>1256</v>
      </c>
      <c r="H735" s="11" t="s">
        <v>2398</v>
      </c>
      <c r="I735" s="12" t="s">
        <v>1256</v>
      </c>
      <c r="J735" s="11" t="s">
        <v>2805</v>
      </c>
      <c r="K735" s="10"/>
      <c r="L735" s="10"/>
    </row>
    <row r="736" spans="1:12" x14ac:dyDescent="0.25">
      <c r="A736" s="21" t="s">
        <v>1259</v>
      </c>
      <c r="B736" s="12" t="s">
        <v>1260</v>
      </c>
      <c r="C736" s="11" t="s">
        <v>2805</v>
      </c>
      <c r="D736" s="13" t="s">
        <v>2155</v>
      </c>
      <c r="E736" s="11">
        <v>502</v>
      </c>
      <c r="F736" s="21" t="s">
        <v>1261</v>
      </c>
      <c r="G736" s="11" t="s">
        <v>1262</v>
      </c>
      <c r="H736" s="11" t="s">
        <v>2398</v>
      </c>
      <c r="I736" s="12" t="s">
        <v>1260</v>
      </c>
      <c r="J736" s="11" t="s">
        <v>2805</v>
      </c>
      <c r="K736" s="10"/>
      <c r="L736" s="10"/>
    </row>
    <row r="737" spans="1:12" x14ac:dyDescent="0.25">
      <c r="A737" s="21" t="s">
        <v>2882</v>
      </c>
      <c r="B737" s="12" t="s">
        <v>2883</v>
      </c>
      <c r="C737" s="11" t="s">
        <v>2805</v>
      </c>
      <c r="D737" s="13" t="s">
        <v>2884</v>
      </c>
      <c r="E737" s="11">
        <v>641</v>
      </c>
      <c r="F737" s="21" t="s">
        <v>2885</v>
      </c>
      <c r="G737" s="11" t="s">
        <v>2886</v>
      </c>
      <c r="H737" s="11" t="s">
        <v>2398</v>
      </c>
      <c r="I737" s="12" t="s">
        <v>2883</v>
      </c>
      <c r="J737" s="11" t="s">
        <v>2805</v>
      </c>
      <c r="K737" s="10"/>
      <c r="L737" s="10"/>
    </row>
    <row r="738" spans="1:12" x14ac:dyDescent="0.25">
      <c r="A738" s="21" t="s">
        <v>2887</v>
      </c>
      <c r="B738" s="12" t="s">
        <v>2888</v>
      </c>
      <c r="C738" s="11" t="s">
        <v>2805</v>
      </c>
      <c r="D738" s="13" t="s">
        <v>2889</v>
      </c>
      <c r="E738" s="11">
        <v>30</v>
      </c>
      <c r="F738" s="21" t="s">
        <v>2890</v>
      </c>
      <c r="G738" s="11" t="s">
        <v>2891</v>
      </c>
      <c r="H738" s="11" t="s">
        <v>2398</v>
      </c>
      <c r="I738" s="12" t="s">
        <v>2888</v>
      </c>
      <c r="J738" s="11" t="s">
        <v>2805</v>
      </c>
      <c r="K738" s="10"/>
      <c r="L738" s="10"/>
    </row>
    <row r="739" spans="1:12" x14ac:dyDescent="0.25">
      <c r="A739" s="21" t="s">
        <v>1212</v>
      </c>
      <c r="B739" s="12" t="s">
        <v>1213</v>
      </c>
      <c r="C739" s="11" t="s">
        <v>2805</v>
      </c>
      <c r="D739" s="13" t="s">
        <v>1106</v>
      </c>
      <c r="E739" s="11">
        <v>289</v>
      </c>
      <c r="F739" s="21" t="s">
        <v>1214</v>
      </c>
      <c r="G739" s="11" t="s">
        <v>2998</v>
      </c>
      <c r="H739" s="11" t="s">
        <v>2398</v>
      </c>
      <c r="I739" s="12" t="s">
        <v>1213</v>
      </c>
      <c r="J739" s="11" t="s">
        <v>2805</v>
      </c>
      <c r="K739" s="10"/>
      <c r="L739" s="10"/>
    </row>
    <row r="740" spans="1:12" x14ac:dyDescent="0.25">
      <c r="A740" s="21" t="s">
        <v>2892</v>
      </c>
      <c r="B740" s="12" t="s">
        <v>2893</v>
      </c>
      <c r="C740" s="11" t="s">
        <v>2805</v>
      </c>
      <c r="D740" s="13" t="s">
        <v>247</v>
      </c>
      <c r="E740" s="11">
        <v>485</v>
      </c>
      <c r="F740" s="21" t="s">
        <v>2894</v>
      </c>
      <c r="G740" s="11" t="s">
        <v>2895</v>
      </c>
      <c r="H740" s="11" t="s">
        <v>2398</v>
      </c>
      <c r="I740" s="12" t="s">
        <v>2893</v>
      </c>
      <c r="J740" s="11" t="s">
        <v>2805</v>
      </c>
      <c r="K740" s="10"/>
      <c r="L740" s="10"/>
    </row>
    <row r="741" spans="1:12" x14ac:dyDescent="0.25">
      <c r="A741" s="21" t="s">
        <v>2896</v>
      </c>
      <c r="B741" s="12" t="s">
        <v>2897</v>
      </c>
      <c r="C741" s="11" t="s">
        <v>2800</v>
      </c>
      <c r="D741" s="13" t="s">
        <v>2155</v>
      </c>
      <c r="E741" s="11">
        <v>128</v>
      </c>
      <c r="F741" s="21" t="s">
        <v>2898</v>
      </c>
      <c r="G741" s="11" t="s">
        <v>2897</v>
      </c>
      <c r="H741" s="11" t="s">
        <v>2398</v>
      </c>
      <c r="I741" s="12" t="s">
        <v>2897</v>
      </c>
      <c r="J741" s="11" t="s">
        <v>2800</v>
      </c>
      <c r="K741" s="10"/>
      <c r="L741" s="10"/>
    </row>
    <row r="742" spans="1:12" x14ac:dyDescent="0.25">
      <c r="A742" s="21" t="s">
        <v>2899</v>
      </c>
      <c r="B742" s="12" t="s">
        <v>2900</v>
      </c>
      <c r="C742" s="11" t="s">
        <v>2800</v>
      </c>
      <c r="D742" s="13" t="s">
        <v>2901</v>
      </c>
      <c r="E742" s="11">
        <v>1036</v>
      </c>
      <c r="F742" s="21" t="s">
        <v>2902</v>
      </c>
      <c r="G742" s="11" t="s">
        <v>2900</v>
      </c>
      <c r="H742" s="11" t="s">
        <v>2398</v>
      </c>
      <c r="I742" s="12" t="s">
        <v>2900</v>
      </c>
      <c r="J742" s="11" t="s">
        <v>2800</v>
      </c>
      <c r="K742" s="10"/>
      <c r="L742" s="10"/>
    </row>
    <row r="743" spans="1:12" x14ac:dyDescent="0.25">
      <c r="A743" s="21" t="s">
        <v>2903</v>
      </c>
      <c r="B743" s="12" t="s">
        <v>2904</v>
      </c>
      <c r="C743" s="11" t="s">
        <v>2805</v>
      </c>
      <c r="D743" s="13" t="s">
        <v>4300</v>
      </c>
      <c r="E743" s="11">
        <v>255</v>
      </c>
      <c r="F743" s="21" t="s">
        <v>2905</v>
      </c>
      <c r="G743" s="11" t="s">
        <v>2904</v>
      </c>
      <c r="H743" s="11" t="s">
        <v>2398</v>
      </c>
      <c r="I743" s="12" t="s">
        <v>2904</v>
      </c>
      <c r="J743" s="11" t="s">
        <v>2805</v>
      </c>
      <c r="K743" s="10"/>
      <c r="L743" s="10"/>
    </row>
    <row r="744" spans="1:12" x14ac:dyDescent="0.25">
      <c r="A744" s="21" t="s">
        <v>2906</v>
      </c>
      <c r="B744" s="12" t="s">
        <v>2907</v>
      </c>
      <c r="C744" s="11" t="s">
        <v>2805</v>
      </c>
      <c r="D744" s="13" t="s">
        <v>4718</v>
      </c>
      <c r="E744" s="11">
        <v>378</v>
      </c>
      <c r="F744" s="21" t="s">
        <v>2908</v>
      </c>
      <c r="G744" s="11" t="s">
        <v>2907</v>
      </c>
      <c r="H744" s="11" t="s">
        <v>2398</v>
      </c>
      <c r="I744" s="12" t="s">
        <v>2907</v>
      </c>
      <c r="J744" s="11" t="s">
        <v>2805</v>
      </c>
      <c r="K744" s="10"/>
      <c r="L744" s="10"/>
    </row>
    <row r="745" spans="1:12" x14ac:dyDescent="0.25">
      <c r="A745" s="21" t="s">
        <v>2909</v>
      </c>
      <c r="B745" s="12" t="s">
        <v>2910</v>
      </c>
      <c r="C745" s="11" t="s">
        <v>2805</v>
      </c>
      <c r="D745" s="13" t="s">
        <v>2911</v>
      </c>
      <c r="E745" s="11">
        <v>201</v>
      </c>
      <c r="F745" s="21" t="s">
        <v>2912</v>
      </c>
      <c r="G745" s="11" t="s">
        <v>2910</v>
      </c>
      <c r="H745" s="11" t="s">
        <v>2398</v>
      </c>
      <c r="I745" s="12" t="s">
        <v>2910</v>
      </c>
      <c r="J745" s="11" t="s">
        <v>2805</v>
      </c>
      <c r="K745" s="10"/>
      <c r="L745" s="10"/>
    </row>
    <row r="746" spans="1:12" x14ac:dyDescent="0.25">
      <c r="A746" s="21" t="s">
        <v>2913</v>
      </c>
      <c r="B746" s="12" t="s">
        <v>2914</v>
      </c>
      <c r="C746" s="11" t="s">
        <v>2805</v>
      </c>
      <c r="D746" s="13" t="s">
        <v>4718</v>
      </c>
      <c r="E746" s="11">
        <v>0</v>
      </c>
      <c r="F746" s="21" t="s">
        <v>2915</v>
      </c>
      <c r="G746" s="11" t="s">
        <v>2914</v>
      </c>
      <c r="H746" s="11" t="s">
        <v>2398</v>
      </c>
      <c r="I746" s="12" t="s">
        <v>2914</v>
      </c>
      <c r="J746" s="11" t="s">
        <v>2805</v>
      </c>
      <c r="K746" s="10"/>
      <c r="L746" s="10"/>
    </row>
    <row r="747" spans="1:12" x14ac:dyDescent="0.25">
      <c r="A747" s="21" t="s">
        <v>2920</v>
      </c>
      <c r="B747" s="12" t="s">
        <v>346</v>
      </c>
      <c r="C747" s="11" t="s">
        <v>2805</v>
      </c>
      <c r="D747" s="13" t="s">
        <v>234</v>
      </c>
      <c r="E747" s="11">
        <v>1117</v>
      </c>
      <c r="F747" s="21" t="s">
        <v>1204</v>
      </c>
      <c r="G747" s="11" t="s">
        <v>346</v>
      </c>
      <c r="H747" s="11" t="s">
        <v>2398</v>
      </c>
      <c r="I747" s="12" t="s">
        <v>346</v>
      </c>
      <c r="J747" s="11" t="s">
        <v>2805</v>
      </c>
      <c r="K747" s="10"/>
      <c r="L747" s="10"/>
    </row>
    <row r="748" spans="1:12" x14ac:dyDescent="0.25">
      <c r="A748" s="21" t="s">
        <v>1205</v>
      </c>
      <c r="B748" s="12" t="s">
        <v>1206</v>
      </c>
      <c r="C748" s="11" t="s">
        <v>2805</v>
      </c>
      <c r="D748" s="13" t="s">
        <v>4399</v>
      </c>
      <c r="E748" s="11">
        <v>99</v>
      </c>
      <c r="F748" s="21" t="s">
        <v>1207</v>
      </c>
      <c r="G748" s="11" t="s">
        <v>1206</v>
      </c>
      <c r="H748" s="11" t="s">
        <v>2398</v>
      </c>
      <c r="I748" s="12" t="s">
        <v>1206</v>
      </c>
      <c r="J748" s="11" t="s">
        <v>2805</v>
      </c>
      <c r="K748" s="10"/>
      <c r="L748" s="10"/>
    </row>
    <row r="749" spans="1:12" x14ac:dyDescent="0.25">
      <c r="A749" s="21" t="s">
        <v>1208</v>
      </c>
      <c r="B749" s="12" t="s">
        <v>1209</v>
      </c>
      <c r="C749" s="11" t="s">
        <v>2805</v>
      </c>
      <c r="D749" s="13" t="s">
        <v>1210</v>
      </c>
      <c r="E749" s="11">
        <v>142</v>
      </c>
      <c r="F749" s="21" t="s">
        <v>1211</v>
      </c>
      <c r="G749" s="11" t="s">
        <v>1209</v>
      </c>
      <c r="H749" s="11" t="s">
        <v>2398</v>
      </c>
      <c r="I749" s="12" t="s">
        <v>1209</v>
      </c>
      <c r="J749" s="11" t="s">
        <v>2805</v>
      </c>
      <c r="K749" s="10"/>
      <c r="L749" s="10"/>
    </row>
    <row r="750" spans="1:12" x14ac:dyDescent="0.25">
      <c r="A750" s="21" t="s">
        <v>2999</v>
      </c>
      <c r="B750" s="12" t="s">
        <v>3000</v>
      </c>
      <c r="C750" s="11" t="s">
        <v>2805</v>
      </c>
      <c r="D750" s="13" t="s">
        <v>2226</v>
      </c>
      <c r="E750" s="11">
        <v>133</v>
      </c>
      <c r="F750" s="21" t="s">
        <v>3001</v>
      </c>
      <c r="G750" s="11" t="s">
        <v>3000</v>
      </c>
      <c r="H750" s="11" t="s">
        <v>2398</v>
      </c>
      <c r="I750" s="12" t="s">
        <v>3000</v>
      </c>
      <c r="J750" s="11" t="s">
        <v>2805</v>
      </c>
      <c r="K750" s="10"/>
      <c r="L750" s="10"/>
    </row>
    <row r="751" spans="1:12" x14ac:dyDescent="0.25">
      <c r="A751" s="21" t="s">
        <v>3002</v>
      </c>
      <c r="B751" s="12" t="s">
        <v>3003</v>
      </c>
      <c r="C751" s="11" t="s">
        <v>2805</v>
      </c>
      <c r="D751" s="13" t="s">
        <v>234</v>
      </c>
      <c r="E751" s="11">
        <v>701</v>
      </c>
      <c r="F751" s="21" t="s">
        <v>3004</v>
      </c>
      <c r="G751" s="11" t="s">
        <v>3003</v>
      </c>
      <c r="H751" s="11" t="s">
        <v>2398</v>
      </c>
      <c r="I751" s="12" t="s">
        <v>3003</v>
      </c>
      <c r="J751" s="11" t="s">
        <v>2805</v>
      </c>
      <c r="K751" s="10"/>
      <c r="L751" s="10"/>
    </row>
    <row r="752" spans="1:12" x14ac:dyDescent="0.25">
      <c r="A752" s="21" t="s">
        <v>1166</v>
      </c>
      <c r="B752" s="12" t="s">
        <v>4780</v>
      </c>
      <c r="C752" s="11" t="s">
        <v>2800</v>
      </c>
      <c r="D752" s="13" t="s">
        <v>2226</v>
      </c>
      <c r="E752" s="11">
        <v>102</v>
      </c>
      <c r="F752" s="21" t="s">
        <v>1167</v>
      </c>
      <c r="G752" s="11" t="s">
        <v>4780</v>
      </c>
      <c r="H752" s="11" t="s">
        <v>2398</v>
      </c>
      <c r="I752" s="12" t="s">
        <v>4780</v>
      </c>
      <c r="J752" s="11" t="s">
        <v>2800</v>
      </c>
      <c r="K752" s="10"/>
      <c r="L752" s="10"/>
    </row>
    <row r="753" spans="1:12" x14ac:dyDescent="0.25">
      <c r="A753" s="21" t="s">
        <v>3740</v>
      </c>
      <c r="B753" s="12" t="s">
        <v>3741</v>
      </c>
      <c r="C753" s="11" t="s">
        <v>2805</v>
      </c>
      <c r="D753" s="13" t="s">
        <v>1908</v>
      </c>
      <c r="E753" s="11">
        <v>360</v>
      </c>
      <c r="F753" s="21" t="s">
        <v>3742</v>
      </c>
      <c r="G753" s="11" t="s">
        <v>4780</v>
      </c>
      <c r="H753" s="11" t="s">
        <v>2398</v>
      </c>
      <c r="I753" s="12" t="s">
        <v>3741</v>
      </c>
      <c r="J753" s="11" t="s">
        <v>2805</v>
      </c>
      <c r="K753" s="10"/>
      <c r="L753" s="10"/>
    </row>
    <row r="754" spans="1:12" x14ac:dyDescent="0.25">
      <c r="A754" s="21" t="s">
        <v>3743</v>
      </c>
      <c r="B754" s="12" t="s">
        <v>3744</v>
      </c>
      <c r="C754" s="11" t="s">
        <v>2805</v>
      </c>
      <c r="D754" s="13" t="s">
        <v>3745</v>
      </c>
      <c r="E754" s="11">
        <v>1620</v>
      </c>
      <c r="F754" s="21" t="s">
        <v>3746</v>
      </c>
      <c r="G754" s="11" t="s">
        <v>4780</v>
      </c>
      <c r="H754" s="11" t="s">
        <v>2398</v>
      </c>
      <c r="I754" s="12" t="s">
        <v>3744</v>
      </c>
      <c r="J754" s="11" t="s">
        <v>2805</v>
      </c>
      <c r="K754" s="10"/>
      <c r="L754" s="10"/>
    </row>
    <row r="755" spans="1:12" x14ac:dyDescent="0.25">
      <c r="A755" s="21" t="s">
        <v>3747</v>
      </c>
      <c r="B755" s="12" t="s">
        <v>3748</v>
      </c>
      <c r="C755" s="11" t="s">
        <v>2805</v>
      </c>
      <c r="D755" s="13" t="s">
        <v>3749</v>
      </c>
      <c r="E755" s="11">
        <v>2664</v>
      </c>
      <c r="F755" s="21" t="s">
        <v>3750</v>
      </c>
      <c r="G755" s="11" t="s">
        <v>4780</v>
      </c>
      <c r="H755" s="11" t="s">
        <v>2398</v>
      </c>
      <c r="I755" s="12" t="s">
        <v>3748</v>
      </c>
      <c r="J755" s="11" t="s">
        <v>2805</v>
      </c>
      <c r="K755" s="10"/>
      <c r="L755" s="10"/>
    </row>
    <row r="756" spans="1:12" x14ac:dyDescent="0.25">
      <c r="A756" s="21" t="s">
        <v>3751</v>
      </c>
      <c r="B756" s="12" t="s">
        <v>1168</v>
      </c>
      <c r="C756" s="11" t="s">
        <v>2805</v>
      </c>
      <c r="D756" s="13" t="s">
        <v>2290</v>
      </c>
      <c r="E756" s="11">
        <v>1737</v>
      </c>
      <c r="F756" s="21" t="s">
        <v>1169</v>
      </c>
      <c r="G756" s="11" t="s">
        <v>4780</v>
      </c>
      <c r="H756" s="11" t="s">
        <v>2398</v>
      </c>
      <c r="I756" s="12" t="s">
        <v>1168</v>
      </c>
      <c r="J756" s="11" t="s">
        <v>2805</v>
      </c>
      <c r="K756" s="10"/>
      <c r="L756" s="10"/>
    </row>
    <row r="757" spans="1:12" x14ac:dyDescent="0.25">
      <c r="A757" s="21" t="s">
        <v>1170</v>
      </c>
      <c r="B757" s="12" t="s">
        <v>1171</v>
      </c>
      <c r="C757" s="11" t="s">
        <v>2805</v>
      </c>
      <c r="D757" s="13" t="s">
        <v>1479</v>
      </c>
      <c r="E757" s="11">
        <v>0</v>
      </c>
      <c r="F757" s="21" t="s">
        <v>1172</v>
      </c>
      <c r="G757" s="11" t="s">
        <v>1173</v>
      </c>
      <c r="H757" s="11" t="s">
        <v>2398</v>
      </c>
      <c r="I757" s="12" t="s">
        <v>1171</v>
      </c>
      <c r="J757" s="11" t="s">
        <v>2805</v>
      </c>
      <c r="K757" s="10"/>
      <c r="L757" s="10"/>
    </row>
    <row r="758" spans="1:12" x14ac:dyDescent="0.25">
      <c r="A758" s="21" t="s">
        <v>1267</v>
      </c>
      <c r="B758" s="12" t="s">
        <v>1268</v>
      </c>
      <c r="C758" s="11" t="s">
        <v>2805</v>
      </c>
      <c r="D758" s="13" t="s">
        <v>1269</v>
      </c>
      <c r="E758" s="11" t="s">
        <v>2163</v>
      </c>
      <c r="F758" s="21" t="s">
        <v>1270</v>
      </c>
      <c r="G758" s="11" t="s">
        <v>1268</v>
      </c>
      <c r="H758" s="11" t="s">
        <v>2398</v>
      </c>
      <c r="I758" s="12" t="s">
        <v>1268</v>
      </c>
      <c r="J758" s="11" t="s">
        <v>2805</v>
      </c>
      <c r="K758" s="10"/>
      <c r="L758" s="10"/>
    </row>
    <row r="759" spans="1:12" x14ac:dyDescent="0.25">
      <c r="A759" s="21" t="s">
        <v>3005</v>
      </c>
      <c r="B759" s="12" t="s">
        <v>3006</v>
      </c>
      <c r="C759" s="11" t="s">
        <v>2805</v>
      </c>
      <c r="D759" s="13" t="s">
        <v>2262</v>
      </c>
      <c r="E759" s="11">
        <v>88</v>
      </c>
      <c r="F759" s="21" t="s">
        <v>3007</v>
      </c>
      <c r="G759" s="11" t="s">
        <v>3006</v>
      </c>
      <c r="H759" s="11" t="s">
        <v>2398</v>
      </c>
      <c r="I759" s="12" t="s">
        <v>3006</v>
      </c>
      <c r="J759" s="11" t="s">
        <v>2805</v>
      </c>
      <c r="K759" s="10"/>
      <c r="L759" s="10"/>
    </row>
    <row r="760" spans="1:12" x14ac:dyDescent="0.25">
      <c r="A760" s="21" t="s">
        <v>1271</v>
      </c>
      <c r="B760" s="12" t="s">
        <v>1272</v>
      </c>
      <c r="C760" s="11" t="s">
        <v>2805</v>
      </c>
      <c r="D760" s="13" t="s">
        <v>897</v>
      </c>
      <c r="E760" s="11">
        <v>1140</v>
      </c>
      <c r="F760" s="21" t="s">
        <v>1273</v>
      </c>
      <c r="G760" s="11" t="s">
        <v>1272</v>
      </c>
      <c r="H760" s="11" t="s">
        <v>2398</v>
      </c>
      <c r="I760" s="12" t="s">
        <v>1272</v>
      </c>
      <c r="J760" s="11" t="s">
        <v>2805</v>
      </c>
      <c r="K760" s="10"/>
      <c r="L760" s="10"/>
    </row>
    <row r="761" spans="1:12" x14ac:dyDescent="0.25">
      <c r="A761" s="21" t="s">
        <v>1274</v>
      </c>
      <c r="B761" s="12" t="s">
        <v>1275</v>
      </c>
      <c r="C761" s="11" t="s">
        <v>2805</v>
      </c>
      <c r="D761" s="13" t="s">
        <v>1276</v>
      </c>
      <c r="E761" s="11">
        <v>1622</v>
      </c>
      <c r="F761" s="21" t="s">
        <v>1277</v>
      </c>
      <c r="G761" s="11" t="s">
        <v>1275</v>
      </c>
      <c r="H761" s="11" t="s">
        <v>2398</v>
      </c>
      <c r="I761" s="12" t="s">
        <v>1275</v>
      </c>
      <c r="J761" s="11" t="s">
        <v>2805</v>
      </c>
      <c r="K761" s="10"/>
      <c r="L761" s="10"/>
    </row>
    <row r="762" spans="1:12" x14ac:dyDescent="0.25">
      <c r="A762" s="21" t="s">
        <v>1278</v>
      </c>
      <c r="B762" s="12" t="s">
        <v>1279</v>
      </c>
      <c r="C762" s="11" t="s">
        <v>2805</v>
      </c>
      <c r="D762" s="13" t="s">
        <v>4310</v>
      </c>
      <c r="E762" s="11">
        <v>173</v>
      </c>
      <c r="F762" s="21" t="s">
        <v>1280</v>
      </c>
      <c r="G762" s="11" t="s">
        <v>1281</v>
      </c>
      <c r="H762" s="11" t="s">
        <v>2398</v>
      </c>
      <c r="I762" s="12" t="s">
        <v>1279</v>
      </c>
      <c r="J762" s="11" t="s">
        <v>2805</v>
      </c>
      <c r="K762" s="10"/>
      <c r="L762" s="10"/>
    </row>
    <row r="763" spans="1:12" x14ac:dyDescent="0.25">
      <c r="A763" s="21" t="s">
        <v>1282</v>
      </c>
      <c r="B763" s="12" t="s">
        <v>1283</v>
      </c>
      <c r="C763" s="11" t="s">
        <v>2805</v>
      </c>
      <c r="D763" s="13" t="s">
        <v>3749</v>
      </c>
      <c r="E763" s="11">
        <v>165</v>
      </c>
      <c r="F763" s="21" t="s">
        <v>1284</v>
      </c>
      <c r="G763" s="11" t="s">
        <v>1283</v>
      </c>
      <c r="H763" s="11" t="s">
        <v>2398</v>
      </c>
      <c r="I763" s="12" t="s">
        <v>1283</v>
      </c>
      <c r="J763" s="11" t="s">
        <v>2805</v>
      </c>
      <c r="K763" s="10"/>
      <c r="L763" s="10"/>
    </row>
    <row r="764" spans="1:12" x14ac:dyDescent="0.25">
      <c r="A764" s="21" t="s">
        <v>3008</v>
      </c>
      <c r="B764" s="12" t="s">
        <v>3009</v>
      </c>
      <c r="C764" s="11" t="s">
        <v>2805</v>
      </c>
      <c r="D764" s="13" t="s">
        <v>4718</v>
      </c>
      <c r="E764" s="11">
        <v>736</v>
      </c>
      <c r="F764" s="21" t="s">
        <v>3010</v>
      </c>
      <c r="G764" s="11" t="s">
        <v>3009</v>
      </c>
      <c r="H764" s="11" t="s">
        <v>2398</v>
      </c>
      <c r="I764" s="12" t="s">
        <v>3009</v>
      </c>
      <c r="J764" s="11" t="s">
        <v>2805</v>
      </c>
      <c r="K764" s="10"/>
      <c r="L764" s="10"/>
    </row>
    <row r="765" spans="1:12" x14ac:dyDescent="0.25">
      <c r="A765" s="21" t="s">
        <v>3011</v>
      </c>
      <c r="B765" s="12" t="s">
        <v>1293</v>
      </c>
      <c r="C765" s="11" t="s">
        <v>2805</v>
      </c>
      <c r="D765" s="13" t="s">
        <v>4300</v>
      </c>
      <c r="E765" s="11">
        <v>345</v>
      </c>
      <c r="F765" s="21" t="s">
        <v>1294</v>
      </c>
      <c r="G765" s="11" t="s">
        <v>1293</v>
      </c>
      <c r="H765" s="11" t="s">
        <v>2398</v>
      </c>
      <c r="I765" s="12" t="s">
        <v>1293</v>
      </c>
      <c r="J765" s="11" t="s">
        <v>2805</v>
      </c>
      <c r="K765" s="10"/>
      <c r="L765" s="10"/>
    </row>
    <row r="766" spans="1:12" x14ac:dyDescent="0.25">
      <c r="A766" s="21" t="s">
        <v>1285</v>
      </c>
      <c r="B766" s="12" t="s">
        <v>1286</v>
      </c>
      <c r="C766" s="11" t="s">
        <v>2805</v>
      </c>
      <c r="D766" s="13" t="s">
        <v>1287</v>
      </c>
      <c r="E766" s="11">
        <v>185</v>
      </c>
      <c r="F766" s="21" t="s">
        <v>1288</v>
      </c>
      <c r="G766" s="11" t="s">
        <v>1286</v>
      </c>
      <c r="H766" s="11" t="s">
        <v>2398</v>
      </c>
      <c r="I766" s="12" t="s">
        <v>1286</v>
      </c>
      <c r="J766" s="11" t="s">
        <v>2805</v>
      </c>
      <c r="K766" s="10"/>
      <c r="L766" s="10"/>
    </row>
    <row r="767" spans="1:12" x14ac:dyDescent="0.25">
      <c r="A767" s="21" t="s">
        <v>1295</v>
      </c>
      <c r="B767" s="12" t="s">
        <v>1296</v>
      </c>
      <c r="C767" s="11" t="s">
        <v>2805</v>
      </c>
      <c r="D767" s="13" t="s">
        <v>2884</v>
      </c>
      <c r="E767" s="11">
        <v>98</v>
      </c>
      <c r="F767" s="21" t="s">
        <v>1297</v>
      </c>
      <c r="G767" s="11" t="s">
        <v>1296</v>
      </c>
      <c r="H767" s="11" t="s">
        <v>2398</v>
      </c>
      <c r="I767" s="12" t="s">
        <v>1296</v>
      </c>
      <c r="J767" s="11" t="s">
        <v>2805</v>
      </c>
      <c r="K767" s="10"/>
      <c r="L767" s="10"/>
    </row>
    <row r="768" spans="1:12" x14ac:dyDescent="0.25">
      <c r="A768" s="21" t="s">
        <v>3805</v>
      </c>
      <c r="B768" s="12" t="s">
        <v>3806</v>
      </c>
      <c r="C768" s="11" t="s">
        <v>2805</v>
      </c>
      <c r="D768" s="13" t="s">
        <v>2226</v>
      </c>
      <c r="E768" s="11">
        <v>337</v>
      </c>
      <c r="F768" s="21" t="s">
        <v>3807</v>
      </c>
      <c r="G768" s="11" t="s">
        <v>3806</v>
      </c>
      <c r="H768" s="11" t="s">
        <v>2398</v>
      </c>
      <c r="I768" s="12" t="s">
        <v>3806</v>
      </c>
      <c r="J768" s="11" t="s">
        <v>2805</v>
      </c>
      <c r="K768" s="10"/>
      <c r="L768" s="10"/>
    </row>
    <row r="769" spans="1:12" x14ac:dyDescent="0.25">
      <c r="A769" s="21" t="s">
        <v>3808</v>
      </c>
      <c r="B769" s="12" t="s">
        <v>4717</v>
      </c>
      <c r="C769" s="11" t="s">
        <v>2805</v>
      </c>
      <c r="D769" s="13" t="s">
        <v>4311</v>
      </c>
      <c r="E769" s="11">
        <v>473</v>
      </c>
      <c r="F769" s="21" t="s">
        <v>3809</v>
      </c>
      <c r="G769" s="11" t="s">
        <v>4717</v>
      </c>
      <c r="H769" s="11" t="s">
        <v>2398</v>
      </c>
      <c r="I769" s="12" t="s">
        <v>4717</v>
      </c>
      <c r="J769" s="11" t="s">
        <v>2805</v>
      </c>
      <c r="K769" s="10"/>
      <c r="L769" s="10"/>
    </row>
    <row r="770" spans="1:12" x14ac:dyDescent="0.25">
      <c r="A770" s="21" t="s">
        <v>1289</v>
      </c>
      <c r="B770" s="12" t="s">
        <v>1290</v>
      </c>
      <c r="C770" s="11" t="s">
        <v>2805</v>
      </c>
      <c r="D770" s="13" t="s">
        <v>1291</v>
      </c>
      <c r="E770" s="11">
        <v>200</v>
      </c>
      <c r="F770" s="21" t="s">
        <v>1292</v>
      </c>
      <c r="G770" s="11" t="s">
        <v>1290</v>
      </c>
      <c r="H770" s="11" t="s">
        <v>2398</v>
      </c>
      <c r="I770" s="12" t="s">
        <v>1290</v>
      </c>
      <c r="J770" s="11" t="s">
        <v>2805</v>
      </c>
      <c r="K770" s="10"/>
      <c r="L770" s="10"/>
    </row>
    <row r="771" spans="1:12" x14ac:dyDescent="0.25">
      <c r="A771" s="21" t="s">
        <v>3895</v>
      </c>
      <c r="B771" s="12" t="s">
        <v>3405</v>
      </c>
      <c r="C771" s="11" t="s">
        <v>2805</v>
      </c>
      <c r="D771" s="13" t="s">
        <v>3896</v>
      </c>
      <c r="E771" s="11">
        <v>1306</v>
      </c>
      <c r="F771" s="21" t="s">
        <v>3897</v>
      </c>
      <c r="G771" s="11" t="s">
        <v>3405</v>
      </c>
      <c r="H771" s="11" t="s">
        <v>2398</v>
      </c>
      <c r="I771" s="12" t="s">
        <v>3405</v>
      </c>
      <c r="J771" s="11" t="s">
        <v>2805</v>
      </c>
      <c r="K771" s="10"/>
      <c r="L771" s="10"/>
    </row>
    <row r="772" spans="1:12" x14ac:dyDescent="0.25">
      <c r="A772" s="21" t="s">
        <v>3810</v>
      </c>
      <c r="B772" s="12" t="s">
        <v>3811</v>
      </c>
      <c r="C772" s="11" t="s">
        <v>2805</v>
      </c>
      <c r="D772" s="13" t="s">
        <v>2783</v>
      </c>
      <c r="E772" s="11">
        <v>171</v>
      </c>
      <c r="F772" s="21" t="s">
        <v>3812</v>
      </c>
      <c r="G772" s="11" t="s">
        <v>3813</v>
      </c>
      <c r="H772" s="11" t="s">
        <v>2398</v>
      </c>
      <c r="I772" s="12" t="s">
        <v>3811</v>
      </c>
      <c r="J772" s="11" t="s">
        <v>2805</v>
      </c>
      <c r="K772" s="10"/>
      <c r="L772" s="10"/>
    </row>
    <row r="773" spans="1:12" x14ac:dyDescent="0.25">
      <c r="A773" s="21" t="s">
        <v>2916</v>
      </c>
      <c r="B773" s="12" t="s">
        <v>2917</v>
      </c>
      <c r="C773" s="11" t="s">
        <v>2805</v>
      </c>
      <c r="D773" s="13" t="s">
        <v>2918</v>
      </c>
      <c r="E773" s="11" t="s">
        <v>2163</v>
      </c>
      <c r="F773" s="21" t="s">
        <v>2919</v>
      </c>
      <c r="G773" s="11" t="s">
        <v>2917</v>
      </c>
      <c r="H773" s="11" t="s">
        <v>2398</v>
      </c>
      <c r="I773" s="12" t="s">
        <v>2917</v>
      </c>
      <c r="J773" s="11" t="s">
        <v>2805</v>
      </c>
      <c r="K773" s="10"/>
      <c r="L773" s="10"/>
    </row>
    <row r="774" spans="1:12" x14ac:dyDescent="0.25">
      <c r="A774" s="21" t="s">
        <v>3898</v>
      </c>
      <c r="B774" s="12" t="s">
        <v>3899</v>
      </c>
      <c r="C774" s="11" t="s">
        <v>2805</v>
      </c>
      <c r="D774" s="13" t="s">
        <v>3900</v>
      </c>
      <c r="E774" s="11" t="s">
        <v>2163</v>
      </c>
      <c r="F774" s="21" t="s">
        <v>3901</v>
      </c>
      <c r="G774" s="11" t="s">
        <v>3899</v>
      </c>
      <c r="H774" s="11" t="s">
        <v>2398</v>
      </c>
      <c r="I774" s="12" t="s">
        <v>3899</v>
      </c>
      <c r="J774" s="11" t="s">
        <v>2805</v>
      </c>
      <c r="K774" s="10"/>
      <c r="L774" s="10"/>
    </row>
    <row r="775" spans="1:12" x14ac:dyDescent="0.25">
      <c r="A775" s="21" t="s">
        <v>3902</v>
      </c>
      <c r="B775" s="12" t="s">
        <v>3903</v>
      </c>
      <c r="C775" s="11" t="s">
        <v>2800</v>
      </c>
      <c r="D775" s="13" t="s">
        <v>2648</v>
      </c>
      <c r="E775" s="11">
        <v>921</v>
      </c>
      <c r="F775" s="21" t="s">
        <v>3904</v>
      </c>
      <c r="G775" s="11" t="s">
        <v>3903</v>
      </c>
      <c r="H775" s="11" t="s">
        <v>2398</v>
      </c>
      <c r="I775" s="12" t="s">
        <v>3903</v>
      </c>
      <c r="J775" s="11" t="s">
        <v>2800</v>
      </c>
      <c r="K775" s="10"/>
      <c r="L775" s="10"/>
    </row>
    <row r="776" spans="1:12" x14ac:dyDescent="0.25">
      <c r="A776" s="21" t="s">
        <v>4765</v>
      </c>
      <c r="B776" s="12" t="s">
        <v>4766</v>
      </c>
      <c r="C776" s="11" t="s">
        <v>2805</v>
      </c>
      <c r="D776" s="13" t="s">
        <v>365</v>
      </c>
      <c r="E776" s="11">
        <v>1401</v>
      </c>
      <c r="F776" s="21" t="s">
        <v>366</v>
      </c>
      <c r="G776" s="11" t="s">
        <v>4766</v>
      </c>
      <c r="H776" s="11" t="s">
        <v>4792</v>
      </c>
      <c r="I776" s="12" t="s">
        <v>4766</v>
      </c>
      <c r="J776" s="11" t="s">
        <v>2805</v>
      </c>
      <c r="K776" s="10"/>
      <c r="L776" s="10"/>
    </row>
    <row r="777" spans="1:12" x14ac:dyDescent="0.25">
      <c r="A777" s="21" t="s">
        <v>4068</v>
      </c>
      <c r="B777" s="12" t="s">
        <v>4069</v>
      </c>
      <c r="C777" s="11" t="s">
        <v>2805</v>
      </c>
      <c r="D777" s="13" t="s">
        <v>4070</v>
      </c>
      <c r="E777" s="11" t="s">
        <v>2163</v>
      </c>
      <c r="F777" s="21" t="s">
        <v>4071</v>
      </c>
      <c r="G777" s="11" t="s">
        <v>4072</v>
      </c>
      <c r="H777" s="11" t="s">
        <v>4792</v>
      </c>
      <c r="I777" s="12" t="s">
        <v>4069</v>
      </c>
      <c r="J777" s="11" t="s">
        <v>2805</v>
      </c>
      <c r="K777" s="10"/>
      <c r="L777" s="10"/>
    </row>
    <row r="778" spans="1:12" x14ac:dyDescent="0.25">
      <c r="A778" s="21" t="s">
        <v>4103</v>
      </c>
      <c r="B778" s="12" t="s">
        <v>4104</v>
      </c>
      <c r="C778" s="11" t="s">
        <v>2805</v>
      </c>
      <c r="D778" s="13" t="s">
        <v>247</v>
      </c>
      <c r="E778" s="11">
        <v>0</v>
      </c>
      <c r="F778" s="21" t="s">
        <v>4105</v>
      </c>
      <c r="G778" s="11" t="s">
        <v>4106</v>
      </c>
      <c r="H778" s="11" t="s">
        <v>4792</v>
      </c>
      <c r="I778" s="12" t="s">
        <v>4104</v>
      </c>
      <c r="J778" s="11" t="s">
        <v>2805</v>
      </c>
      <c r="K778" s="10"/>
      <c r="L778" s="10"/>
    </row>
    <row r="779" spans="1:12" x14ac:dyDescent="0.25">
      <c r="A779" s="21" t="s">
        <v>4793</v>
      </c>
      <c r="B779" s="12" t="s">
        <v>4794</v>
      </c>
      <c r="C779" s="11" t="s">
        <v>2805</v>
      </c>
      <c r="D779" s="13" t="s">
        <v>897</v>
      </c>
      <c r="E779" s="11">
        <v>100</v>
      </c>
      <c r="F779" s="21" t="s">
        <v>4795</v>
      </c>
      <c r="G779" s="11" t="s">
        <v>4794</v>
      </c>
      <c r="H779" s="11" t="s">
        <v>4792</v>
      </c>
      <c r="I779" s="12" t="s">
        <v>4794</v>
      </c>
      <c r="J779" s="11" t="s">
        <v>2805</v>
      </c>
      <c r="K779" s="10"/>
      <c r="L779" s="10"/>
    </row>
    <row r="780" spans="1:12" x14ac:dyDescent="0.25">
      <c r="A780" s="21" t="s">
        <v>4796</v>
      </c>
      <c r="B780" s="12" t="s">
        <v>4797</v>
      </c>
      <c r="C780" s="11" t="s">
        <v>2805</v>
      </c>
      <c r="D780" s="13" t="s">
        <v>2226</v>
      </c>
      <c r="E780" s="11">
        <v>0</v>
      </c>
      <c r="F780" s="21" t="s">
        <v>4798</v>
      </c>
      <c r="G780" s="11" t="s">
        <v>4797</v>
      </c>
      <c r="H780" s="11" t="s">
        <v>4792</v>
      </c>
      <c r="I780" s="12" t="s">
        <v>4797</v>
      </c>
      <c r="J780" s="11" t="s">
        <v>2805</v>
      </c>
      <c r="K780" s="10"/>
      <c r="L780" s="10"/>
    </row>
    <row r="781" spans="1:12" x14ac:dyDescent="0.25">
      <c r="A781" s="21" t="s">
        <v>4799</v>
      </c>
      <c r="B781" s="12" t="s">
        <v>4800</v>
      </c>
      <c r="C781" s="11" t="s">
        <v>2805</v>
      </c>
      <c r="D781" s="13" t="s">
        <v>508</v>
      </c>
      <c r="E781" s="11">
        <v>0</v>
      </c>
      <c r="F781" s="21" t="s">
        <v>4801</v>
      </c>
      <c r="G781" s="11" t="s">
        <v>4800</v>
      </c>
      <c r="H781" s="11" t="s">
        <v>4792</v>
      </c>
      <c r="I781" s="12" t="s">
        <v>4800</v>
      </c>
      <c r="J781" s="11" t="s">
        <v>2805</v>
      </c>
      <c r="K781" s="10"/>
      <c r="L781" s="10"/>
    </row>
    <row r="782" spans="1:12" x14ac:dyDescent="0.25">
      <c r="A782" s="21" t="s">
        <v>4802</v>
      </c>
      <c r="B782" s="12" t="s">
        <v>4792</v>
      </c>
      <c r="C782" s="11" t="s">
        <v>2800</v>
      </c>
      <c r="D782" s="13" t="s">
        <v>234</v>
      </c>
      <c r="E782" s="11">
        <v>920</v>
      </c>
      <c r="F782" s="21" t="s">
        <v>4803</v>
      </c>
      <c r="G782" s="11" t="s">
        <v>4792</v>
      </c>
      <c r="H782" s="11" t="s">
        <v>4792</v>
      </c>
      <c r="I782" s="12" t="s">
        <v>4792</v>
      </c>
      <c r="J782" s="11" t="s">
        <v>2800</v>
      </c>
      <c r="K782" s="10"/>
      <c r="L782" s="10"/>
    </row>
    <row r="783" spans="1:12" x14ac:dyDescent="0.25">
      <c r="A783" s="21" t="s">
        <v>4090</v>
      </c>
      <c r="B783" s="12" t="s">
        <v>4091</v>
      </c>
      <c r="C783" s="11" t="s">
        <v>2805</v>
      </c>
      <c r="D783" s="13" t="s">
        <v>255</v>
      </c>
      <c r="E783" s="11">
        <v>195</v>
      </c>
      <c r="F783" s="21" t="s">
        <v>4092</v>
      </c>
      <c r="G783" s="11" t="s">
        <v>4093</v>
      </c>
      <c r="H783" s="11" t="s">
        <v>4792</v>
      </c>
      <c r="I783" s="12" t="s">
        <v>4091</v>
      </c>
      <c r="J783" s="11" t="s">
        <v>2805</v>
      </c>
      <c r="K783" s="10"/>
      <c r="L783" s="10"/>
    </row>
    <row r="784" spans="1:12" x14ac:dyDescent="0.25">
      <c r="A784" s="21" t="s">
        <v>4809</v>
      </c>
      <c r="B784" s="12" t="s">
        <v>4810</v>
      </c>
      <c r="C784" s="11" t="s">
        <v>2805</v>
      </c>
      <c r="D784" s="13" t="s">
        <v>4196</v>
      </c>
      <c r="E784" s="11">
        <v>0</v>
      </c>
      <c r="F784" s="21" t="s">
        <v>4811</v>
      </c>
      <c r="G784" s="11" t="s">
        <v>4810</v>
      </c>
      <c r="H784" s="11" t="s">
        <v>4792</v>
      </c>
      <c r="I784" s="12" t="s">
        <v>4810</v>
      </c>
      <c r="J784" s="11" t="s">
        <v>2805</v>
      </c>
      <c r="K784" s="10"/>
      <c r="L784" s="10"/>
    </row>
    <row r="785" spans="1:12" x14ac:dyDescent="0.25">
      <c r="A785" s="21" t="s">
        <v>4812</v>
      </c>
      <c r="B785" s="12" t="s">
        <v>4813</v>
      </c>
      <c r="C785" s="11" t="s">
        <v>2805</v>
      </c>
      <c r="D785" s="13" t="s">
        <v>255</v>
      </c>
      <c r="E785" s="11">
        <v>795</v>
      </c>
      <c r="F785" s="21" t="s">
        <v>4814</v>
      </c>
      <c r="G785" s="11" t="s">
        <v>4813</v>
      </c>
      <c r="H785" s="11" t="s">
        <v>4792</v>
      </c>
      <c r="I785" s="12" t="s">
        <v>4813</v>
      </c>
      <c r="J785" s="11" t="s">
        <v>2805</v>
      </c>
      <c r="K785" s="10"/>
      <c r="L785" s="10"/>
    </row>
    <row r="786" spans="1:12" x14ac:dyDescent="0.25">
      <c r="A786" s="21" t="s">
        <v>4815</v>
      </c>
      <c r="B786" s="12" t="s">
        <v>4816</v>
      </c>
      <c r="C786" s="11" t="s">
        <v>2805</v>
      </c>
      <c r="D786" s="13" t="s">
        <v>247</v>
      </c>
      <c r="E786" s="11">
        <v>0</v>
      </c>
      <c r="F786" s="21" t="s">
        <v>4817</v>
      </c>
      <c r="G786" s="11" t="s">
        <v>4061</v>
      </c>
      <c r="H786" s="11" t="s">
        <v>4792</v>
      </c>
      <c r="I786" s="12" t="s">
        <v>4816</v>
      </c>
      <c r="J786" s="11" t="s">
        <v>2805</v>
      </c>
      <c r="K786" s="10"/>
      <c r="L786" s="10"/>
    </row>
    <row r="787" spans="1:12" x14ac:dyDescent="0.25">
      <c r="A787" s="21" t="s">
        <v>4062</v>
      </c>
      <c r="B787" s="12" t="s">
        <v>4063</v>
      </c>
      <c r="C787" s="11" t="s">
        <v>2805</v>
      </c>
      <c r="D787" s="13" t="s">
        <v>2674</v>
      </c>
      <c r="E787" s="11">
        <v>0</v>
      </c>
      <c r="F787" s="21" t="s">
        <v>4064</v>
      </c>
      <c r="G787" s="11" t="s">
        <v>4063</v>
      </c>
      <c r="H787" s="11" t="s">
        <v>4792</v>
      </c>
      <c r="I787" s="12" t="s">
        <v>4063</v>
      </c>
      <c r="J787" s="11" t="s">
        <v>2805</v>
      </c>
      <c r="K787" s="10"/>
      <c r="L787" s="10"/>
    </row>
    <row r="788" spans="1:12" x14ac:dyDescent="0.25">
      <c r="A788" s="21" t="s">
        <v>4065</v>
      </c>
      <c r="B788" s="12" t="s">
        <v>4066</v>
      </c>
      <c r="C788" s="11" t="s">
        <v>2805</v>
      </c>
      <c r="D788" s="13" t="s">
        <v>247</v>
      </c>
      <c r="E788" s="11">
        <v>118</v>
      </c>
      <c r="F788" s="21" t="s">
        <v>4067</v>
      </c>
      <c r="G788" s="11" t="s">
        <v>4066</v>
      </c>
      <c r="H788" s="11" t="s">
        <v>4792</v>
      </c>
      <c r="I788" s="12" t="s">
        <v>4066</v>
      </c>
      <c r="J788" s="11" t="s">
        <v>2805</v>
      </c>
      <c r="K788" s="10"/>
      <c r="L788" s="10"/>
    </row>
    <row r="789" spans="1:12" x14ac:dyDescent="0.25">
      <c r="A789" s="21" t="s">
        <v>4076</v>
      </c>
      <c r="B789" s="12" t="s">
        <v>4077</v>
      </c>
      <c r="C789" s="11" t="s">
        <v>2805</v>
      </c>
      <c r="D789" s="13" t="s">
        <v>508</v>
      </c>
      <c r="E789" s="11">
        <v>0</v>
      </c>
      <c r="F789" s="21" t="s">
        <v>4078</v>
      </c>
      <c r="G789" s="11" t="s">
        <v>4077</v>
      </c>
      <c r="H789" s="11" t="s">
        <v>4792</v>
      </c>
      <c r="I789" s="12" t="s">
        <v>4077</v>
      </c>
      <c r="J789" s="11" t="s">
        <v>2805</v>
      </c>
      <c r="K789" s="10"/>
      <c r="L789" s="10"/>
    </row>
    <row r="790" spans="1:12" x14ac:dyDescent="0.25">
      <c r="A790" s="21" t="s">
        <v>4079</v>
      </c>
      <c r="B790" s="12" t="s">
        <v>4080</v>
      </c>
      <c r="C790" s="11" t="s">
        <v>2805</v>
      </c>
      <c r="D790" s="13" t="s">
        <v>234</v>
      </c>
      <c r="E790" s="11">
        <v>245</v>
      </c>
      <c r="F790" s="21" t="s">
        <v>4081</v>
      </c>
      <c r="G790" s="11" t="s">
        <v>4080</v>
      </c>
      <c r="H790" s="11" t="s">
        <v>4792</v>
      </c>
      <c r="I790" s="12" t="s">
        <v>4080</v>
      </c>
      <c r="J790" s="11" t="s">
        <v>2805</v>
      </c>
      <c r="K790" s="10"/>
      <c r="L790" s="10"/>
    </row>
    <row r="791" spans="1:12" x14ac:dyDescent="0.25">
      <c r="A791" s="21" t="s">
        <v>4082</v>
      </c>
      <c r="B791" s="12" t="s">
        <v>4083</v>
      </c>
      <c r="C791" s="11" t="s">
        <v>2805</v>
      </c>
      <c r="D791" s="13" t="s">
        <v>2648</v>
      </c>
      <c r="E791" s="11">
        <v>143</v>
      </c>
      <c r="F791" s="21" t="s">
        <v>4084</v>
      </c>
      <c r="G791" s="11" t="s">
        <v>4083</v>
      </c>
      <c r="H791" s="11" t="s">
        <v>4792</v>
      </c>
      <c r="I791" s="12" t="s">
        <v>4083</v>
      </c>
      <c r="J791" s="11" t="s">
        <v>2805</v>
      </c>
      <c r="K791" s="10"/>
      <c r="L791" s="10"/>
    </row>
    <row r="792" spans="1:12" x14ac:dyDescent="0.25">
      <c r="A792" s="21" t="s">
        <v>4085</v>
      </c>
      <c r="B792" s="12" t="s">
        <v>4086</v>
      </c>
      <c r="C792" s="11" t="s">
        <v>2805</v>
      </c>
      <c r="D792" s="13" t="s">
        <v>4087</v>
      </c>
      <c r="E792" s="11">
        <v>0</v>
      </c>
      <c r="F792" s="21" t="s">
        <v>4088</v>
      </c>
      <c r="G792" s="11" t="s">
        <v>4089</v>
      </c>
      <c r="H792" s="11" t="s">
        <v>4792</v>
      </c>
      <c r="I792" s="12" t="s">
        <v>4086</v>
      </c>
      <c r="J792" s="11" t="s">
        <v>2805</v>
      </c>
      <c r="K792" s="10"/>
      <c r="L792" s="10"/>
    </row>
    <row r="793" spans="1:12" x14ac:dyDescent="0.25">
      <c r="A793" s="21" t="s">
        <v>4073</v>
      </c>
      <c r="B793" s="12" t="s">
        <v>4074</v>
      </c>
      <c r="C793" s="11" t="s">
        <v>2805</v>
      </c>
      <c r="D793" s="13" t="s">
        <v>4731</v>
      </c>
      <c r="E793" s="11">
        <v>102</v>
      </c>
      <c r="F793" s="21" t="s">
        <v>4075</v>
      </c>
      <c r="G793" s="11" t="s">
        <v>4074</v>
      </c>
      <c r="H793" s="11" t="s">
        <v>4792</v>
      </c>
      <c r="I793" s="12" t="s">
        <v>4074</v>
      </c>
      <c r="J793" s="11" t="s">
        <v>2805</v>
      </c>
      <c r="K793" s="10"/>
      <c r="L793" s="10"/>
    </row>
    <row r="794" spans="1:12" x14ac:dyDescent="0.25">
      <c r="A794" s="21" t="s">
        <v>4099</v>
      </c>
      <c r="B794" s="12" t="s">
        <v>4100</v>
      </c>
      <c r="C794" s="11" t="s">
        <v>2805</v>
      </c>
      <c r="D794" s="13" t="s">
        <v>4101</v>
      </c>
      <c r="E794" s="11">
        <v>0</v>
      </c>
      <c r="F794" s="21" t="s">
        <v>4102</v>
      </c>
      <c r="G794" s="11" t="s">
        <v>4100</v>
      </c>
      <c r="H794" s="11" t="s">
        <v>4792</v>
      </c>
      <c r="I794" s="12" t="s">
        <v>4100</v>
      </c>
      <c r="J794" s="11" t="s">
        <v>2805</v>
      </c>
      <c r="K794" s="10"/>
      <c r="L794" s="10"/>
    </row>
    <row r="795" spans="1:12" x14ac:dyDescent="0.25">
      <c r="A795" s="21" t="s">
        <v>4094</v>
      </c>
      <c r="B795" s="12" t="s">
        <v>4095</v>
      </c>
      <c r="C795" s="11" t="s">
        <v>2805</v>
      </c>
      <c r="D795" s="13" t="s">
        <v>4096</v>
      </c>
      <c r="E795" s="11">
        <v>0</v>
      </c>
      <c r="F795" s="21" t="s">
        <v>4097</v>
      </c>
      <c r="G795" s="11" t="s">
        <v>4098</v>
      </c>
      <c r="H795" s="11" t="s">
        <v>4792</v>
      </c>
      <c r="I795" s="12" t="s">
        <v>4095</v>
      </c>
      <c r="J795" s="11" t="s">
        <v>2805</v>
      </c>
      <c r="K795" s="10"/>
      <c r="L795" s="10"/>
    </row>
    <row r="796" spans="1:12" x14ac:dyDescent="0.25">
      <c r="A796" s="21" t="s">
        <v>4804</v>
      </c>
      <c r="B796" s="12" t="s">
        <v>4805</v>
      </c>
      <c r="C796" s="11" t="s">
        <v>2805</v>
      </c>
      <c r="D796" s="13" t="s">
        <v>4806</v>
      </c>
      <c r="E796" s="11">
        <v>0</v>
      </c>
      <c r="F796" s="21" t="s">
        <v>4807</v>
      </c>
      <c r="G796" s="11" t="s">
        <v>4808</v>
      </c>
      <c r="H796" s="11" t="s">
        <v>4792</v>
      </c>
      <c r="I796" s="12" t="s">
        <v>4805</v>
      </c>
      <c r="J796" s="11" t="s">
        <v>2805</v>
      </c>
      <c r="K796" s="10"/>
      <c r="L796" s="10"/>
    </row>
    <row r="797" spans="1:12" x14ac:dyDescent="0.25">
      <c r="A797" s="21" t="s">
        <v>2181</v>
      </c>
      <c r="B797" s="12" t="s">
        <v>1398</v>
      </c>
      <c r="C797" s="11" t="s">
        <v>2805</v>
      </c>
      <c r="D797" s="13" t="s">
        <v>4655</v>
      </c>
      <c r="E797" s="11">
        <v>490</v>
      </c>
      <c r="F797" s="21" t="s">
        <v>1399</v>
      </c>
      <c r="G797" s="11" t="s">
        <v>1398</v>
      </c>
      <c r="H797" s="11" t="s">
        <v>3396</v>
      </c>
      <c r="I797" s="12" t="s">
        <v>1398</v>
      </c>
      <c r="J797" s="11" t="s">
        <v>2805</v>
      </c>
      <c r="K797" s="10"/>
      <c r="L797" s="10"/>
    </row>
    <row r="798" spans="1:12" x14ac:dyDescent="0.25">
      <c r="A798" s="21" t="s">
        <v>1400</v>
      </c>
      <c r="B798" s="12" t="s">
        <v>1401</v>
      </c>
      <c r="C798" s="11" t="s">
        <v>2805</v>
      </c>
      <c r="D798" s="13" t="s">
        <v>1402</v>
      </c>
      <c r="E798" s="11" t="s">
        <v>2163</v>
      </c>
      <c r="F798" s="21" t="s">
        <v>1403</v>
      </c>
      <c r="G798" s="11" t="s">
        <v>1401</v>
      </c>
      <c r="H798" s="11" t="s">
        <v>3396</v>
      </c>
      <c r="I798" s="12" t="s">
        <v>1401</v>
      </c>
      <c r="J798" s="11" t="s">
        <v>2805</v>
      </c>
      <c r="K798" s="10"/>
      <c r="L798" s="10"/>
    </row>
    <row r="799" spans="1:12" x14ac:dyDescent="0.25">
      <c r="A799" s="21" t="s">
        <v>3968</v>
      </c>
      <c r="B799" s="12" t="s">
        <v>3969</v>
      </c>
      <c r="C799" s="11" t="s">
        <v>2805</v>
      </c>
      <c r="D799" s="13" t="s">
        <v>234</v>
      </c>
      <c r="E799" s="11">
        <v>100</v>
      </c>
      <c r="F799" s="21" t="s">
        <v>3970</v>
      </c>
      <c r="G799" s="11" t="s">
        <v>3971</v>
      </c>
      <c r="H799" s="11" t="s">
        <v>3396</v>
      </c>
      <c r="I799" s="12" t="s">
        <v>3969</v>
      </c>
      <c r="J799" s="11" t="s">
        <v>2805</v>
      </c>
      <c r="K799" s="10"/>
      <c r="L799" s="10"/>
    </row>
    <row r="800" spans="1:12" x14ac:dyDescent="0.25">
      <c r="A800" s="21" t="s">
        <v>1404</v>
      </c>
      <c r="B800" s="12" t="s">
        <v>1405</v>
      </c>
      <c r="C800" s="11" t="s">
        <v>2805</v>
      </c>
      <c r="D800" s="13" t="s">
        <v>1406</v>
      </c>
      <c r="E800" s="11">
        <v>175</v>
      </c>
      <c r="F800" s="21" t="s">
        <v>1407</v>
      </c>
      <c r="G800" s="11" t="s">
        <v>1405</v>
      </c>
      <c r="H800" s="11" t="s">
        <v>3396</v>
      </c>
      <c r="I800" s="12" t="s">
        <v>1405</v>
      </c>
      <c r="J800" s="11" t="s">
        <v>2805</v>
      </c>
      <c r="K800" s="10"/>
      <c r="L800" s="10"/>
    </row>
    <row r="801" spans="1:12" x14ac:dyDescent="0.25">
      <c r="A801" s="21" t="s">
        <v>1408</v>
      </c>
      <c r="B801" s="12" t="s">
        <v>1409</v>
      </c>
      <c r="C801" s="11" t="s">
        <v>2805</v>
      </c>
      <c r="D801" s="13" t="s">
        <v>2783</v>
      </c>
      <c r="E801" s="11">
        <v>199</v>
      </c>
      <c r="F801" s="21" t="s">
        <v>1410</v>
      </c>
      <c r="G801" s="11" t="s">
        <v>1409</v>
      </c>
      <c r="H801" s="11" t="s">
        <v>3396</v>
      </c>
      <c r="I801" s="12" t="s">
        <v>1409</v>
      </c>
      <c r="J801" s="11" t="s">
        <v>2805</v>
      </c>
      <c r="K801" s="10"/>
      <c r="L801" s="10"/>
    </row>
    <row r="802" spans="1:12" x14ac:dyDescent="0.25">
      <c r="A802" s="21" t="s">
        <v>1411</v>
      </c>
      <c r="B802" s="12" t="s">
        <v>1412</v>
      </c>
      <c r="C802" s="11" t="s">
        <v>2805</v>
      </c>
      <c r="D802" s="13" t="s">
        <v>34</v>
      </c>
      <c r="E802" s="11">
        <v>40</v>
      </c>
      <c r="F802" s="21" t="s">
        <v>1413</v>
      </c>
      <c r="G802" s="11" t="s">
        <v>1412</v>
      </c>
      <c r="H802" s="11" t="s">
        <v>3396</v>
      </c>
      <c r="I802" s="12" t="s">
        <v>1412</v>
      </c>
      <c r="J802" s="11" t="s">
        <v>2805</v>
      </c>
      <c r="K802" s="10"/>
      <c r="L802" s="10"/>
    </row>
    <row r="803" spans="1:12" x14ac:dyDescent="0.25">
      <c r="A803" s="21" t="s">
        <v>1414</v>
      </c>
      <c r="B803" s="12" t="s">
        <v>1415</v>
      </c>
      <c r="C803" s="11" t="s">
        <v>2805</v>
      </c>
      <c r="D803" s="13" t="s">
        <v>4655</v>
      </c>
      <c r="E803" s="11">
        <v>207</v>
      </c>
      <c r="F803" s="21" t="s">
        <v>1416</v>
      </c>
      <c r="G803" s="11" t="s">
        <v>1415</v>
      </c>
      <c r="H803" s="11" t="s">
        <v>3396</v>
      </c>
      <c r="I803" s="12" t="s">
        <v>1415</v>
      </c>
      <c r="J803" s="11" t="s">
        <v>2805</v>
      </c>
      <c r="K803" s="10"/>
      <c r="L803" s="10"/>
    </row>
    <row r="804" spans="1:12" x14ac:dyDescent="0.25">
      <c r="A804" s="21" t="s">
        <v>1417</v>
      </c>
      <c r="B804" s="12" t="s">
        <v>1418</v>
      </c>
      <c r="C804" s="11" t="s">
        <v>2805</v>
      </c>
      <c r="D804" s="13" t="s">
        <v>2190</v>
      </c>
      <c r="E804" s="11">
        <v>495</v>
      </c>
      <c r="F804" s="21" t="s">
        <v>1419</v>
      </c>
      <c r="G804" s="11" t="s">
        <v>1420</v>
      </c>
      <c r="H804" s="11" t="s">
        <v>3396</v>
      </c>
      <c r="I804" s="12" t="s">
        <v>1418</v>
      </c>
      <c r="J804" s="11" t="s">
        <v>2805</v>
      </c>
      <c r="K804" s="10"/>
      <c r="L804" s="10"/>
    </row>
    <row r="805" spans="1:12" x14ac:dyDescent="0.25">
      <c r="A805" s="21" t="s">
        <v>1421</v>
      </c>
      <c r="B805" s="12" t="s">
        <v>1422</v>
      </c>
      <c r="C805" s="11" t="s">
        <v>2805</v>
      </c>
      <c r="D805" s="13" t="s">
        <v>2190</v>
      </c>
      <c r="E805" s="11">
        <v>301</v>
      </c>
      <c r="F805" s="21" t="s">
        <v>1423</v>
      </c>
      <c r="G805" s="11" t="s">
        <v>1422</v>
      </c>
      <c r="H805" s="11" t="s">
        <v>3396</v>
      </c>
      <c r="I805" s="12" t="s">
        <v>1422</v>
      </c>
      <c r="J805" s="11" t="s">
        <v>2805</v>
      </c>
      <c r="K805" s="10"/>
      <c r="L805" s="10"/>
    </row>
    <row r="806" spans="1:12" x14ac:dyDescent="0.25">
      <c r="A806" s="21" t="s">
        <v>1424</v>
      </c>
      <c r="B806" s="12" t="s">
        <v>1425</v>
      </c>
      <c r="C806" s="11" t="s">
        <v>2805</v>
      </c>
      <c r="D806" s="13" t="s">
        <v>3396</v>
      </c>
      <c r="E806" s="11">
        <v>250</v>
      </c>
      <c r="F806" s="21" t="s">
        <v>1426</v>
      </c>
      <c r="G806" s="11" t="s">
        <v>1425</v>
      </c>
      <c r="H806" s="11" t="s">
        <v>3396</v>
      </c>
      <c r="I806" s="12" t="s">
        <v>1425</v>
      </c>
      <c r="J806" s="11" t="s">
        <v>2805</v>
      </c>
      <c r="K806" s="10"/>
      <c r="L806" s="10"/>
    </row>
    <row r="807" spans="1:12" x14ac:dyDescent="0.25">
      <c r="A807" s="21" t="s">
        <v>1427</v>
      </c>
      <c r="B807" s="12" t="s">
        <v>1428</v>
      </c>
      <c r="C807" s="11" t="s">
        <v>2805</v>
      </c>
      <c r="D807" s="13" t="s">
        <v>1429</v>
      </c>
      <c r="E807" s="11" t="s">
        <v>2163</v>
      </c>
      <c r="F807" s="21" t="s">
        <v>1430</v>
      </c>
      <c r="G807" s="11" t="s">
        <v>3964</v>
      </c>
      <c r="H807" s="11" t="s">
        <v>3396</v>
      </c>
      <c r="I807" s="12" t="s">
        <v>1428</v>
      </c>
      <c r="J807" s="11" t="s">
        <v>2805</v>
      </c>
      <c r="K807" s="10"/>
      <c r="L807" s="10"/>
    </row>
    <row r="808" spans="1:12" x14ac:dyDescent="0.25">
      <c r="A808" s="21" t="s">
        <v>3965</v>
      </c>
      <c r="B808" s="12" t="s">
        <v>3966</v>
      </c>
      <c r="C808" s="11" t="s">
        <v>2805</v>
      </c>
      <c r="D808" s="13" t="s">
        <v>247</v>
      </c>
      <c r="E808" s="11">
        <v>299</v>
      </c>
      <c r="F808" s="21" t="s">
        <v>3967</v>
      </c>
      <c r="G808" s="11" t="s">
        <v>3966</v>
      </c>
      <c r="H808" s="11" t="s">
        <v>3396</v>
      </c>
      <c r="I808" s="12" t="s">
        <v>3966</v>
      </c>
      <c r="J808" s="11" t="s">
        <v>2805</v>
      </c>
      <c r="K808" s="10"/>
      <c r="L808" s="10"/>
    </row>
    <row r="809" spans="1:12" x14ac:dyDescent="0.25">
      <c r="A809" s="21" t="s">
        <v>3972</v>
      </c>
      <c r="B809" s="12" t="s">
        <v>349</v>
      </c>
      <c r="C809" s="11" t="s">
        <v>2805</v>
      </c>
      <c r="D809" s="13" t="s">
        <v>4655</v>
      </c>
      <c r="E809" s="11">
        <v>280</v>
      </c>
      <c r="F809" s="21" t="s">
        <v>3973</v>
      </c>
      <c r="G809" s="11" t="s">
        <v>349</v>
      </c>
      <c r="H809" s="11" t="s">
        <v>3396</v>
      </c>
      <c r="I809" s="12" t="s">
        <v>349</v>
      </c>
      <c r="J809" s="11" t="s">
        <v>2805</v>
      </c>
      <c r="K809" s="10"/>
      <c r="L809" s="10"/>
    </row>
    <row r="810" spans="1:12" x14ac:dyDescent="0.25">
      <c r="A810" s="21" t="s">
        <v>3980</v>
      </c>
      <c r="B810" s="12" t="s">
        <v>3981</v>
      </c>
      <c r="C810" s="11" t="s">
        <v>2805</v>
      </c>
      <c r="D810" s="13" t="s">
        <v>3982</v>
      </c>
      <c r="E810" s="11">
        <v>0</v>
      </c>
      <c r="F810" s="21" t="s">
        <v>3983</v>
      </c>
      <c r="G810" s="11" t="s">
        <v>3781</v>
      </c>
      <c r="H810" s="11" t="s">
        <v>3396</v>
      </c>
      <c r="I810" s="12" t="s">
        <v>3981</v>
      </c>
      <c r="J810" s="11" t="s">
        <v>2805</v>
      </c>
      <c r="K810" s="10"/>
      <c r="L810" s="10"/>
    </row>
    <row r="811" spans="1:12" x14ac:dyDescent="0.25">
      <c r="A811" s="21" t="s">
        <v>2179</v>
      </c>
      <c r="B811" s="12" t="s">
        <v>3781</v>
      </c>
      <c r="C811" s="11" t="s">
        <v>2800</v>
      </c>
      <c r="D811" s="13" t="s">
        <v>4646</v>
      </c>
      <c r="E811" s="11">
        <v>1136</v>
      </c>
      <c r="F811" s="21" t="s">
        <v>2180</v>
      </c>
      <c r="G811" s="11" t="s">
        <v>3781</v>
      </c>
      <c r="H811" s="11" t="s">
        <v>3396</v>
      </c>
      <c r="I811" s="12" t="s">
        <v>3781</v>
      </c>
      <c r="J811" s="11" t="s">
        <v>2800</v>
      </c>
      <c r="K811" s="10"/>
      <c r="L811" s="10"/>
    </row>
    <row r="812" spans="1:12" x14ac:dyDescent="0.25">
      <c r="A812" s="21" t="s">
        <v>3974</v>
      </c>
      <c r="B812" s="12" t="s">
        <v>3975</v>
      </c>
      <c r="C812" s="11" t="s">
        <v>2805</v>
      </c>
      <c r="D812" s="13" t="s">
        <v>2674</v>
      </c>
      <c r="E812" s="11">
        <v>497</v>
      </c>
      <c r="F812" s="21" t="s">
        <v>3976</v>
      </c>
      <c r="G812" s="11" t="s">
        <v>3975</v>
      </c>
      <c r="H812" s="11" t="s">
        <v>3396</v>
      </c>
      <c r="I812" s="12" t="s">
        <v>3975</v>
      </c>
      <c r="J812" s="11" t="s">
        <v>2805</v>
      </c>
      <c r="K812" s="10"/>
      <c r="L812" s="10"/>
    </row>
    <row r="813" spans="1:12" x14ac:dyDescent="0.25">
      <c r="A813" s="21" t="s">
        <v>3977</v>
      </c>
      <c r="B813" s="12" t="s">
        <v>3978</v>
      </c>
      <c r="C813" s="11" t="s">
        <v>2805</v>
      </c>
      <c r="D813" s="13" t="s">
        <v>4655</v>
      </c>
      <c r="E813" s="11">
        <v>0</v>
      </c>
      <c r="F813" s="21" t="s">
        <v>3979</v>
      </c>
      <c r="G813" s="11" t="s">
        <v>3978</v>
      </c>
      <c r="H813" s="11" t="s">
        <v>3396</v>
      </c>
      <c r="I813" s="12" t="s">
        <v>3978</v>
      </c>
      <c r="J813" s="11" t="s">
        <v>2805</v>
      </c>
      <c r="K813" s="10"/>
      <c r="L813" s="10"/>
    </row>
    <row r="814" spans="1:12" x14ac:dyDescent="0.25">
      <c r="A814" s="21" t="s">
        <v>173</v>
      </c>
      <c r="B814" s="12" t="s">
        <v>174</v>
      </c>
      <c r="C814" s="11" t="s">
        <v>2805</v>
      </c>
      <c r="D814" s="13" t="s">
        <v>175</v>
      </c>
      <c r="E814" s="11">
        <v>394</v>
      </c>
      <c r="F814" s="21" t="s">
        <v>176</v>
      </c>
      <c r="G814" s="11" t="s">
        <v>2226</v>
      </c>
      <c r="H814" s="11" t="s">
        <v>4463</v>
      </c>
      <c r="I814" s="12" t="s">
        <v>174</v>
      </c>
      <c r="J814" s="11" t="s">
        <v>2805</v>
      </c>
      <c r="K814" s="10"/>
      <c r="L814" s="10"/>
    </row>
    <row r="815" spans="1:12" x14ac:dyDescent="0.25">
      <c r="A815" s="21" t="s">
        <v>4464</v>
      </c>
      <c r="B815" s="12" t="s">
        <v>4465</v>
      </c>
      <c r="C815" s="11" t="s">
        <v>2805</v>
      </c>
      <c r="D815" s="13" t="s">
        <v>2226</v>
      </c>
      <c r="E815" s="11">
        <v>200</v>
      </c>
      <c r="F815" s="21" t="s">
        <v>4466</v>
      </c>
      <c r="G815" s="11" t="s">
        <v>4465</v>
      </c>
      <c r="H815" s="11" t="s">
        <v>4463</v>
      </c>
      <c r="I815" s="12" t="s">
        <v>4465</v>
      </c>
      <c r="J815" s="11" t="s">
        <v>2805</v>
      </c>
      <c r="K815" s="10"/>
      <c r="L815" s="10"/>
    </row>
    <row r="816" spans="1:12" x14ac:dyDescent="0.25">
      <c r="A816" s="21" t="s">
        <v>4467</v>
      </c>
      <c r="B816" s="12" t="s">
        <v>4468</v>
      </c>
      <c r="C816" s="11" t="s">
        <v>2805</v>
      </c>
      <c r="D816" s="13" t="s">
        <v>1102</v>
      </c>
      <c r="E816" s="11">
        <v>437</v>
      </c>
      <c r="F816" s="21" t="s">
        <v>4469</v>
      </c>
      <c r="G816" s="11" t="s">
        <v>4468</v>
      </c>
      <c r="H816" s="11" t="s">
        <v>4463</v>
      </c>
      <c r="I816" s="12" t="s">
        <v>4468</v>
      </c>
      <c r="J816" s="11" t="s">
        <v>2805</v>
      </c>
      <c r="K816" s="10"/>
      <c r="L816" s="10"/>
    </row>
    <row r="817" spans="1:12" x14ac:dyDescent="0.25">
      <c r="A817" s="21" t="s">
        <v>4470</v>
      </c>
      <c r="B817" s="12" t="s">
        <v>4471</v>
      </c>
      <c r="C817" s="11" t="s">
        <v>2805</v>
      </c>
      <c r="D817" s="13" t="s">
        <v>2258</v>
      </c>
      <c r="E817" s="11">
        <v>404</v>
      </c>
      <c r="F817" s="21" t="s">
        <v>1930</v>
      </c>
      <c r="G817" s="11" t="s">
        <v>4471</v>
      </c>
      <c r="H817" s="11" t="s">
        <v>4463</v>
      </c>
      <c r="I817" s="12" t="s">
        <v>4471</v>
      </c>
      <c r="J817" s="11" t="s">
        <v>2805</v>
      </c>
      <c r="K817" s="10"/>
      <c r="L817" s="10"/>
    </row>
    <row r="818" spans="1:12" x14ac:dyDescent="0.25">
      <c r="A818" s="21" t="s">
        <v>1931</v>
      </c>
      <c r="B818" s="12" t="s">
        <v>1932</v>
      </c>
      <c r="C818" s="11" t="s">
        <v>2805</v>
      </c>
      <c r="D818" s="13" t="s">
        <v>2190</v>
      </c>
      <c r="E818" s="11">
        <v>393</v>
      </c>
      <c r="F818" s="21" t="s">
        <v>1933</v>
      </c>
      <c r="G818" s="11" t="s">
        <v>1932</v>
      </c>
      <c r="H818" s="11" t="s">
        <v>4463</v>
      </c>
      <c r="I818" s="12" t="s">
        <v>1932</v>
      </c>
      <c r="J818" s="11" t="s">
        <v>2805</v>
      </c>
      <c r="K818" s="10"/>
      <c r="L818" s="10"/>
    </row>
    <row r="819" spans="1:12" x14ac:dyDescent="0.25">
      <c r="A819" s="21" t="s">
        <v>1934</v>
      </c>
      <c r="B819" s="12" t="s">
        <v>1935</v>
      </c>
      <c r="C819" s="11" t="s">
        <v>2805</v>
      </c>
      <c r="D819" s="13" t="s">
        <v>1936</v>
      </c>
      <c r="E819" s="11">
        <v>337</v>
      </c>
      <c r="F819" s="21" t="s">
        <v>1937</v>
      </c>
      <c r="G819" s="11" t="s">
        <v>1935</v>
      </c>
      <c r="H819" s="11" t="s">
        <v>4463</v>
      </c>
      <c r="I819" s="12" t="s">
        <v>1935</v>
      </c>
      <c r="J819" s="11" t="s">
        <v>2805</v>
      </c>
      <c r="K819" s="10"/>
      <c r="L819" s="10"/>
    </row>
    <row r="820" spans="1:12" x14ac:dyDescent="0.25">
      <c r="A820" s="21" t="s">
        <v>1938</v>
      </c>
      <c r="B820" s="12" t="s">
        <v>1939</v>
      </c>
      <c r="C820" s="11" t="s">
        <v>2805</v>
      </c>
      <c r="D820" s="13" t="s">
        <v>1940</v>
      </c>
      <c r="E820" s="11">
        <v>55</v>
      </c>
      <c r="F820" s="21" t="s">
        <v>1941</v>
      </c>
      <c r="G820" s="11" t="s">
        <v>1939</v>
      </c>
      <c r="H820" s="11" t="s">
        <v>4463</v>
      </c>
      <c r="I820" s="12" t="s">
        <v>1939</v>
      </c>
      <c r="J820" s="11" t="s">
        <v>2805</v>
      </c>
      <c r="K820" s="10"/>
      <c r="L820" s="10"/>
    </row>
    <row r="821" spans="1:12" x14ac:dyDescent="0.25">
      <c r="A821" s="21" t="s">
        <v>1942</v>
      </c>
      <c r="B821" s="12" t="s">
        <v>1943</v>
      </c>
      <c r="C821" s="11" t="s">
        <v>2805</v>
      </c>
      <c r="D821" s="13" t="s">
        <v>247</v>
      </c>
      <c r="E821" s="11">
        <v>100</v>
      </c>
      <c r="F821" s="21" t="s">
        <v>4395</v>
      </c>
      <c r="G821" s="11" t="s">
        <v>1943</v>
      </c>
      <c r="H821" s="11" t="s">
        <v>4463</v>
      </c>
      <c r="I821" s="12" t="s">
        <v>1943</v>
      </c>
      <c r="J821" s="11" t="s">
        <v>2805</v>
      </c>
      <c r="K821" s="10"/>
      <c r="L821" s="10"/>
    </row>
    <row r="822" spans="1:12" x14ac:dyDescent="0.25">
      <c r="A822" s="21" t="s">
        <v>4396</v>
      </c>
      <c r="B822" s="12" t="s">
        <v>4397</v>
      </c>
      <c r="C822" s="11" t="s">
        <v>2805</v>
      </c>
      <c r="D822" s="13" t="s">
        <v>2206</v>
      </c>
      <c r="E822" s="11">
        <v>305</v>
      </c>
      <c r="F822" s="21" t="s">
        <v>4398</v>
      </c>
      <c r="G822" s="11" t="s">
        <v>4397</v>
      </c>
      <c r="H822" s="11" t="s">
        <v>4463</v>
      </c>
      <c r="I822" s="12" t="s">
        <v>4397</v>
      </c>
      <c r="J822" s="11" t="s">
        <v>2805</v>
      </c>
      <c r="K822" s="10"/>
      <c r="L822" s="10"/>
    </row>
    <row r="823" spans="1:12" x14ac:dyDescent="0.25">
      <c r="A823" s="21" t="s">
        <v>3734</v>
      </c>
      <c r="B823" s="12" t="s">
        <v>3735</v>
      </c>
      <c r="C823" s="11" t="s">
        <v>2805</v>
      </c>
      <c r="D823" s="13" t="s">
        <v>2262</v>
      </c>
      <c r="E823" s="11">
        <v>1165</v>
      </c>
      <c r="F823" s="21" t="s">
        <v>3736</v>
      </c>
      <c r="G823" s="11" t="s">
        <v>3735</v>
      </c>
      <c r="H823" s="11" t="s">
        <v>4463</v>
      </c>
      <c r="I823" s="12" t="s">
        <v>3735</v>
      </c>
      <c r="J823" s="11" t="s">
        <v>2805</v>
      </c>
      <c r="K823" s="10"/>
      <c r="L823" s="10"/>
    </row>
    <row r="824" spans="1:12" x14ac:dyDescent="0.25">
      <c r="A824" s="21" t="s">
        <v>3737</v>
      </c>
      <c r="B824" s="12" t="s">
        <v>3738</v>
      </c>
      <c r="C824" s="11" t="s">
        <v>2805</v>
      </c>
      <c r="D824" s="13" t="s">
        <v>2248</v>
      </c>
      <c r="E824" s="11">
        <v>100</v>
      </c>
      <c r="F824" s="21" t="s">
        <v>3739</v>
      </c>
      <c r="G824" s="11" t="s">
        <v>4481</v>
      </c>
      <c r="H824" s="11" t="s">
        <v>4463</v>
      </c>
      <c r="I824" s="12" t="s">
        <v>3738</v>
      </c>
      <c r="J824" s="11" t="s">
        <v>2805</v>
      </c>
      <c r="K824" s="10"/>
      <c r="L824" s="10"/>
    </row>
    <row r="825" spans="1:12" x14ac:dyDescent="0.25">
      <c r="A825" s="21" t="s">
        <v>4482</v>
      </c>
      <c r="B825" s="12" t="s">
        <v>4483</v>
      </c>
      <c r="C825" s="11" t="s">
        <v>2805</v>
      </c>
      <c r="D825" s="13" t="s">
        <v>4484</v>
      </c>
      <c r="E825" s="11">
        <v>498</v>
      </c>
      <c r="F825" s="21" t="s">
        <v>4485</v>
      </c>
      <c r="G825" s="11" t="s">
        <v>4483</v>
      </c>
      <c r="H825" s="11" t="s">
        <v>4463</v>
      </c>
      <c r="I825" s="12" t="s">
        <v>4483</v>
      </c>
      <c r="J825" s="11" t="s">
        <v>2805</v>
      </c>
      <c r="K825" s="10"/>
      <c r="L825" s="10"/>
    </row>
    <row r="826" spans="1:12" x14ac:dyDescent="0.25">
      <c r="A826" s="21" t="s">
        <v>4486</v>
      </c>
      <c r="B826" s="12" t="s">
        <v>4487</v>
      </c>
      <c r="C826" s="11" t="s">
        <v>2805</v>
      </c>
      <c r="D826" s="13" t="s">
        <v>1471</v>
      </c>
      <c r="E826" s="11">
        <v>1141</v>
      </c>
      <c r="F826" s="21" t="s">
        <v>4488</v>
      </c>
      <c r="G826" s="11" t="s">
        <v>4487</v>
      </c>
      <c r="H826" s="11" t="s">
        <v>4463</v>
      </c>
      <c r="I826" s="12" t="s">
        <v>4487</v>
      </c>
      <c r="J826" s="11" t="s">
        <v>2805</v>
      </c>
      <c r="K826" s="10"/>
      <c r="L826" s="10"/>
    </row>
    <row r="827" spans="1:12" x14ac:dyDescent="0.25">
      <c r="A827" s="21" t="s">
        <v>4489</v>
      </c>
      <c r="B827" s="12" t="s">
        <v>4490</v>
      </c>
      <c r="C827" s="11" t="s">
        <v>2805</v>
      </c>
      <c r="D827" s="13" t="s">
        <v>4491</v>
      </c>
      <c r="E827" s="11">
        <v>280</v>
      </c>
      <c r="F827" s="21" t="s">
        <v>4492</v>
      </c>
      <c r="G827" s="11" t="s">
        <v>4490</v>
      </c>
      <c r="H827" s="11" t="s">
        <v>4463</v>
      </c>
      <c r="I827" s="12" t="s">
        <v>4490</v>
      </c>
      <c r="J827" s="11" t="s">
        <v>2805</v>
      </c>
      <c r="K827" s="10"/>
      <c r="L827" s="10"/>
    </row>
    <row r="828" spans="1:12" x14ac:dyDescent="0.25">
      <c r="A828" s="21" t="s">
        <v>4493</v>
      </c>
      <c r="B828" s="12" t="s">
        <v>4494</v>
      </c>
      <c r="C828" s="11" t="s">
        <v>2805</v>
      </c>
      <c r="D828" s="13" t="s">
        <v>4495</v>
      </c>
      <c r="E828" s="11">
        <v>790</v>
      </c>
      <c r="F828" s="21" t="s">
        <v>4496</v>
      </c>
      <c r="G828" s="11" t="s">
        <v>4497</v>
      </c>
      <c r="H828" s="11" t="s">
        <v>4463</v>
      </c>
      <c r="I828" s="12" t="s">
        <v>4494</v>
      </c>
      <c r="J828" s="11" t="s">
        <v>2805</v>
      </c>
      <c r="K828" s="10"/>
      <c r="L828" s="10"/>
    </row>
    <row r="829" spans="1:12" x14ac:dyDescent="0.25">
      <c r="A829" s="21" t="s">
        <v>4498</v>
      </c>
      <c r="B829" s="12" t="s">
        <v>4499</v>
      </c>
      <c r="C829" s="11" t="s">
        <v>2800</v>
      </c>
      <c r="D829" s="13">
        <v>22</v>
      </c>
      <c r="E829" s="11">
        <v>653</v>
      </c>
      <c r="F829" s="21" t="s">
        <v>4500</v>
      </c>
      <c r="G829" s="11" t="s">
        <v>4501</v>
      </c>
      <c r="H829" s="11" t="s">
        <v>4463</v>
      </c>
      <c r="I829" s="12" t="s">
        <v>4499</v>
      </c>
      <c r="J829" s="11" t="s">
        <v>2800</v>
      </c>
      <c r="K829" s="10"/>
      <c r="L829" s="10"/>
    </row>
    <row r="830" spans="1:12" x14ac:dyDescent="0.25">
      <c r="A830" s="21" t="s">
        <v>4502</v>
      </c>
      <c r="B830" s="12" t="s">
        <v>3263</v>
      </c>
      <c r="C830" s="11" t="s">
        <v>2805</v>
      </c>
      <c r="D830" s="13" t="s">
        <v>4503</v>
      </c>
      <c r="E830" s="11">
        <v>250</v>
      </c>
      <c r="F830" s="21" t="s">
        <v>4504</v>
      </c>
      <c r="G830" s="11" t="s">
        <v>4769</v>
      </c>
      <c r="H830" s="11" t="s">
        <v>4463</v>
      </c>
      <c r="I830" s="12" t="s">
        <v>3263</v>
      </c>
      <c r="J830" s="11" t="s">
        <v>2805</v>
      </c>
      <c r="K830" s="10"/>
      <c r="L830" s="10"/>
    </row>
    <row r="831" spans="1:12" x14ac:dyDescent="0.25">
      <c r="A831" s="21" t="s">
        <v>4505</v>
      </c>
      <c r="B831" s="12" t="s">
        <v>4506</v>
      </c>
      <c r="C831" s="11" t="s">
        <v>2805</v>
      </c>
      <c r="D831" s="13" t="s">
        <v>1479</v>
      </c>
      <c r="E831" s="11">
        <v>457</v>
      </c>
      <c r="F831" s="21" t="s">
        <v>4507</v>
      </c>
      <c r="G831" s="11" t="s">
        <v>4506</v>
      </c>
      <c r="H831" s="11" t="s">
        <v>4463</v>
      </c>
      <c r="I831" s="12" t="s">
        <v>4506</v>
      </c>
      <c r="J831" s="11" t="s">
        <v>2805</v>
      </c>
      <c r="K831" s="10"/>
      <c r="L831" s="10"/>
    </row>
    <row r="832" spans="1:12" x14ac:dyDescent="0.25">
      <c r="A832" s="21" t="s">
        <v>4508</v>
      </c>
      <c r="B832" s="12" t="s">
        <v>4509</v>
      </c>
      <c r="C832" s="11" t="s">
        <v>2805</v>
      </c>
      <c r="D832" s="13" t="s">
        <v>4510</v>
      </c>
      <c r="E832" s="11">
        <v>597</v>
      </c>
      <c r="F832" s="21" t="s">
        <v>4511</v>
      </c>
      <c r="G832" s="11" t="s">
        <v>4512</v>
      </c>
      <c r="H832" s="11" t="s">
        <v>4463</v>
      </c>
      <c r="I832" s="12" t="s">
        <v>4509</v>
      </c>
      <c r="J832" s="11" t="s">
        <v>2805</v>
      </c>
      <c r="K832" s="10"/>
      <c r="L832" s="10"/>
    </row>
    <row r="833" spans="1:12" x14ac:dyDescent="0.25">
      <c r="A833" s="21" t="s">
        <v>4513</v>
      </c>
      <c r="B833" s="12" t="s">
        <v>4514</v>
      </c>
      <c r="C833" s="11" t="s">
        <v>2805</v>
      </c>
      <c r="D833" s="13" t="s">
        <v>2132</v>
      </c>
      <c r="E833" s="11">
        <v>494</v>
      </c>
      <c r="F833" s="21" t="s">
        <v>4515</v>
      </c>
      <c r="G833" s="11" t="s">
        <v>4514</v>
      </c>
      <c r="H833" s="11" t="s">
        <v>4463</v>
      </c>
      <c r="I833" s="12" t="s">
        <v>4514</v>
      </c>
      <c r="J833" s="11" t="s">
        <v>2805</v>
      </c>
      <c r="K833" s="10"/>
      <c r="L833" s="10"/>
    </row>
    <row r="834" spans="1:12" x14ac:dyDescent="0.25">
      <c r="A834" s="21" t="s">
        <v>4516</v>
      </c>
      <c r="B834" s="12" t="s">
        <v>4517</v>
      </c>
      <c r="C834" s="11" t="s">
        <v>2805</v>
      </c>
      <c r="D834" s="13" t="s">
        <v>2258</v>
      </c>
      <c r="E834" s="11">
        <v>250</v>
      </c>
      <c r="F834" s="21" t="s">
        <v>4518</v>
      </c>
      <c r="G834" s="11" t="s">
        <v>4517</v>
      </c>
      <c r="H834" s="11" t="s">
        <v>4463</v>
      </c>
      <c r="I834" s="12" t="s">
        <v>4517</v>
      </c>
      <c r="J834" s="11" t="s">
        <v>2805</v>
      </c>
      <c r="K834" s="10"/>
      <c r="L834" s="10"/>
    </row>
    <row r="835" spans="1:12" x14ac:dyDescent="0.25">
      <c r="A835" s="21" t="s">
        <v>4519</v>
      </c>
      <c r="B835" s="12" t="s">
        <v>4520</v>
      </c>
      <c r="C835" s="11" t="s">
        <v>2805</v>
      </c>
      <c r="D835" s="13" t="s">
        <v>4521</v>
      </c>
      <c r="E835" s="11">
        <v>1</v>
      </c>
      <c r="F835" s="21" t="s">
        <v>4522</v>
      </c>
      <c r="G835" s="11" t="s">
        <v>4520</v>
      </c>
      <c r="H835" s="11" t="s">
        <v>4463</v>
      </c>
      <c r="I835" s="12" t="s">
        <v>4520</v>
      </c>
      <c r="J835" s="11" t="s">
        <v>2805</v>
      </c>
      <c r="K835" s="10"/>
      <c r="L835" s="10"/>
    </row>
    <row r="836" spans="1:12" x14ac:dyDescent="0.25">
      <c r="A836" s="21" t="s">
        <v>4523</v>
      </c>
      <c r="B836" s="12" t="s">
        <v>4524</v>
      </c>
      <c r="C836" s="11" t="s">
        <v>2805</v>
      </c>
      <c r="D836" s="13" t="s">
        <v>2171</v>
      </c>
      <c r="E836" s="11">
        <v>350</v>
      </c>
      <c r="F836" s="21" t="s">
        <v>4525</v>
      </c>
      <c r="G836" s="11" t="s">
        <v>4524</v>
      </c>
      <c r="H836" s="11" t="s">
        <v>4463</v>
      </c>
      <c r="I836" s="12" t="s">
        <v>4524</v>
      </c>
      <c r="J836" s="11" t="s">
        <v>2805</v>
      </c>
      <c r="K836" s="10"/>
      <c r="L836" s="10"/>
    </row>
    <row r="837" spans="1:12" x14ac:dyDescent="0.25">
      <c r="A837" s="21" t="s">
        <v>4526</v>
      </c>
      <c r="B837" s="12" t="s">
        <v>4527</v>
      </c>
      <c r="C837" s="11" t="s">
        <v>2805</v>
      </c>
      <c r="D837" s="13" t="s">
        <v>247</v>
      </c>
      <c r="E837" s="11">
        <v>431</v>
      </c>
      <c r="F837" s="21" t="s">
        <v>4528</v>
      </c>
      <c r="G837" s="11" t="s">
        <v>4527</v>
      </c>
      <c r="H837" s="11" t="s">
        <v>4463</v>
      </c>
      <c r="I837" s="12" t="s">
        <v>4527</v>
      </c>
      <c r="J837" s="11" t="s">
        <v>2805</v>
      </c>
      <c r="K837" s="10"/>
      <c r="L837" s="10"/>
    </row>
    <row r="838" spans="1:12" x14ac:dyDescent="0.25">
      <c r="A838" s="21" t="s">
        <v>4529</v>
      </c>
      <c r="B838" s="12" t="s">
        <v>4530</v>
      </c>
      <c r="C838" s="11" t="s">
        <v>2805</v>
      </c>
      <c r="D838" s="13" t="s">
        <v>255</v>
      </c>
      <c r="E838" s="11">
        <v>450</v>
      </c>
      <c r="F838" s="21" t="s">
        <v>4531</v>
      </c>
      <c r="G838" s="11" t="s">
        <v>4530</v>
      </c>
      <c r="H838" s="11" t="s">
        <v>4463</v>
      </c>
      <c r="I838" s="12" t="s">
        <v>4530</v>
      </c>
      <c r="J838" s="11" t="s">
        <v>2805</v>
      </c>
      <c r="K838" s="10"/>
      <c r="L838" s="10"/>
    </row>
    <row r="839" spans="1:12" x14ac:dyDescent="0.25">
      <c r="A839" s="21" t="s">
        <v>4532</v>
      </c>
      <c r="B839" s="12" t="s">
        <v>4533</v>
      </c>
      <c r="C839" s="11" t="s">
        <v>2805</v>
      </c>
      <c r="D839" s="13" t="s">
        <v>4300</v>
      </c>
      <c r="E839" s="11">
        <v>444</v>
      </c>
      <c r="F839" s="21" t="s">
        <v>4534</v>
      </c>
      <c r="G839" s="11" t="s">
        <v>4533</v>
      </c>
      <c r="H839" s="11" t="s">
        <v>4463</v>
      </c>
      <c r="I839" s="12" t="s">
        <v>4533</v>
      </c>
      <c r="J839" s="11" t="s">
        <v>2805</v>
      </c>
      <c r="K839" s="10"/>
      <c r="L839" s="10"/>
    </row>
    <row r="840" spans="1:12" x14ac:dyDescent="0.25">
      <c r="A840" s="21" t="s">
        <v>4535</v>
      </c>
      <c r="B840" s="12" t="s">
        <v>4536</v>
      </c>
      <c r="C840" s="11" t="s">
        <v>2805</v>
      </c>
      <c r="D840" s="13" t="s">
        <v>4655</v>
      </c>
      <c r="E840" s="11">
        <v>290</v>
      </c>
      <c r="F840" s="21" t="s">
        <v>4537</v>
      </c>
      <c r="G840" s="11" t="s">
        <v>4536</v>
      </c>
      <c r="H840" s="11" t="s">
        <v>4463</v>
      </c>
      <c r="I840" s="12" t="s">
        <v>4536</v>
      </c>
      <c r="J840" s="11" t="s">
        <v>2805</v>
      </c>
      <c r="K840" s="10"/>
      <c r="L840" s="10"/>
    </row>
    <row r="841" spans="1:12" x14ac:dyDescent="0.25">
      <c r="A841" s="21" t="s">
        <v>4538</v>
      </c>
      <c r="B841" s="12" t="s">
        <v>4539</v>
      </c>
      <c r="C841" s="11" t="s">
        <v>2805</v>
      </c>
      <c r="D841" s="13" t="s">
        <v>2270</v>
      </c>
      <c r="E841" s="11">
        <v>231</v>
      </c>
      <c r="F841" s="21" t="s">
        <v>4540</v>
      </c>
      <c r="G841" s="11" t="s">
        <v>4539</v>
      </c>
      <c r="H841" s="11" t="s">
        <v>4463</v>
      </c>
      <c r="I841" s="12" t="s">
        <v>4539</v>
      </c>
      <c r="J841" s="11" t="s">
        <v>2805</v>
      </c>
      <c r="K841" s="10"/>
      <c r="L841" s="10"/>
    </row>
    <row r="842" spans="1:12" x14ac:dyDescent="0.25">
      <c r="A842" s="21" t="s">
        <v>4541</v>
      </c>
      <c r="B842" s="12" t="s">
        <v>4542</v>
      </c>
      <c r="C842" s="11" t="s">
        <v>2805</v>
      </c>
      <c r="D842" s="13" t="s">
        <v>4543</v>
      </c>
      <c r="E842" s="11">
        <v>1443</v>
      </c>
      <c r="F842" s="21" t="s">
        <v>4544</v>
      </c>
      <c r="G842" s="11" t="s">
        <v>4542</v>
      </c>
      <c r="H842" s="11" t="s">
        <v>4463</v>
      </c>
      <c r="I842" s="12" t="s">
        <v>4542</v>
      </c>
      <c r="J842" s="11" t="s">
        <v>2805</v>
      </c>
      <c r="K842" s="10"/>
      <c r="L842" s="10"/>
    </row>
    <row r="843" spans="1:12" x14ac:dyDescent="0.25">
      <c r="A843" s="21" t="s">
        <v>4545</v>
      </c>
      <c r="B843" s="12" t="s">
        <v>4546</v>
      </c>
      <c r="C843" s="11" t="s">
        <v>2805</v>
      </c>
      <c r="D843" s="13" t="s">
        <v>4300</v>
      </c>
      <c r="E843" s="11">
        <v>121</v>
      </c>
      <c r="F843" s="21" t="s">
        <v>4547</v>
      </c>
      <c r="G843" s="11" t="s">
        <v>4546</v>
      </c>
      <c r="H843" s="11" t="s">
        <v>4463</v>
      </c>
      <c r="I843" s="12" t="s">
        <v>4546</v>
      </c>
      <c r="J843" s="11" t="s">
        <v>2805</v>
      </c>
      <c r="K843" s="10"/>
      <c r="L843" s="10"/>
    </row>
    <row r="844" spans="1:12" x14ac:dyDescent="0.25">
      <c r="A844" s="21" t="s">
        <v>1893</v>
      </c>
      <c r="B844" s="12" t="s">
        <v>1894</v>
      </c>
      <c r="C844" s="11" t="s">
        <v>2800</v>
      </c>
      <c r="D844" s="13" t="s">
        <v>2674</v>
      </c>
      <c r="E844" s="11">
        <v>202</v>
      </c>
      <c r="F844" s="21" t="s">
        <v>1895</v>
      </c>
      <c r="G844" s="11" t="s">
        <v>1894</v>
      </c>
      <c r="H844" s="11" t="s">
        <v>4463</v>
      </c>
      <c r="I844" s="12" t="s">
        <v>1894</v>
      </c>
      <c r="J844" s="11" t="s">
        <v>2800</v>
      </c>
      <c r="K844" s="10"/>
      <c r="L844" s="10"/>
    </row>
    <row r="845" spans="1:12" x14ac:dyDescent="0.25">
      <c r="A845" s="21" t="s">
        <v>4548</v>
      </c>
      <c r="B845" s="12" t="s">
        <v>4549</v>
      </c>
      <c r="C845" s="11" t="s">
        <v>2805</v>
      </c>
      <c r="D845" s="13" t="s">
        <v>255</v>
      </c>
      <c r="E845" s="11">
        <v>532</v>
      </c>
      <c r="F845" s="21" t="s">
        <v>4550</v>
      </c>
      <c r="G845" s="11" t="s">
        <v>4549</v>
      </c>
      <c r="H845" s="11" t="s">
        <v>4463</v>
      </c>
      <c r="I845" s="12" t="s">
        <v>4549</v>
      </c>
      <c r="J845" s="11" t="s">
        <v>2805</v>
      </c>
      <c r="K845" s="10"/>
      <c r="L845" s="10"/>
    </row>
    <row r="846" spans="1:12" x14ac:dyDescent="0.25">
      <c r="A846" s="21" t="s">
        <v>4551</v>
      </c>
      <c r="B846" s="12" t="s">
        <v>4552</v>
      </c>
      <c r="C846" s="11" t="s">
        <v>2805</v>
      </c>
      <c r="D846" s="13" t="s">
        <v>234</v>
      </c>
      <c r="E846" s="11">
        <v>465</v>
      </c>
      <c r="F846" s="21" t="s">
        <v>4553</v>
      </c>
      <c r="G846" s="11" t="s">
        <v>4552</v>
      </c>
      <c r="H846" s="11" t="s">
        <v>4463</v>
      </c>
      <c r="I846" s="12" t="s">
        <v>4552</v>
      </c>
      <c r="J846" s="11" t="s">
        <v>2805</v>
      </c>
      <c r="K846" s="10"/>
      <c r="L846" s="10"/>
    </row>
    <row r="847" spans="1:12" x14ac:dyDescent="0.25">
      <c r="A847" s="21" t="s">
        <v>4554</v>
      </c>
      <c r="B847" s="12" t="s">
        <v>4555</v>
      </c>
      <c r="C847" s="11" t="s">
        <v>2805</v>
      </c>
      <c r="D847" s="13" t="s">
        <v>167</v>
      </c>
      <c r="E847" s="11">
        <v>45</v>
      </c>
      <c r="F847" s="21" t="s">
        <v>168</v>
      </c>
      <c r="G847" s="11" t="s">
        <v>4555</v>
      </c>
      <c r="H847" s="11" t="s">
        <v>4463</v>
      </c>
      <c r="I847" s="12" t="s">
        <v>4555</v>
      </c>
      <c r="J847" s="11" t="s">
        <v>2805</v>
      </c>
      <c r="K847" s="10"/>
      <c r="L847" s="10"/>
    </row>
    <row r="848" spans="1:12" x14ac:dyDescent="0.25">
      <c r="A848" s="21" t="s">
        <v>169</v>
      </c>
      <c r="B848" s="12" t="s">
        <v>170</v>
      </c>
      <c r="C848" s="11" t="s">
        <v>2805</v>
      </c>
      <c r="D848" s="13" t="s">
        <v>171</v>
      </c>
      <c r="E848" s="11">
        <v>0</v>
      </c>
      <c r="F848" s="21" t="s">
        <v>172</v>
      </c>
      <c r="G848" s="11" t="s">
        <v>170</v>
      </c>
      <c r="H848" s="11" t="s">
        <v>4463</v>
      </c>
      <c r="I848" s="12" t="s">
        <v>170</v>
      </c>
      <c r="J848" s="11" t="s">
        <v>2805</v>
      </c>
      <c r="K848" s="10"/>
      <c r="L848" s="10"/>
    </row>
    <row r="849" spans="1:12" x14ac:dyDescent="0.25">
      <c r="A849" s="21" t="s">
        <v>177</v>
      </c>
      <c r="B849" s="12" t="s">
        <v>178</v>
      </c>
      <c r="C849" s="11" t="s">
        <v>2805</v>
      </c>
      <c r="D849" s="13">
        <v>17</v>
      </c>
      <c r="E849" s="11">
        <v>996</v>
      </c>
      <c r="F849" s="21" t="s">
        <v>179</v>
      </c>
      <c r="G849" s="11" t="s">
        <v>178</v>
      </c>
      <c r="H849" s="11" t="s">
        <v>4463</v>
      </c>
      <c r="I849" s="12" t="s">
        <v>178</v>
      </c>
      <c r="J849" s="11" t="s">
        <v>2805</v>
      </c>
      <c r="K849" s="10"/>
      <c r="L849" s="10"/>
    </row>
    <row r="850" spans="1:12" x14ac:dyDescent="0.25">
      <c r="A850" s="21" t="s">
        <v>180</v>
      </c>
      <c r="B850" s="12" t="s">
        <v>181</v>
      </c>
      <c r="C850" s="11" t="s">
        <v>2805</v>
      </c>
      <c r="D850" s="13" t="s">
        <v>2190</v>
      </c>
      <c r="E850" s="11">
        <v>315</v>
      </c>
      <c r="F850" s="21" t="s">
        <v>182</v>
      </c>
      <c r="G850" s="11" t="s">
        <v>181</v>
      </c>
      <c r="H850" s="11" t="s">
        <v>4463</v>
      </c>
      <c r="I850" s="12" t="s">
        <v>181</v>
      </c>
      <c r="J850" s="11" t="s">
        <v>2805</v>
      </c>
      <c r="K850" s="10"/>
      <c r="L850" s="10"/>
    </row>
    <row r="851" spans="1:12" x14ac:dyDescent="0.25">
      <c r="A851" s="21" t="s">
        <v>3907</v>
      </c>
      <c r="B851" s="12" t="s">
        <v>3908</v>
      </c>
      <c r="C851" s="11" t="s">
        <v>2805</v>
      </c>
      <c r="D851" s="13" t="s">
        <v>234</v>
      </c>
      <c r="E851" s="11">
        <v>229</v>
      </c>
      <c r="F851" s="21" t="s">
        <v>3909</v>
      </c>
      <c r="G851" s="11" t="s">
        <v>3908</v>
      </c>
      <c r="H851" s="11" t="s">
        <v>1006</v>
      </c>
      <c r="I851" s="12" t="s">
        <v>3908</v>
      </c>
      <c r="J851" s="11" t="s">
        <v>2805</v>
      </c>
      <c r="K851" s="10"/>
      <c r="L851" s="10"/>
    </row>
    <row r="852" spans="1:12" x14ac:dyDescent="0.25">
      <c r="A852" s="21" t="s">
        <v>3910</v>
      </c>
      <c r="B852" s="12" t="s">
        <v>3911</v>
      </c>
      <c r="C852" s="11" t="s">
        <v>2805</v>
      </c>
      <c r="D852" s="13" t="s">
        <v>3912</v>
      </c>
      <c r="E852" s="11">
        <v>0</v>
      </c>
      <c r="F852" s="21" t="s">
        <v>3913</v>
      </c>
      <c r="G852" s="11" t="s">
        <v>3911</v>
      </c>
      <c r="H852" s="11" t="s">
        <v>1006</v>
      </c>
      <c r="I852" s="12" t="s">
        <v>3911</v>
      </c>
      <c r="J852" s="11" t="s">
        <v>2805</v>
      </c>
      <c r="K852" s="10"/>
      <c r="L852" s="10"/>
    </row>
    <row r="853" spans="1:12" x14ac:dyDescent="0.25">
      <c r="A853" s="21" t="s">
        <v>3914</v>
      </c>
      <c r="B853" s="12" t="s">
        <v>3915</v>
      </c>
      <c r="C853" s="11" t="s">
        <v>2805</v>
      </c>
      <c r="D853" s="13" t="s">
        <v>3916</v>
      </c>
      <c r="E853" s="11">
        <v>0</v>
      </c>
      <c r="F853" s="21" t="s">
        <v>3917</v>
      </c>
      <c r="G853" s="11" t="s">
        <v>3915</v>
      </c>
      <c r="H853" s="11" t="s">
        <v>1006</v>
      </c>
      <c r="I853" s="12" t="s">
        <v>3915</v>
      </c>
      <c r="J853" s="11" t="s">
        <v>2805</v>
      </c>
      <c r="K853" s="10"/>
      <c r="L853" s="10"/>
    </row>
    <row r="854" spans="1:12" x14ac:dyDescent="0.25">
      <c r="A854" s="21" t="s">
        <v>3918</v>
      </c>
      <c r="B854" s="12" t="s">
        <v>3919</v>
      </c>
      <c r="C854" s="11" t="s">
        <v>2805</v>
      </c>
      <c r="D854" s="13" t="s">
        <v>234</v>
      </c>
      <c r="E854" s="11">
        <v>100</v>
      </c>
      <c r="F854" s="21" t="s">
        <v>3920</v>
      </c>
      <c r="G854" s="11" t="s">
        <v>3919</v>
      </c>
      <c r="H854" s="11" t="s">
        <v>1006</v>
      </c>
      <c r="I854" s="12" t="s">
        <v>3919</v>
      </c>
      <c r="J854" s="11" t="s">
        <v>2805</v>
      </c>
      <c r="K854" s="10"/>
      <c r="L854" s="10"/>
    </row>
    <row r="855" spans="1:12" x14ac:dyDescent="0.25">
      <c r="A855" s="21" t="s">
        <v>3921</v>
      </c>
      <c r="B855" s="12" t="s">
        <v>3922</v>
      </c>
      <c r="C855" s="11" t="s">
        <v>2805</v>
      </c>
      <c r="D855" s="13" t="s">
        <v>3923</v>
      </c>
      <c r="E855" s="11">
        <v>125</v>
      </c>
      <c r="F855" s="21" t="s">
        <v>3924</v>
      </c>
      <c r="G855" s="11" t="s">
        <v>3922</v>
      </c>
      <c r="H855" s="11" t="s">
        <v>1006</v>
      </c>
      <c r="I855" s="12" t="s">
        <v>3922</v>
      </c>
      <c r="J855" s="11" t="s">
        <v>2805</v>
      </c>
      <c r="K855" s="10"/>
      <c r="L855" s="10"/>
    </row>
    <row r="856" spans="1:12" x14ac:dyDescent="0.25">
      <c r="A856" s="21" t="s">
        <v>3925</v>
      </c>
      <c r="B856" s="12" t="s">
        <v>3926</v>
      </c>
      <c r="C856" s="11" t="s">
        <v>2800</v>
      </c>
      <c r="D856" s="13" t="s">
        <v>3927</v>
      </c>
      <c r="E856" s="11">
        <v>201</v>
      </c>
      <c r="F856" s="21" t="s">
        <v>3928</v>
      </c>
      <c r="G856" s="11" t="s">
        <v>3926</v>
      </c>
      <c r="H856" s="11" t="s">
        <v>1006</v>
      </c>
      <c r="I856" s="12" t="s">
        <v>3926</v>
      </c>
      <c r="J856" s="11" t="s">
        <v>2800</v>
      </c>
      <c r="K856" s="10"/>
      <c r="L856" s="10"/>
    </row>
    <row r="857" spans="1:12" x14ac:dyDescent="0.25">
      <c r="A857" s="21" t="s">
        <v>3929</v>
      </c>
      <c r="B857" s="12" t="s">
        <v>3930</v>
      </c>
      <c r="C857" s="11" t="s">
        <v>2805</v>
      </c>
      <c r="D857" s="13" t="s">
        <v>3491</v>
      </c>
      <c r="E857" s="11">
        <v>120</v>
      </c>
      <c r="F857" s="21" t="s">
        <v>3931</v>
      </c>
      <c r="G857" s="11" t="s">
        <v>3932</v>
      </c>
      <c r="H857" s="11" t="s">
        <v>1006</v>
      </c>
      <c r="I857" s="12" t="s">
        <v>3930</v>
      </c>
      <c r="J857" s="11" t="s">
        <v>2805</v>
      </c>
      <c r="K857" s="10"/>
      <c r="L857" s="10"/>
    </row>
    <row r="858" spans="1:12" x14ac:dyDescent="0.25">
      <c r="A858" s="21" t="s">
        <v>3962</v>
      </c>
      <c r="B858" s="12" t="s">
        <v>1357</v>
      </c>
      <c r="C858" s="11" t="s">
        <v>2805</v>
      </c>
      <c r="D858" s="13" t="s">
        <v>1358</v>
      </c>
      <c r="E858" s="11" t="s">
        <v>2163</v>
      </c>
      <c r="F858" s="21" t="s">
        <v>1359</v>
      </c>
      <c r="G858" s="11" t="s">
        <v>1360</v>
      </c>
      <c r="H858" s="11" t="s">
        <v>1006</v>
      </c>
      <c r="I858" s="12" t="s">
        <v>1357</v>
      </c>
      <c r="J858" s="11" t="s">
        <v>2805</v>
      </c>
      <c r="K858" s="10"/>
      <c r="L858" s="10"/>
    </row>
    <row r="859" spans="1:12" x14ac:dyDescent="0.25">
      <c r="A859" s="21" t="s">
        <v>3933</v>
      </c>
      <c r="B859" s="12" t="s">
        <v>3934</v>
      </c>
      <c r="C859" s="11" t="s">
        <v>2805</v>
      </c>
      <c r="D859" s="13" t="s">
        <v>3935</v>
      </c>
      <c r="E859" s="11">
        <v>50</v>
      </c>
      <c r="F859" s="21" t="s">
        <v>3936</v>
      </c>
      <c r="G859" s="11" t="s">
        <v>3934</v>
      </c>
      <c r="H859" s="11" t="s">
        <v>1006</v>
      </c>
      <c r="I859" s="12" t="s">
        <v>3934</v>
      </c>
      <c r="J859" s="11" t="s">
        <v>2805</v>
      </c>
      <c r="K859" s="10"/>
      <c r="L859" s="10"/>
    </row>
    <row r="860" spans="1:12" x14ac:dyDescent="0.25">
      <c r="A860" s="21" t="s">
        <v>3937</v>
      </c>
      <c r="B860" s="12" t="s">
        <v>3938</v>
      </c>
      <c r="C860" s="11" t="s">
        <v>2805</v>
      </c>
      <c r="D860" s="13" t="s">
        <v>255</v>
      </c>
      <c r="E860" s="11">
        <v>1200</v>
      </c>
      <c r="F860" s="21" t="s">
        <v>3939</v>
      </c>
      <c r="G860" s="11" t="s">
        <v>3938</v>
      </c>
      <c r="H860" s="11" t="s">
        <v>1006</v>
      </c>
      <c r="I860" s="12" t="s">
        <v>3938</v>
      </c>
      <c r="J860" s="11" t="s">
        <v>2805</v>
      </c>
      <c r="K860" s="10"/>
      <c r="L860" s="10"/>
    </row>
    <row r="861" spans="1:12" x14ac:dyDescent="0.25">
      <c r="A861" s="21" t="s">
        <v>1385</v>
      </c>
      <c r="B861" s="12" t="s">
        <v>234</v>
      </c>
      <c r="C861" s="11" t="s">
        <v>2805</v>
      </c>
      <c r="D861" s="13" t="s">
        <v>234</v>
      </c>
      <c r="E861" s="11">
        <v>13</v>
      </c>
      <c r="F861" s="21" t="s">
        <v>1386</v>
      </c>
      <c r="G861" s="11" t="s">
        <v>1006</v>
      </c>
      <c r="H861" s="11" t="s">
        <v>1006</v>
      </c>
      <c r="I861" s="12" t="s">
        <v>234</v>
      </c>
      <c r="J861" s="11" t="s">
        <v>2805</v>
      </c>
      <c r="K861" s="10"/>
      <c r="L861" s="10"/>
    </row>
    <row r="862" spans="1:12" x14ac:dyDescent="0.25">
      <c r="A862" s="21" t="s">
        <v>3905</v>
      </c>
      <c r="B862" s="12" t="s">
        <v>1006</v>
      </c>
      <c r="C862" s="11" t="s">
        <v>2800</v>
      </c>
      <c r="D862" s="13" t="s">
        <v>4718</v>
      </c>
      <c r="E862" s="11">
        <v>258</v>
      </c>
      <c r="F862" s="21" t="s">
        <v>3906</v>
      </c>
      <c r="G862" s="11" t="s">
        <v>1006</v>
      </c>
      <c r="H862" s="11" t="s">
        <v>1006</v>
      </c>
      <c r="I862" s="12" t="s">
        <v>1006</v>
      </c>
      <c r="J862" s="11" t="s">
        <v>2800</v>
      </c>
      <c r="K862" s="10"/>
      <c r="L862" s="10"/>
    </row>
    <row r="863" spans="1:12" x14ac:dyDescent="0.25">
      <c r="A863" s="21" t="s">
        <v>1387</v>
      </c>
      <c r="B863" s="12" t="s">
        <v>1388</v>
      </c>
      <c r="C863" s="11" t="s">
        <v>2805</v>
      </c>
      <c r="D863" s="13" t="s">
        <v>1389</v>
      </c>
      <c r="E863" s="11">
        <v>2247</v>
      </c>
      <c r="F863" s="21" t="s">
        <v>1390</v>
      </c>
      <c r="G863" s="11" t="s">
        <v>1006</v>
      </c>
      <c r="H863" s="11" t="s">
        <v>1006</v>
      </c>
      <c r="I863" s="12" t="s">
        <v>1388</v>
      </c>
      <c r="J863" s="11" t="s">
        <v>2805</v>
      </c>
      <c r="K863" s="10"/>
      <c r="L863" s="10"/>
    </row>
    <row r="864" spans="1:12" x14ac:dyDescent="0.25">
      <c r="A864" s="21" t="s">
        <v>3940</v>
      </c>
      <c r="B864" s="12" t="s">
        <v>3941</v>
      </c>
      <c r="C864" s="11" t="s">
        <v>2805</v>
      </c>
      <c r="D864" s="13" t="s">
        <v>3942</v>
      </c>
      <c r="E864" s="11">
        <v>0</v>
      </c>
      <c r="F864" s="21" t="s">
        <v>3943</v>
      </c>
      <c r="G864" s="11" t="s">
        <v>3941</v>
      </c>
      <c r="H864" s="11" t="s">
        <v>1006</v>
      </c>
      <c r="I864" s="12" t="s">
        <v>3941</v>
      </c>
      <c r="J864" s="11" t="s">
        <v>2805</v>
      </c>
      <c r="K864" s="10"/>
      <c r="L864" s="10"/>
    </row>
    <row r="865" spans="1:12" x14ac:dyDescent="0.25">
      <c r="A865" s="21" t="s">
        <v>3944</v>
      </c>
      <c r="B865" s="12" t="s">
        <v>3945</v>
      </c>
      <c r="C865" s="11" t="s">
        <v>2805</v>
      </c>
      <c r="D865" s="13" t="s">
        <v>2226</v>
      </c>
      <c r="E865" s="11">
        <v>259</v>
      </c>
      <c r="F865" s="21" t="s">
        <v>3946</v>
      </c>
      <c r="G865" s="11" t="s">
        <v>3945</v>
      </c>
      <c r="H865" s="11" t="s">
        <v>1006</v>
      </c>
      <c r="I865" s="12" t="s">
        <v>3945</v>
      </c>
      <c r="J865" s="11" t="s">
        <v>2805</v>
      </c>
      <c r="K865" s="10"/>
      <c r="L865" s="10"/>
    </row>
    <row r="866" spans="1:12" x14ac:dyDescent="0.25">
      <c r="A866" s="21" t="s">
        <v>3947</v>
      </c>
      <c r="B866" s="12" t="s">
        <v>3948</v>
      </c>
      <c r="C866" s="11" t="s">
        <v>2805</v>
      </c>
      <c r="D866" s="13" t="s">
        <v>3949</v>
      </c>
      <c r="E866" s="11">
        <v>905</v>
      </c>
      <c r="F866" s="21" t="s">
        <v>3950</v>
      </c>
      <c r="G866" s="11" t="s">
        <v>3948</v>
      </c>
      <c r="H866" s="11" t="s">
        <v>1006</v>
      </c>
      <c r="I866" s="12" t="s">
        <v>3948</v>
      </c>
      <c r="J866" s="11" t="s">
        <v>2805</v>
      </c>
      <c r="K866" s="10"/>
      <c r="L866" s="10"/>
    </row>
    <row r="867" spans="1:12" x14ac:dyDescent="0.25">
      <c r="A867" s="21" t="s">
        <v>3951</v>
      </c>
      <c r="B867" s="12" t="s">
        <v>3952</v>
      </c>
      <c r="C867" s="11" t="s">
        <v>2805</v>
      </c>
      <c r="D867" s="13" t="s">
        <v>3953</v>
      </c>
      <c r="E867" s="11">
        <v>100</v>
      </c>
      <c r="F867" s="21" t="s">
        <v>3954</v>
      </c>
      <c r="G867" s="11" t="s">
        <v>3952</v>
      </c>
      <c r="H867" s="11" t="s">
        <v>1006</v>
      </c>
      <c r="I867" s="12" t="s">
        <v>3952</v>
      </c>
      <c r="J867" s="11" t="s">
        <v>2805</v>
      </c>
      <c r="K867" s="10"/>
      <c r="L867" s="10"/>
    </row>
    <row r="868" spans="1:12" x14ac:dyDescent="0.25">
      <c r="A868" s="21" t="s">
        <v>3955</v>
      </c>
      <c r="B868" s="12" t="s">
        <v>3956</v>
      </c>
      <c r="C868" s="11" t="s">
        <v>2805</v>
      </c>
      <c r="D868" s="13" t="s">
        <v>255</v>
      </c>
      <c r="E868" s="11">
        <v>241</v>
      </c>
      <c r="F868" s="21" t="s">
        <v>3957</v>
      </c>
      <c r="G868" s="11" t="s">
        <v>3956</v>
      </c>
      <c r="H868" s="11" t="s">
        <v>1006</v>
      </c>
      <c r="I868" s="12" t="s">
        <v>3956</v>
      </c>
      <c r="J868" s="11" t="s">
        <v>2805</v>
      </c>
      <c r="K868" s="10"/>
      <c r="L868" s="10"/>
    </row>
    <row r="869" spans="1:12" x14ac:dyDescent="0.25">
      <c r="A869" s="21" t="s">
        <v>3958</v>
      </c>
      <c r="B869" s="12" t="s">
        <v>3959</v>
      </c>
      <c r="C869" s="11" t="s">
        <v>2805</v>
      </c>
      <c r="D869" s="13" t="s">
        <v>3960</v>
      </c>
      <c r="E869" s="11" t="s">
        <v>2163</v>
      </c>
      <c r="F869" s="21" t="s">
        <v>3961</v>
      </c>
      <c r="G869" s="11" t="s">
        <v>3959</v>
      </c>
      <c r="H869" s="11" t="s">
        <v>1006</v>
      </c>
      <c r="I869" s="12" t="s">
        <v>3959</v>
      </c>
      <c r="J869" s="11" t="s">
        <v>2805</v>
      </c>
      <c r="K869" s="10"/>
      <c r="L869" s="10"/>
    </row>
    <row r="870" spans="1:12" x14ac:dyDescent="0.25">
      <c r="A870" s="21" t="s">
        <v>1361</v>
      </c>
      <c r="B870" s="12" t="s">
        <v>1362</v>
      </c>
      <c r="C870" s="11" t="s">
        <v>2805</v>
      </c>
      <c r="D870" s="13" t="s">
        <v>2226</v>
      </c>
      <c r="E870" s="11">
        <v>10</v>
      </c>
      <c r="F870" s="21" t="s">
        <v>1363</v>
      </c>
      <c r="G870" s="11" t="s">
        <v>1362</v>
      </c>
      <c r="H870" s="11" t="s">
        <v>1006</v>
      </c>
      <c r="I870" s="12" t="s">
        <v>1362</v>
      </c>
      <c r="J870" s="11" t="s">
        <v>2805</v>
      </c>
      <c r="K870" s="10"/>
      <c r="L870" s="10"/>
    </row>
    <row r="871" spans="1:12" x14ac:dyDescent="0.25">
      <c r="A871" s="21" t="s">
        <v>1364</v>
      </c>
      <c r="B871" s="12" t="s">
        <v>1365</v>
      </c>
      <c r="C871" s="11" t="s">
        <v>2805</v>
      </c>
      <c r="D871" s="13" t="s">
        <v>247</v>
      </c>
      <c r="E871" s="11">
        <v>150</v>
      </c>
      <c r="F871" s="21" t="s">
        <v>1366</v>
      </c>
      <c r="G871" s="11" t="s">
        <v>1365</v>
      </c>
      <c r="H871" s="11" t="s">
        <v>1006</v>
      </c>
      <c r="I871" s="12" t="s">
        <v>1365</v>
      </c>
      <c r="J871" s="11" t="s">
        <v>2805</v>
      </c>
      <c r="K871" s="10"/>
      <c r="L871" s="10"/>
    </row>
    <row r="872" spans="1:12" x14ac:dyDescent="0.25">
      <c r="A872" s="21" t="s">
        <v>1367</v>
      </c>
      <c r="B872" s="12" t="s">
        <v>1368</v>
      </c>
      <c r="C872" s="11" t="s">
        <v>2805</v>
      </c>
      <c r="D872" s="13" t="s">
        <v>1369</v>
      </c>
      <c r="E872" s="11">
        <v>0</v>
      </c>
      <c r="F872" s="21" t="s">
        <v>1370</v>
      </c>
      <c r="G872" s="11" t="s">
        <v>1368</v>
      </c>
      <c r="H872" s="11" t="s">
        <v>1006</v>
      </c>
      <c r="I872" s="12" t="s">
        <v>1368</v>
      </c>
      <c r="J872" s="11" t="s">
        <v>2805</v>
      </c>
      <c r="K872" s="10"/>
      <c r="L872" s="10"/>
    </row>
    <row r="873" spans="1:12" x14ac:dyDescent="0.25">
      <c r="A873" s="21" t="s">
        <v>1371</v>
      </c>
      <c r="B873" s="12" t="s">
        <v>1372</v>
      </c>
      <c r="C873" s="11" t="s">
        <v>2805</v>
      </c>
      <c r="D873" s="13" t="s">
        <v>4438</v>
      </c>
      <c r="E873" s="11">
        <v>0</v>
      </c>
      <c r="F873" s="21" t="s">
        <v>1373</v>
      </c>
      <c r="G873" s="11" t="s">
        <v>1372</v>
      </c>
      <c r="H873" s="11" t="s">
        <v>1006</v>
      </c>
      <c r="I873" s="12" t="s">
        <v>1372</v>
      </c>
      <c r="J873" s="11" t="s">
        <v>2805</v>
      </c>
      <c r="K873" s="10"/>
      <c r="L873" s="10"/>
    </row>
    <row r="874" spans="1:12" x14ac:dyDescent="0.25">
      <c r="A874" s="21" t="s">
        <v>1374</v>
      </c>
      <c r="B874" s="12" t="s">
        <v>1375</v>
      </c>
      <c r="C874" s="11" t="s">
        <v>2805</v>
      </c>
      <c r="D874" s="13" t="s">
        <v>4438</v>
      </c>
      <c r="E874" s="11">
        <v>0</v>
      </c>
      <c r="F874" s="21" t="s">
        <v>1376</v>
      </c>
      <c r="G874" s="11" t="s">
        <v>1377</v>
      </c>
      <c r="H874" s="11" t="s">
        <v>1006</v>
      </c>
      <c r="I874" s="12" t="s">
        <v>1375</v>
      </c>
      <c r="J874" s="11" t="s">
        <v>2805</v>
      </c>
      <c r="K874" s="10"/>
      <c r="L874" s="10"/>
    </row>
    <row r="875" spans="1:12" x14ac:dyDescent="0.25">
      <c r="A875" s="21" t="s">
        <v>1378</v>
      </c>
      <c r="B875" s="12" t="s">
        <v>1379</v>
      </c>
      <c r="C875" s="11" t="s">
        <v>2805</v>
      </c>
      <c r="D875" s="13" t="s">
        <v>1380</v>
      </c>
      <c r="E875" s="11">
        <v>119</v>
      </c>
      <c r="F875" s="21" t="s">
        <v>1381</v>
      </c>
      <c r="G875" s="11" t="s">
        <v>1379</v>
      </c>
      <c r="H875" s="11" t="s">
        <v>1006</v>
      </c>
      <c r="I875" s="12" t="s">
        <v>1379</v>
      </c>
      <c r="J875" s="11" t="s">
        <v>2805</v>
      </c>
      <c r="K875" s="10"/>
      <c r="L875" s="10"/>
    </row>
    <row r="876" spans="1:12" x14ac:dyDescent="0.25">
      <c r="A876" s="21" t="s">
        <v>1382</v>
      </c>
      <c r="B876" s="12" t="s">
        <v>1383</v>
      </c>
      <c r="C876" s="11" t="s">
        <v>2805</v>
      </c>
      <c r="D876" s="13" t="s">
        <v>247</v>
      </c>
      <c r="E876" s="11">
        <v>0</v>
      </c>
      <c r="F876" s="21" t="s">
        <v>1384</v>
      </c>
      <c r="G876" s="11" t="s">
        <v>1383</v>
      </c>
      <c r="H876" s="11" t="s">
        <v>1006</v>
      </c>
      <c r="I876" s="12" t="s">
        <v>1383</v>
      </c>
      <c r="J876" s="11" t="s">
        <v>2805</v>
      </c>
      <c r="K876" s="10"/>
      <c r="L876" s="10"/>
    </row>
    <row r="877" spans="1:12" x14ac:dyDescent="0.25">
      <c r="A877" s="21" t="s">
        <v>192</v>
      </c>
      <c r="B877" s="12" t="s">
        <v>193</v>
      </c>
      <c r="C877" s="11" t="s">
        <v>2805</v>
      </c>
      <c r="D877" s="13" t="s">
        <v>194</v>
      </c>
      <c r="E877" s="11">
        <v>3600</v>
      </c>
      <c r="F877" s="21" t="s">
        <v>195</v>
      </c>
      <c r="G877" s="11" t="s">
        <v>193</v>
      </c>
      <c r="H877" s="11" t="s">
        <v>2778</v>
      </c>
      <c r="I877" s="12" t="s">
        <v>193</v>
      </c>
      <c r="J877" s="11" t="s">
        <v>2805</v>
      </c>
      <c r="K877" s="10"/>
      <c r="L877" s="10"/>
    </row>
    <row r="878" spans="1:12" x14ac:dyDescent="0.25">
      <c r="A878" s="21" t="s">
        <v>196</v>
      </c>
      <c r="B878" s="12" t="s">
        <v>197</v>
      </c>
      <c r="C878" s="11" t="s">
        <v>2805</v>
      </c>
      <c r="D878" s="13" t="s">
        <v>4162</v>
      </c>
      <c r="E878" s="11">
        <v>378</v>
      </c>
      <c r="F878" s="21" t="s">
        <v>198</v>
      </c>
      <c r="G878" s="11" t="s">
        <v>197</v>
      </c>
      <c r="H878" s="11" t="s">
        <v>2778</v>
      </c>
      <c r="I878" s="12" t="s">
        <v>197</v>
      </c>
      <c r="J878" s="11" t="s">
        <v>2805</v>
      </c>
      <c r="K878" s="10"/>
      <c r="L878" s="10"/>
    </row>
    <row r="879" spans="1:12" x14ac:dyDescent="0.25">
      <c r="A879" s="21" t="s">
        <v>203</v>
      </c>
      <c r="B879" s="12" t="s">
        <v>204</v>
      </c>
      <c r="C879" s="11" t="s">
        <v>2805</v>
      </c>
      <c r="D879" s="13" t="s">
        <v>205</v>
      </c>
      <c r="E879" s="11">
        <v>0</v>
      </c>
      <c r="F879" s="21" t="s">
        <v>206</v>
      </c>
      <c r="G879" s="11" t="s">
        <v>207</v>
      </c>
      <c r="H879" s="11" t="s">
        <v>2778</v>
      </c>
      <c r="I879" s="12" t="s">
        <v>204</v>
      </c>
      <c r="J879" s="11" t="s">
        <v>2805</v>
      </c>
      <c r="K879" s="10"/>
      <c r="L879" s="10"/>
    </row>
    <row r="880" spans="1:12" x14ac:dyDescent="0.25">
      <c r="A880" s="21" t="s">
        <v>208</v>
      </c>
      <c r="B880" s="12" t="s">
        <v>209</v>
      </c>
      <c r="C880" s="11" t="s">
        <v>2805</v>
      </c>
      <c r="D880" s="13" t="s">
        <v>210</v>
      </c>
      <c r="E880" s="11">
        <v>10</v>
      </c>
      <c r="F880" s="21" t="s">
        <v>211</v>
      </c>
      <c r="G880" s="11" t="s">
        <v>209</v>
      </c>
      <c r="H880" s="11" t="s">
        <v>2778</v>
      </c>
      <c r="I880" s="12" t="s">
        <v>209</v>
      </c>
      <c r="J880" s="11" t="s">
        <v>2805</v>
      </c>
      <c r="K880" s="10"/>
      <c r="L880" s="10"/>
    </row>
    <row r="881" spans="1:12" x14ac:dyDescent="0.25">
      <c r="A881" s="21" t="s">
        <v>199</v>
      </c>
      <c r="B881" s="12" t="s">
        <v>200</v>
      </c>
      <c r="C881" s="11" t="s">
        <v>2805</v>
      </c>
      <c r="D881" s="13" t="s">
        <v>2335</v>
      </c>
      <c r="E881" s="11">
        <v>527</v>
      </c>
      <c r="F881" s="21" t="s">
        <v>201</v>
      </c>
      <c r="G881" s="11" t="s">
        <v>202</v>
      </c>
      <c r="H881" s="11" t="s">
        <v>2778</v>
      </c>
      <c r="I881" s="12" t="s">
        <v>200</v>
      </c>
      <c r="J881" s="11" t="s">
        <v>2805</v>
      </c>
      <c r="K881" s="10"/>
      <c r="L881" s="10"/>
    </row>
    <row r="882" spans="1:12" x14ac:dyDescent="0.25">
      <c r="A882" s="21" t="s">
        <v>212</v>
      </c>
      <c r="B882" s="12" t="s">
        <v>213</v>
      </c>
      <c r="C882" s="11" t="s">
        <v>2805</v>
      </c>
      <c r="D882" s="13" t="s">
        <v>214</v>
      </c>
      <c r="E882" s="11">
        <v>1337</v>
      </c>
      <c r="F882" s="21" t="s">
        <v>215</v>
      </c>
      <c r="G882" s="11" t="s">
        <v>216</v>
      </c>
      <c r="H882" s="11" t="s">
        <v>2778</v>
      </c>
      <c r="I882" s="12" t="s">
        <v>213</v>
      </c>
      <c r="J882" s="11" t="s">
        <v>2805</v>
      </c>
      <c r="K882" s="10"/>
      <c r="L882" s="10"/>
    </row>
    <row r="883" spans="1:12" x14ac:dyDescent="0.25">
      <c r="A883" s="21" t="s">
        <v>217</v>
      </c>
      <c r="B883" s="12" t="s">
        <v>218</v>
      </c>
      <c r="C883" s="11" t="s">
        <v>2805</v>
      </c>
      <c r="D883" s="13" t="s">
        <v>3076</v>
      </c>
      <c r="E883" s="11">
        <v>198</v>
      </c>
      <c r="F883" s="21" t="s">
        <v>219</v>
      </c>
      <c r="G883" s="11" t="s">
        <v>220</v>
      </c>
      <c r="H883" s="11" t="s">
        <v>2778</v>
      </c>
      <c r="I883" s="12" t="s">
        <v>218</v>
      </c>
      <c r="J883" s="11" t="s">
        <v>2805</v>
      </c>
      <c r="K883" s="10"/>
      <c r="L883" s="10"/>
    </row>
    <row r="884" spans="1:12" x14ac:dyDescent="0.25">
      <c r="A884" s="21" t="s">
        <v>188</v>
      </c>
      <c r="B884" s="12" t="s">
        <v>189</v>
      </c>
      <c r="C884" s="11" t="s">
        <v>2805</v>
      </c>
      <c r="D884" s="13" t="s">
        <v>190</v>
      </c>
      <c r="E884" s="11">
        <v>861</v>
      </c>
      <c r="F884" s="21" t="s">
        <v>191</v>
      </c>
      <c r="G884" s="11" t="s">
        <v>4350</v>
      </c>
      <c r="H884" s="11" t="s">
        <v>2778</v>
      </c>
      <c r="I884" s="12" t="s">
        <v>189</v>
      </c>
      <c r="J884" s="11" t="s">
        <v>2805</v>
      </c>
      <c r="K884" s="10"/>
      <c r="L884" s="10"/>
    </row>
    <row r="885" spans="1:12" x14ac:dyDescent="0.25">
      <c r="A885" s="21" t="s">
        <v>221</v>
      </c>
      <c r="B885" s="12" t="s">
        <v>222</v>
      </c>
      <c r="C885" s="11" t="s">
        <v>2805</v>
      </c>
      <c r="D885" s="13" t="s">
        <v>223</v>
      </c>
      <c r="E885" s="11">
        <v>327</v>
      </c>
      <c r="F885" s="21" t="s">
        <v>224</v>
      </c>
      <c r="G885" s="11" t="s">
        <v>225</v>
      </c>
      <c r="H885" s="11" t="s">
        <v>2778</v>
      </c>
      <c r="I885" s="12" t="s">
        <v>222</v>
      </c>
      <c r="J885" s="11" t="s">
        <v>2805</v>
      </c>
      <c r="K885" s="10"/>
      <c r="L885" s="10"/>
    </row>
    <row r="886" spans="1:12" x14ac:dyDescent="0.25">
      <c r="A886" s="21" t="s">
        <v>226</v>
      </c>
      <c r="B886" s="12" t="s">
        <v>227</v>
      </c>
      <c r="C886" s="11" t="s">
        <v>2805</v>
      </c>
      <c r="D886" s="13" t="s">
        <v>84</v>
      </c>
      <c r="E886" s="11">
        <v>590</v>
      </c>
      <c r="F886" s="21" t="s">
        <v>228</v>
      </c>
      <c r="G886" s="11" t="s">
        <v>229</v>
      </c>
      <c r="H886" s="11" t="s">
        <v>2778</v>
      </c>
      <c r="I886" s="12" t="s">
        <v>227</v>
      </c>
      <c r="J886" s="11" t="s">
        <v>2805</v>
      </c>
      <c r="K886" s="10"/>
      <c r="L886" s="10"/>
    </row>
    <row r="887" spans="1:12" x14ac:dyDescent="0.25">
      <c r="A887" s="21" t="s">
        <v>126</v>
      </c>
      <c r="B887" s="12" t="s">
        <v>127</v>
      </c>
      <c r="C887" s="11" t="s">
        <v>2805</v>
      </c>
      <c r="D887" s="13" t="s">
        <v>128</v>
      </c>
      <c r="E887" s="11">
        <v>20</v>
      </c>
      <c r="F887" s="21" t="s">
        <v>129</v>
      </c>
      <c r="G887" s="11" t="s">
        <v>4368</v>
      </c>
      <c r="H887" s="11" t="s">
        <v>2778</v>
      </c>
      <c r="I887" s="12" t="s">
        <v>127</v>
      </c>
      <c r="J887" s="11" t="s">
        <v>2805</v>
      </c>
      <c r="K887" s="10"/>
      <c r="L887" s="10"/>
    </row>
    <row r="888" spans="1:12" x14ac:dyDescent="0.25">
      <c r="A888" s="21" t="s">
        <v>132</v>
      </c>
      <c r="B888" s="12" t="s">
        <v>133</v>
      </c>
      <c r="C888" s="11" t="s">
        <v>2800</v>
      </c>
      <c r="D888" s="13" t="s">
        <v>134</v>
      </c>
      <c r="E888" s="11">
        <v>50</v>
      </c>
      <c r="F888" s="21" t="s">
        <v>135</v>
      </c>
      <c r="G888" s="11" t="s">
        <v>133</v>
      </c>
      <c r="H888" s="11" t="s">
        <v>2778</v>
      </c>
      <c r="I888" s="12" t="s">
        <v>133</v>
      </c>
      <c r="J888" s="11" t="s">
        <v>2800</v>
      </c>
      <c r="K888" s="10"/>
      <c r="L888" s="10"/>
    </row>
    <row r="889" spans="1:12" x14ac:dyDescent="0.25">
      <c r="A889" s="21" t="s">
        <v>136</v>
      </c>
      <c r="B889" s="12" t="s">
        <v>137</v>
      </c>
      <c r="C889" s="11" t="s">
        <v>2805</v>
      </c>
      <c r="D889" s="13" t="s">
        <v>138</v>
      </c>
      <c r="E889" s="11">
        <v>0</v>
      </c>
      <c r="F889" s="21" t="s">
        <v>139</v>
      </c>
      <c r="G889" s="11" t="s">
        <v>140</v>
      </c>
      <c r="H889" s="11" t="s">
        <v>2778</v>
      </c>
      <c r="I889" s="12" t="s">
        <v>137</v>
      </c>
      <c r="J889" s="11" t="s">
        <v>2805</v>
      </c>
      <c r="K889" s="10"/>
      <c r="L889" s="10"/>
    </row>
    <row r="890" spans="1:12" x14ac:dyDescent="0.25">
      <c r="A890" s="21" t="s">
        <v>1051</v>
      </c>
      <c r="B890" s="12" t="s">
        <v>1052</v>
      </c>
      <c r="C890" s="11" t="s">
        <v>2805</v>
      </c>
      <c r="D890" s="13" t="s">
        <v>4438</v>
      </c>
      <c r="E890" s="11">
        <v>93</v>
      </c>
      <c r="F890" s="21" t="s">
        <v>1053</v>
      </c>
      <c r="G890" s="11" t="s">
        <v>2683</v>
      </c>
      <c r="H890" s="11" t="s">
        <v>2778</v>
      </c>
      <c r="I890" s="12" t="s">
        <v>1052</v>
      </c>
      <c r="J890" s="11" t="s">
        <v>2805</v>
      </c>
      <c r="K890" s="10"/>
      <c r="L890" s="10"/>
    </row>
    <row r="891" spans="1:12" x14ac:dyDescent="0.25">
      <c r="A891" s="21" t="s">
        <v>141</v>
      </c>
      <c r="B891" s="12" t="s">
        <v>142</v>
      </c>
      <c r="C891" s="11" t="s">
        <v>2805</v>
      </c>
      <c r="D891" s="13" t="s">
        <v>255</v>
      </c>
      <c r="E891" s="11">
        <v>410</v>
      </c>
      <c r="F891" s="21" t="s">
        <v>143</v>
      </c>
      <c r="G891" s="11" t="s">
        <v>142</v>
      </c>
      <c r="H891" s="11" t="s">
        <v>2778</v>
      </c>
      <c r="I891" s="12" t="s">
        <v>142</v>
      </c>
      <c r="J891" s="11" t="s">
        <v>2805</v>
      </c>
      <c r="K891" s="10"/>
      <c r="L891" s="10"/>
    </row>
    <row r="892" spans="1:12" x14ac:dyDescent="0.25">
      <c r="A892" s="21" t="s">
        <v>144</v>
      </c>
      <c r="B892" s="12" t="s">
        <v>145</v>
      </c>
      <c r="C892" s="11" t="s">
        <v>2805</v>
      </c>
      <c r="D892" s="13" t="s">
        <v>2692</v>
      </c>
      <c r="E892" s="11">
        <v>76</v>
      </c>
      <c r="F892" s="21" t="s">
        <v>2693</v>
      </c>
      <c r="G892" s="11" t="s">
        <v>145</v>
      </c>
      <c r="H892" s="11" t="s">
        <v>2778</v>
      </c>
      <c r="I892" s="12" t="s">
        <v>145</v>
      </c>
      <c r="J892" s="11" t="s">
        <v>2805</v>
      </c>
      <c r="K892" s="10"/>
      <c r="L892" s="10"/>
    </row>
    <row r="893" spans="1:12" x14ac:dyDescent="0.25">
      <c r="A893" s="21" t="s">
        <v>2694</v>
      </c>
      <c r="B893" s="12" t="s">
        <v>346</v>
      </c>
      <c r="C893" s="11" t="s">
        <v>2805</v>
      </c>
      <c r="D893" s="13" t="s">
        <v>4646</v>
      </c>
      <c r="E893" s="11">
        <v>200</v>
      </c>
      <c r="F893" s="21" t="s">
        <v>2695</v>
      </c>
      <c r="G893" s="11" t="s">
        <v>346</v>
      </c>
      <c r="H893" s="11" t="s">
        <v>2778</v>
      </c>
      <c r="I893" s="12" t="s">
        <v>346</v>
      </c>
      <c r="J893" s="11" t="s">
        <v>2805</v>
      </c>
      <c r="K893" s="10"/>
      <c r="L893" s="10"/>
    </row>
    <row r="894" spans="1:12" x14ac:dyDescent="0.25">
      <c r="A894" s="21" t="s">
        <v>2696</v>
      </c>
      <c r="B894" s="12" t="s">
        <v>2697</v>
      </c>
      <c r="C894" s="11" t="s">
        <v>2805</v>
      </c>
      <c r="D894" s="13" t="s">
        <v>2698</v>
      </c>
      <c r="E894" s="11">
        <v>256</v>
      </c>
      <c r="F894" s="21" t="s">
        <v>2699</v>
      </c>
      <c r="G894" s="11" t="s">
        <v>2697</v>
      </c>
      <c r="H894" s="11" t="s">
        <v>2778</v>
      </c>
      <c r="I894" s="12" t="s">
        <v>2697</v>
      </c>
      <c r="J894" s="11" t="s">
        <v>2805</v>
      </c>
      <c r="K894" s="10"/>
      <c r="L894" s="10"/>
    </row>
    <row r="895" spans="1:12" x14ac:dyDescent="0.25">
      <c r="A895" s="21" t="s">
        <v>2700</v>
      </c>
      <c r="B895" s="12" t="s">
        <v>4399</v>
      </c>
      <c r="C895" s="11" t="s">
        <v>2805</v>
      </c>
      <c r="D895" s="13" t="s">
        <v>4438</v>
      </c>
      <c r="E895" s="11">
        <v>1494</v>
      </c>
      <c r="F895" s="21" t="s">
        <v>2701</v>
      </c>
      <c r="G895" s="11" t="s">
        <v>4399</v>
      </c>
      <c r="H895" s="11" t="s">
        <v>2778</v>
      </c>
      <c r="I895" s="12" t="s">
        <v>4399</v>
      </c>
      <c r="J895" s="11" t="s">
        <v>2805</v>
      </c>
      <c r="K895" s="10"/>
      <c r="L895" s="10"/>
    </row>
    <row r="896" spans="1:12" x14ac:dyDescent="0.25">
      <c r="A896" s="21" t="s">
        <v>2706</v>
      </c>
      <c r="B896" s="12" t="s">
        <v>2707</v>
      </c>
      <c r="C896" s="11" t="s">
        <v>2800</v>
      </c>
      <c r="D896" s="13" t="s">
        <v>4458</v>
      </c>
      <c r="E896" s="11">
        <v>18</v>
      </c>
      <c r="F896" s="21" t="s">
        <v>2708</v>
      </c>
      <c r="G896" s="11" t="s">
        <v>2707</v>
      </c>
      <c r="H896" s="11" t="s">
        <v>2778</v>
      </c>
      <c r="I896" s="12" t="s">
        <v>2707</v>
      </c>
      <c r="J896" s="11" t="s">
        <v>2800</v>
      </c>
      <c r="K896" s="10"/>
      <c r="L896" s="10"/>
    </row>
    <row r="897" spans="1:12" x14ac:dyDescent="0.25">
      <c r="A897" s="21" t="s">
        <v>2709</v>
      </c>
      <c r="B897" s="12" t="s">
        <v>4731</v>
      </c>
      <c r="C897" s="11" t="s">
        <v>2800</v>
      </c>
      <c r="D897" s="13" t="s">
        <v>255</v>
      </c>
      <c r="E897" s="11">
        <v>335</v>
      </c>
      <c r="F897" s="21" t="s">
        <v>2710</v>
      </c>
      <c r="G897" s="11" t="s">
        <v>4731</v>
      </c>
      <c r="H897" s="11" t="s">
        <v>2778</v>
      </c>
      <c r="I897" s="12" t="s">
        <v>4731</v>
      </c>
      <c r="J897" s="11" t="s">
        <v>2800</v>
      </c>
      <c r="K897" s="10"/>
      <c r="L897" s="10"/>
    </row>
    <row r="898" spans="1:12" x14ac:dyDescent="0.25">
      <c r="A898" s="21" t="s">
        <v>2711</v>
      </c>
      <c r="B898" s="12" t="s">
        <v>2712</v>
      </c>
      <c r="C898" s="11" t="s">
        <v>2805</v>
      </c>
      <c r="D898" s="13" t="s">
        <v>2713</v>
      </c>
      <c r="E898" s="11">
        <v>102</v>
      </c>
      <c r="F898" s="21" t="s">
        <v>2714</v>
      </c>
      <c r="G898" s="11" t="s">
        <v>2715</v>
      </c>
      <c r="H898" s="11" t="s">
        <v>2778</v>
      </c>
      <c r="I898" s="12" t="s">
        <v>2712</v>
      </c>
      <c r="J898" s="11" t="s">
        <v>2805</v>
      </c>
      <c r="K898" s="10"/>
      <c r="L898" s="10"/>
    </row>
    <row r="899" spans="1:12" x14ac:dyDescent="0.25">
      <c r="A899" s="21" t="s">
        <v>2716</v>
      </c>
      <c r="B899" s="12" t="s">
        <v>868</v>
      </c>
      <c r="C899" s="11" t="s">
        <v>2805</v>
      </c>
      <c r="D899" s="13" t="s">
        <v>1479</v>
      </c>
      <c r="E899" s="11">
        <v>0</v>
      </c>
      <c r="F899" s="21" t="s">
        <v>2717</v>
      </c>
      <c r="G899" s="11" t="s">
        <v>868</v>
      </c>
      <c r="H899" s="11" t="s">
        <v>2778</v>
      </c>
      <c r="I899" s="12" t="s">
        <v>868</v>
      </c>
      <c r="J899" s="11" t="s">
        <v>2805</v>
      </c>
      <c r="K899" s="10"/>
      <c r="L899" s="10"/>
    </row>
    <row r="900" spans="1:12" x14ac:dyDescent="0.25">
      <c r="A900" s="21" t="s">
        <v>183</v>
      </c>
      <c r="B900" s="12" t="s">
        <v>2778</v>
      </c>
      <c r="C900" s="11" t="s">
        <v>2800</v>
      </c>
      <c r="D900" s="13" t="s">
        <v>255</v>
      </c>
      <c r="E900" s="11">
        <v>678</v>
      </c>
      <c r="F900" s="21" t="s">
        <v>2777</v>
      </c>
      <c r="G900" s="11" t="s">
        <v>2778</v>
      </c>
      <c r="H900" s="11" t="s">
        <v>2778</v>
      </c>
      <c r="I900" s="12" t="s">
        <v>2778</v>
      </c>
      <c r="J900" s="11" t="s">
        <v>2800</v>
      </c>
      <c r="K900" s="10"/>
      <c r="L900" s="10"/>
    </row>
    <row r="901" spans="1:12" x14ac:dyDescent="0.25">
      <c r="A901" s="21" t="s">
        <v>184</v>
      </c>
      <c r="B901" s="12" t="s">
        <v>185</v>
      </c>
      <c r="C901" s="11" t="s">
        <v>2800</v>
      </c>
      <c r="D901" s="13" t="s">
        <v>186</v>
      </c>
      <c r="E901" s="11">
        <v>501</v>
      </c>
      <c r="F901" s="21" t="s">
        <v>187</v>
      </c>
      <c r="G901" s="11" t="s">
        <v>2778</v>
      </c>
      <c r="H901" s="11" t="s">
        <v>2778</v>
      </c>
      <c r="I901" s="12" t="s">
        <v>185</v>
      </c>
      <c r="J901" s="11" t="s">
        <v>2800</v>
      </c>
      <c r="K901" s="10"/>
      <c r="L901" s="10"/>
    </row>
    <row r="902" spans="1:12" x14ac:dyDescent="0.25">
      <c r="A902" s="21" t="s">
        <v>2718</v>
      </c>
      <c r="B902" s="12" t="s">
        <v>2719</v>
      </c>
      <c r="C902" s="11" t="s">
        <v>2805</v>
      </c>
      <c r="D902" s="13" t="s">
        <v>2783</v>
      </c>
      <c r="E902" s="11">
        <v>100</v>
      </c>
      <c r="F902" s="21" t="s">
        <v>2720</v>
      </c>
      <c r="G902" s="11" t="s">
        <v>2719</v>
      </c>
      <c r="H902" s="11" t="s">
        <v>2778</v>
      </c>
      <c r="I902" s="12" t="s">
        <v>2719</v>
      </c>
      <c r="J902" s="11" t="s">
        <v>2805</v>
      </c>
      <c r="K902" s="10"/>
      <c r="L902" s="10"/>
    </row>
    <row r="903" spans="1:12" x14ac:dyDescent="0.25">
      <c r="A903" s="21" t="s">
        <v>2721</v>
      </c>
      <c r="B903" s="12" t="s">
        <v>2722</v>
      </c>
      <c r="C903" s="11" t="s">
        <v>2805</v>
      </c>
      <c r="D903" s="13" t="s">
        <v>2723</v>
      </c>
      <c r="E903" s="11">
        <v>200</v>
      </c>
      <c r="F903" s="21" t="s">
        <v>2724</v>
      </c>
      <c r="G903" s="11" t="s">
        <v>2722</v>
      </c>
      <c r="H903" s="11" t="s">
        <v>2778</v>
      </c>
      <c r="I903" s="12" t="s">
        <v>2722</v>
      </c>
      <c r="J903" s="11" t="s">
        <v>2805</v>
      </c>
      <c r="K903" s="10"/>
      <c r="L903" s="10"/>
    </row>
    <row r="904" spans="1:12" x14ac:dyDescent="0.25">
      <c r="A904" s="21" t="s">
        <v>2725</v>
      </c>
      <c r="B904" s="12" t="s">
        <v>2726</v>
      </c>
      <c r="C904" s="11" t="s">
        <v>2805</v>
      </c>
      <c r="D904" s="13" t="s">
        <v>2727</v>
      </c>
      <c r="E904" s="11" t="s">
        <v>2163</v>
      </c>
      <c r="F904" s="21" t="s">
        <v>2728</v>
      </c>
      <c r="G904" s="11" t="s">
        <v>2726</v>
      </c>
      <c r="H904" s="11" t="s">
        <v>2778</v>
      </c>
      <c r="I904" s="12" t="s">
        <v>2726</v>
      </c>
      <c r="J904" s="11" t="s">
        <v>2805</v>
      </c>
      <c r="K904" s="10"/>
      <c r="L904" s="10"/>
    </row>
    <row r="905" spans="1:12" ht="15.75" thickBot="1" x14ac:dyDescent="0.3">
      <c r="A905" s="21" t="s">
        <v>2729</v>
      </c>
      <c r="B905" s="12" t="s">
        <v>2730</v>
      </c>
      <c r="C905" s="11" t="s">
        <v>2805</v>
      </c>
      <c r="D905" s="37" t="s">
        <v>247</v>
      </c>
      <c r="E905" s="11">
        <v>100</v>
      </c>
      <c r="F905" s="21" t="s">
        <v>2731</v>
      </c>
      <c r="G905" s="11" t="s">
        <v>2730</v>
      </c>
      <c r="H905" s="11" t="s">
        <v>2778</v>
      </c>
      <c r="I905" s="12" t="s">
        <v>2730</v>
      </c>
      <c r="J905" s="11" t="s">
        <v>2805</v>
      </c>
      <c r="K905" s="10"/>
      <c r="L905" s="10"/>
    </row>
    <row r="906" spans="1:12" ht="15.75" thickBot="1" x14ac:dyDescent="0.3">
      <c r="A906" s="21" t="s">
        <v>2732</v>
      </c>
      <c r="B906" s="12" t="s">
        <v>1668</v>
      </c>
      <c r="C906" s="35" t="s">
        <v>2800</v>
      </c>
      <c r="D906" s="38" t="s">
        <v>1102</v>
      </c>
      <c r="E906" s="36">
        <v>189</v>
      </c>
      <c r="F906" s="21" t="s">
        <v>2733</v>
      </c>
      <c r="G906" s="11" t="s">
        <v>1668</v>
      </c>
      <c r="H906" s="11" t="s">
        <v>2778</v>
      </c>
      <c r="I906" s="12" t="s">
        <v>1668</v>
      </c>
      <c r="J906" s="11" t="s">
        <v>2800</v>
      </c>
      <c r="K906" s="10"/>
      <c r="L906" s="277"/>
    </row>
    <row r="907" spans="1:12" x14ac:dyDescent="0.25">
      <c r="A907" s="21" t="s">
        <v>2734</v>
      </c>
      <c r="B907" s="12" t="s">
        <v>2735</v>
      </c>
      <c r="C907" s="11" t="s">
        <v>2805</v>
      </c>
      <c r="D907" s="9" t="s">
        <v>2736</v>
      </c>
      <c r="E907" s="11">
        <v>10523</v>
      </c>
      <c r="F907" s="21" t="s">
        <v>2737</v>
      </c>
      <c r="G907" s="11" t="s">
        <v>2738</v>
      </c>
      <c r="H907" s="11" t="s">
        <v>2778</v>
      </c>
      <c r="I907" s="12" t="s">
        <v>2735</v>
      </c>
      <c r="J907" s="11" t="s">
        <v>2805</v>
      </c>
      <c r="K907" s="10"/>
      <c r="L907" s="277"/>
    </row>
    <row r="908" spans="1:12" x14ac:dyDescent="0.25">
      <c r="A908" s="21" t="s">
        <v>2739</v>
      </c>
      <c r="B908" s="12" t="s">
        <v>2740</v>
      </c>
      <c r="C908" s="11" t="s">
        <v>2805</v>
      </c>
      <c r="D908" s="13">
        <v>50</v>
      </c>
      <c r="E908" s="11">
        <v>4387</v>
      </c>
      <c r="F908" s="21" t="s">
        <v>2741</v>
      </c>
      <c r="G908" s="11" t="s">
        <v>2740</v>
      </c>
      <c r="H908" s="11" t="s">
        <v>2778</v>
      </c>
      <c r="I908" s="12" t="s">
        <v>2740</v>
      </c>
      <c r="J908" s="11" t="s">
        <v>2805</v>
      </c>
      <c r="K908" s="10"/>
      <c r="L908" s="10"/>
    </row>
    <row r="909" spans="1:12" x14ac:dyDescent="0.25">
      <c r="A909" s="21" t="s">
        <v>2742</v>
      </c>
      <c r="B909" s="12" t="s">
        <v>2140</v>
      </c>
      <c r="C909" s="11" t="s">
        <v>2805</v>
      </c>
      <c r="D909" s="13" t="s">
        <v>247</v>
      </c>
      <c r="E909" s="11">
        <v>169</v>
      </c>
      <c r="F909" s="21" t="s">
        <v>2743</v>
      </c>
      <c r="G909" s="11" t="s">
        <v>2140</v>
      </c>
      <c r="H909" s="11" t="s">
        <v>2778</v>
      </c>
      <c r="I909" s="12" t="s">
        <v>2140</v>
      </c>
      <c r="J909" s="11" t="s">
        <v>2805</v>
      </c>
      <c r="K909" s="10"/>
      <c r="L909" s="10"/>
    </row>
    <row r="910" spans="1:12" x14ac:dyDescent="0.25">
      <c r="A910" s="21" t="s">
        <v>2744</v>
      </c>
      <c r="B910" s="12" t="s">
        <v>1275</v>
      </c>
      <c r="C910" s="11" t="s">
        <v>2805</v>
      </c>
      <c r="D910" s="13" t="s">
        <v>2745</v>
      </c>
      <c r="E910" s="11">
        <v>1116</v>
      </c>
      <c r="F910" s="21" t="s">
        <v>2746</v>
      </c>
      <c r="G910" s="11" t="s">
        <v>1275</v>
      </c>
      <c r="H910" s="11" t="s">
        <v>2778</v>
      </c>
      <c r="I910" s="12" t="s">
        <v>1275</v>
      </c>
      <c r="J910" s="11" t="s">
        <v>2805</v>
      </c>
      <c r="K910" s="10"/>
      <c r="L910" s="10"/>
    </row>
    <row r="911" spans="1:12" x14ac:dyDescent="0.25">
      <c r="A911" s="21" t="s">
        <v>130</v>
      </c>
      <c r="B911" s="12" t="s">
        <v>3263</v>
      </c>
      <c r="C911" s="11" t="s">
        <v>2800</v>
      </c>
      <c r="D911" s="13" t="s">
        <v>2226</v>
      </c>
      <c r="E911" s="11">
        <v>389</v>
      </c>
      <c r="F911" s="21" t="s">
        <v>131</v>
      </c>
      <c r="G911" s="11" t="s">
        <v>247</v>
      </c>
      <c r="H911" s="11" t="s">
        <v>2778</v>
      </c>
      <c r="I911" s="12" t="s">
        <v>3263</v>
      </c>
      <c r="J911" s="11" t="s">
        <v>2800</v>
      </c>
      <c r="K911" s="10"/>
      <c r="L911" s="10"/>
    </row>
    <row r="912" spans="1:12" x14ac:dyDescent="0.25">
      <c r="A912" s="21" t="s">
        <v>2747</v>
      </c>
      <c r="B912" s="12" t="s">
        <v>2748</v>
      </c>
      <c r="C912" s="11" t="s">
        <v>2800</v>
      </c>
      <c r="D912" s="13" t="s">
        <v>2749</v>
      </c>
      <c r="E912" s="11">
        <v>69</v>
      </c>
      <c r="F912" s="21" t="s">
        <v>2750</v>
      </c>
      <c r="G912" s="11" t="s">
        <v>2748</v>
      </c>
      <c r="H912" s="11" t="s">
        <v>2778</v>
      </c>
      <c r="I912" s="12" t="s">
        <v>2748</v>
      </c>
      <c r="J912" s="11" t="s">
        <v>2800</v>
      </c>
      <c r="K912" s="10"/>
      <c r="L912" s="10"/>
    </row>
    <row r="913" spans="1:12" x14ac:dyDescent="0.25">
      <c r="A913" s="21" t="s">
        <v>2751</v>
      </c>
      <c r="B913" s="12" t="s">
        <v>1894</v>
      </c>
      <c r="C913" s="11" t="s">
        <v>2805</v>
      </c>
      <c r="D913" s="13" t="s">
        <v>1106</v>
      </c>
      <c r="E913" s="11">
        <v>269</v>
      </c>
      <c r="F913" s="21" t="s">
        <v>2752</v>
      </c>
      <c r="G913" s="11" t="s">
        <v>1894</v>
      </c>
      <c r="H913" s="11" t="s">
        <v>2778</v>
      </c>
      <c r="I913" s="12" t="s">
        <v>1894</v>
      </c>
      <c r="J913" s="11" t="s">
        <v>2805</v>
      </c>
      <c r="K913" s="10"/>
      <c r="L913" s="10"/>
    </row>
    <row r="914" spans="1:12" x14ac:dyDescent="0.25">
      <c r="A914" s="21" t="s">
        <v>2753</v>
      </c>
      <c r="B914" s="12" t="s">
        <v>2754</v>
      </c>
      <c r="C914" s="11" t="s">
        <v>2805</v>
      </c>
      <c r="D914" s="13" t="s">
        <v>2262</v>
      </c>
      <c r="E914" s="11">
        <v>721</v>
      </c>
      <c r="F914" s="21" t="s">
        <v>2755</v>
      </c>
      <c r="G914" s="11" t="s">
        <v>2754</v>
      </c>
      <c r="H914" s="11" t="s">
        <v>2778</v>
      </c>
      <c r="I914" s="12" t="s">
        <v>2754</v>
      </c>
      <c r="J914" s="11" t="s">
        <v>2805</v>
      </c>
      <c r="K914" s="10"/>
      <c r="L914" s="10"/>
    </row>
    <row r="915" spans="1:12" x14ac:dyDescent="0.25">
      <c r="A915" s="21" t="s">
        <v>2756</v>
      </c>
      <c r="B915" s="12" t="s">
        <v>2757</v>
      </c>
      <c r="C915" s="11" t="s">
        <v>2805</v>
      </c>
      <c r="D915" s="13" t="s">
        <v>1471</v>
      </c>
      <c r="E915" s="11">
        <v>100</v>
      </c>
      <c r="F915" s="21" t="s">
        <v>2758</v>
      </c>
      <c r="G915" s="11" t="s">
        <v>2757</v>
      </c>
      <c r="H915" s="11" t="s">
        <v>2778</v>
      </c>
      <c r="I915" s="12" t="s">
        <v>2757</v>
      </c>
      <c r="J915" s="11" t="s">
        <v>2805</v>
      </c>
      <c r="K915" s="10"/>
      <c r="L915" s="10"/>
    </row>
    <row r="916" spans="1:12" x14ac:dyDescent="0.25">
      <c r="A916" s="21" t="s">
        <v>2759</v>
      </c>
      <c r="B916" s="12" t="s">
        <v>2760</v>
      </c>
      <c r="C916" s="11" t="s">
        <v>2805</v>
      </c>
      <c r="D916" s="13">
        <v>7</v>
      </c>
      <c r="E916" s="11">
        <v>0</v>
      </c>
      <c r="F916" s="21" t="s">
        <v>2761</v>
      </c>
      <c r="G916" s="11" t="s">
        <v>2760</v>
      </c>
      <c r="H916" s="11" t="s">
        <v>2778</v>
      </c>
      <c r="I916" s="12" t="s">
        <v>2760</v>
      </c>
      <c r="J916" s="11" t="s">
        <v>2805</v>
      </c>
      <c r="K916" s="10"/>
      <c r="L916" s="10"/>
    </row>
    <row r="917" spans="1:12" x14ac:dyDescent="0.25">
      <c r="A917" s="21" t="s">
        <v>2762</v>
      </c>
      <c r="B917" s="12" t="s">
        <v>2763</v>
      </c>
      <c r="C917" s="11" t="s">
        <v>2805</v>
      </c>
      <c r="D917" s="13" t="s">
        <v>2764</v>
      </c>
      <c r="E917" s="11" t="s">
        <v>2163</v>
      </c>
      <c r="F917" s="21" t="s">
        <v>2765</v>
      </c>
      <c r="G917" s="11" t="s">
        <v>2766</v>
      </c>
      <c r="H917" s="11" t="s">
        <v>2778</v>
      </c>
      <c r="I917" s="12" t="s">
        <v>2763</v>
      </c>
      <c r="J917" s="11" t="s">
        <v>2805</v>
      </c>
      <c r="K917" s="10"/>
      <c r="L917" s="10"/>
    </row>
    <row r="918" spans="1:12" x14ac:dyDescent="0.25">
      <c r="A918" s="21" t="s">
        <v>1048</v>
      </c>
      <c r="B918" s="12" t="s">
        <v>1049</v>
      </c>
      <c r="C918" s="11" t="s">
        <v>2805</v>
      </c>
      <c r="D918" s="13" t="s">
        <v>4438</v>
      </c>
      <c r="E918" s="11">
        <v>32</v>
      </c>
      <c r="F918" s="21" t="s">
        <v>1050</v>
      </c>
      <c r="G918" s="11" t="s">
        <v>1049</v>
      </c>
      <c r="H918" s="11" t="s">
        <v>2778</v>
      </c>
      <c r="I918" s="12" t="s">
        <v>1049</v>
      </c>
      <c r="J918" s="11" t="s">
        <v>2805</v>
      </c>
      <c r="K918" s="10"/>
      <c r="L918" s="10"/>
    </row>
    <row r="919" spans="1:12" x14ac:dyDescent="0.25">
      <c r="A919" s="21" t="s">
        <v>1054</v>
      </c>
      <c r="B919" s="12" t="s">
        <v>1055</v>
      </c>
      <c r="C919" s="11" t="s">
        <v>2805</v>
      </c>
      <c r="D919" s="13" t="s">
        <v>2736</v>
      </c>
      <c r="E919" s="11">
        <v>4190</v>
      </c>
      <c r="F919" s="21" t="s">
        <v>1056</v>
      </c>
      <c r="G919" s="11" t="s">
        <v>1055</v>
      </c>
      <c r="H919" s="11" t="s">
        <v>2778</v>
      </c>
      <c r="I919" s="12" t="s">
        <v>1055</v>
      </c>
      <c r="J919" s="11" t="s">
        <v>2805</v>
      </c>
      <c r="K919" s="10"/>
      <c r="L919" s="10"/>
    </row>
    <row r="920" spans="1:12" x14ac:dyDescent="0.25">
      <c r="A920" s="21" t="s">
        <v>2702</v>
      </c>
      <c r="B920" s="12" t="s">
        <v>1842</v>
      </c>
      <c r="C920" s="11" t="s">
        <v>2805</v>
      </c>
      <c r="D920" s="13" t="s">
        <v>2703</v>
      </c>
      <c r="E920" s="11">
        <v>11</v>
      </c>
      <c r="F920" s="21" t="s">
        <v>2704</v>
      </c>
      <c r="G920" s="11" t="s">
        <v>2705</v>
      </c>
      <c r="H920" s="11" t="s">
        <v>2778</v>
      </c>
      <c r="I920" s="12" t="s">
        <v>1842</v>
      </c>
      <c r="J920" s="11" t="s">
        <v>2805</v>
      </c>
      <c r="K920" s="10"/>
      <c r="L920" s="10"/>
    </row>
    <row r="921" spans="1:12" x14ac:dyDescent="0.25">
      <c r="A921" s="21" t="s">
        <v>1057</v>
      </c>
      <c r="B921" s="12" t="s">
        <v>1058</v>
      </c>
      <c r="C921" s="11" t="s">
        <v>2805</v>
      </c>
      <c r="D921" s="13" t="s">
        <v>2648</v>
      </c>
      <c r="E921" s="11">
        <v>100</v>
      </c>
      <c r="F921" s="21" t="s">
        <v>1059</v>
      </c>
      <c r="G921" s="11" t="s">
        <v>1058</v>
      </c>
      <c r="H921" s="11" t="s">
        <v>2778</v>
      </c>
      <c r="I921" s="12" t="s">
        <v>1058</v>
      </c>
      <c r="J921" s="11" t="s">
        <v>2805</v>
      </c>
      <c r="K921" s="10"/>
      <c r="L921" s="10"/>
    </row>
    <row r="922" spans="1:12" x14ac:dyDescent="0.25">
      <c r="A922" s="21" t="s">
        <v>4665</v>
      </c>
      <c r="B922" s="12" t="s">
        <v>4666</v>
      </c>
      <c r="C922" s="11" t="s">
        <v>2805</v>
      </c>
      <c r="D922" s="13" t="s">
        <v>234</v>
      </c>
      <c r="E922" s="11">
        <v>1000</v>
      </c>
      <c r="F922" s="21" t="s">
        <v>4667</v>
      </c>
      <c r="G922" s="11" t="s">
        <v>4668</v>
      </c>
      <c r="H922" s="11" t="s">
        <v>1064</v>
      </c>
      <c r="I922" s="12" t="s">
        <v>4666</v>
      </c>
      <c r="J922" s="11" t="s">
        <v>2805</v>
      </c>
      <c r="K922" s="10"/>
      <c r="L922" s="10"/>
    </row>
    <row r="923" spans="1:12" x14ac:dyDescent="0.25">
      <c r="A923" s="21" t="s">
        <v>2865</v>
      </c>
      <c r="B923" s="12" t="s">
        <v>2866</v>
      </c>
      <c r="C923" s="11" t="s">
        <v>2805</v>
      </c>
      <c r="D923" s="13" t="s">
        <v>255</v>
      </c>
      <c r="E923" s="11">
        <v>0</v>
      </c>
      <c r="F923" s="21" t="s">
        <v>2867</v>
      </c>
      <c r="G923" s="11" t="s">
        <v>2226</v>
      </c>
      <c r="H923" s="11" t="s">
        <v>1064</v>
      </c>
      <c r="I923" s="12" t="s">
        <v>2866</v>
      </c>
      <c r="J923" s="11" t="s">
        <v>2805</v>
      </c>
      <c r="K923" s="10"/>
      <c r="L923" s="10"/>
    </row>
    <row r="924" spans="1:12" x14ac:dyDescent="0.25">
      <c r="A924" s="21" t="s">
        <v>1065</v>
      </c>
      <c r="B924" s="12" t="s">
        <v>1066</v>
      </c>
      <c r="C924" s="11" t="s">
        <v>2805</v>
      </c>
      <c r="D924" s="13" t="s">
        <v>255</v>
      </c>
      <c r="E924" s="11">
        <v>0</v>
      </c>
      <c r="F924" s="21" t="s">
        <v>1067</v>
      </c>
      <c r="G924" s="11" t="s">
        <v>1066</v>
      </c>
      <c r="H924" s="11" t="s">
        <v>1064</v>
      </c>
      <c r="I924" s="12" t="s">
        <v>1066</v>
      </c>
      <c r="J924" s="11" t="s">
        <v>2805</v>
      </c>
      <c r="K924" s="10"/>
      <c r="L924" s="10"/>
    </row>
    <row r="925" spans="1:12" x14ac:dyDescent="0.25">
      <c r="A925" s="21" t="s">
        <v>4757</v>
      </c>
      <c r="B925" s="12" t="s">
        <v>4758</v>
      </c>
      <c r="C925" s="11" t="s">
        <v>2805</v>
      </c>
      <c r="D925" s="13" t="s">
        <v>4759</v>
      </c>
      <c r="E925" s="11">
        <v>0</v>
      </c>
      <c r="F925" s="21" t="s">
        <v>4760</v>
      </c>
      <c r="G925" s="11" t="s">
        <v>4758</v>
      </c>
      <c r="H925" s="11" t="s">
        <v>1064</v>
      </c>
      <c r="I925" s="12" t="s">
        <v>4758</v>
      </c>
      <c r="J925" s="11" t="s">
        <v>2805</v>
      </c>
      <c r="K925" s="10"/>
      <c r="L925" s="10"/>
    </row>
    <row r="926" spans="1:12" x14ac:dyDescent="0.25">
      <c r="A926" s="21" t="s">
        <v>1068</v>
      </c>
      <c r="B926" s="12" t="s">
        <v>1069</v>
      </c>
      <c r="C926" s="11" t="s">
        <v>2805</v>
      </c>
      <c r="D926" s="13" t="s">
        <v>4655</v>
      </c>
      <c r="E926" s="11">
        <v>334</v>
      </c>
      <c r="F926" s="21" t="s">
        <v>1070</v>
      </c>
      <c r="G926" s="11" t="s">
        <v>1069</v>
      </c>
      <c r="H926" s="11" t="s">
        <v>1064</v>
      </c>
      <c r="I926" s="12" t="s">
        <v>1069</v>
      </c>
      <c r="J926" s="11" t="s">
        <v>2805</v>
      </c>
      <c r="K926" s="10"/>
      <c r="L926" s="10"/>
    </row>
    <row r="927" spans="1:12" x14ac:dyDescent="0.25">
      <c r="A927" s="21" t="s">
        <v>1071</v>
      </c>
      <c r="B927" s="12" t="s">
        <v>1072</v>
      </c>
      <c r="C927" s="11" t="s">
        <v>2805</v>
      </c>
      <c r="D927" s="13" t="s">
        <v>1073</v>
      </c>
      <c r="E927" s="11">
        <v>877</v>
      </c>
      <c r="F927" s="21" t="s">
        <v>1074</v>
      </c>
      <c r="G927" s="11" t="s">
        <v>1075</v>
      </c>
      <c r="H927" s="11" t="s">
        <v>1064</v>
      </c>
      <c r="I927" s="12" t="s">
        <v>1072</v>
      </c>
      <c r="J927" s="11" t="s">
        <v>2805</v>
      </c>
      <c r="K927" s="10"/>
      <c r="L927" s="10"/>
    </row>
    <row r="928" spans="1:12" x14ac:dyDescent="0.25">
      <c r="A928" s="21" t="s">
        <v>1076</v>
      </c>
      <c r="B928" s="12" t="s">
        <v>1077</v>
      </c>
      <c r="C928" s="11" t="s">
        <v>2805</v>
      </c>
      <c r="D928" s="13" t="s">
        <v>4655</v>
      </c>
      <c r="E928" s="11">
        <v>0</v>
      </c>
      <c r="F928" s="21" t="s">
        <v>1078</v>
      </c>
      <c r="G928" s="11" t="s">
        <v>1077</v>
      </c>
      <c r="H928" s="11" t="s">
        <v>1064</v>
      </c>
      <c r="I928" s="12" t="s">
        <v>1077</v>
      </c>
      <c r="J928" s="11" t="s">
        <v>2805</v>
      </c>
      <c r="K928" s="10"/>
      <c r="L928" s="10"/>
    </row>
    <row r="929" spans="1:12" x14ac:dyDescent="0.25">
      <c r="A929" s="21" t="s">
        <v>1079</v>
      </c>
      <c r="B929" s="12" t="s">
        <v>2097</v>
      </c>
      <c r="C929" s="11" t="s">
        <v>2805</v>
      </c>
      <c r="D929" s="13" t="s">
        <v>4300</v>
      </c>
      <c r="E929" s="11">
        <v>0</v>
      </c>
      <c r="F929" s="21" t="s">
        <v>2098</v>
      </c>
      <c r="G929" s="11" t="s">
        <v>2099</v>
      </c>
      <c r="H929" s="11" t="s">
        <v>1064</v>
      </c>
      <c r="I929" s="12" t="s">
        <v>2097</v>
      </c>
      <c r="J929" s="11" t="s">
        <v>2805</v>
      </c>
      <c r="K929" s="10"/>
      <c r="L929" s="10"/>
    </row>
    <row r="930" spans="1:12" x14ac:dyDescent="0.25">
      <c r="A930" s="21" t="s">
        <v>2100</v>
      </c>
      <c r="B930" s="12" t="s">
        <v>2101</v>
      </c>
      <c r="C930" s="11" t="s">
        <v>2805</v>
      </c>
      <c r="D930" s="13">
        <v>1</v>
      </c>
      <c r="E930" s="11">
        <v>0</v>
      </c>
      <c r="F930" s="21" t="s">
        <v>2102</v>
      </c>
      <c r="G930" s="11" t="s">
        <v>2101</v>
      </c>
      <c r="H930" s="11" t="s">
        <v>1064</v>
      </c>
      <c r="I930" s="12" t="s">
        <v>2101</v>
      </c>
      <c r="J930" s="11" t="s">
        <v>2805</v>
      </c>
      <c r="K930" s="10"/>
      <c r="L930" s="10"/>
    </row>
    <row r="931" spans="1:12" x14ac:dyDescent="0.25">
      <c r="A931" s="21" t="s">
        <v>2103</v>
      </c>
      <c r="B931" s="12" t="s">
        <v>2104</v>
      </c>
      <c r="C931" s="11" t="s">
        <v>2805</v>
      </c>
      <c r="D931" s="13" t="s">
        <v>84</v>
      </c>
      <c r="E931" s="11">
        <v>200</v>
      </c>
      <c r="F931" s="21" t="s">
        <v>2105</v>
      </c>
      <c r="G931" s="11" t="s">
        <v>2104</v>
      </c>
      <c r="H931" s="11" t="s">
        <v>1064</v>
      </c>
      <c r="I931" s="12" t="s">
        <v>2104</v>
      </c>
      <c r="J931" s="11" t="s">
        <v>2805</v>
      </c>
      <c r="K931" s="10"/>
      <c r="L931" s="10"/>
    </row>
    <row r="932" spans="1:12" x14ac:dyDescent="0.25">
      <c r="A932" s="21" t="s">
        <v>2106</v>
      </c>
      <c r="B932" s="12" t="s">
        <v>2107</v>
      </c>
      <c r="C932" s="11" t="s">
        <v>2805</v>
      </c>
      <c r="D932" s="13" t="s">
        <v>2108</v>
      </c>
      <c r="E932" s="11">
        <v>376</v>
      </c>
      <c r="F932" s="21" t="s">
        <v>2109</v>
      </c>
      <c r="G932" s="11" t="s">
        <v>2107</v>
      </c>
      <c r="H932" s="11" t="s">
        <v>1064</v>
      </c>
      <c r="I932" s="12" t="s">
        <v>2107</v>
      </c>
      <c r="J932" s="11" t="s">
        <v>2805</v>
      </c>
      <c r="K932" s="10"/>
      <c r="L932" s="10"/>
    </row>
    <row r="933" spans="1:12" x14ac:dyDescent="0.25">
      <c r="A933" s="21" t="s">
        <v>2110</v>
      </c>
      <c r="B933" s="12" t="s">
        <v>3673</v>
      </c>
      <c r="C933" s="11" t="s">
        <v>2805</v>
      </c>
      <c r="D933" s="13" t="s">
        <v>2111</v>
      </c>
      <c r="E933" s="11">
        <v>710</v>
      </c>
      <c r="F933" s="21" t="s">
        <v>2112</v>
      </c>
      <c r="G933" s="11" t="s">
        <v>3673</v>
      </c>
      <c r="H933" s="11" t="s">
        <v>1064</v>
      </c>
      <c r="I933" s="12" t="s">
        <v>3673</v>
      </c>
      <c r="J933" s="11" t="s">
        <v>2805</v>
      </c>
      <c r="K933" s="10"/>
      <c r="L933" s="10"/>
    </row>
    <row r="934" spans="1:12" x14ac:dyDescent="0.25">
      <c r="A934" s="21" t="s">
        <v>2116</v>
      </c>
      <c r="B934" s="12" t="s">
        <v>2117</v>
      </c>
      <c r="C934" s="11" t="s">
        <v>2805</v>
      </c>
      <c r="D934" s="13" t="s">
        <v>2118</v>
      </c>
      <c r="E934" s="11">
        <v>254</v>
      </c>
      <c r="F934" s="21" t="s">
        <v>2119</v>
      </c>
      <c r="G934" s="11" t="s">
        <v>2117</v>
      </c>
      <c r="H934" s="11" t="s">
        <v>1064</v>
      </c>
      <c r="I934" s="12" t="s">
        <v>2117</v>
      </c>
      <c r="J934" s="11" t="s">
        <v>2805</v>
      </c>
      <c r="K934" s="10"/>
      <c r="L934" s="10"/>
    </row>
    <row r="935" spans="1:12" x14ac:dyDescent="0.25">
      <c r="A935" s="21" t="s">
        <v>2113</v>
      </c>
      <c r="B935" s="12" t="s">
        <v>2114</v>
      </c>
      <c r="C935" s="11" t="s">
        <v>2805</v>
      </c>
      <c r="D935" s="13" t="s">
        <v>2827</v>
      </c>
      <c r="E935" s="11">
        <v>584</v>
      </c>
      <c r="F935" s="21" t="s">
        <v>2115</v>
      </c>
      <c r="G935" s="11" t="s">
        <v>2114</v>
      </c>
      <c r="H935" s="11" t="s">
        <v>1064</v>
      </c>
      <c r="I935" s="12" t="s">
        <v>2114</v>
      </c>
      <c r="J935" s="11" t="s">
        <v>2805</v>
      </c>
      <c r="K935" s="10"/>
      <c r="L935" s="10"/>
    </row>
    <row r="936" spans="1:12" x14ac:dyDescent="0.25">
      <c r="A936" s="21" t="s">
        <v>2873</v>
      </c>
      <c r="B936" s="12" t="s">
        <v>2874</v>
      </c>
      <c r="C936" s="11" t="s">
        <v>2805</v>
      </c>
      <c r="D936" s="13" t="s">
        <v>2875</v>
      </c>
      <c r="E936" s="11">
        <v>0</v>
      </c>
      <c r="F936" s="21" t="s">
        <v>4660</v>
      </c>
      <c r="G936" s="11" t="s">
        <v>2874</v>
      </c>
      <c r="H936" s="11" t="s">
        <v>1064</v>
      </c>
      <c r="I936" s="12" t="s">
        <v>2874</v>
      </c>
      <c r="J936" s="11" t="s">
        <v>2805</v>
      </c>
      <c r="K936" s="10"/>
      <c r="L936" s="10"/>
    </row>
    <row r="937" spans="1:12" x14ac:dyDescent="0.25">
      <c r="A937" s="21" t="s">
        <v>4661</v>
      </c>
      <c r="B937" s="12" t="s">
        <v>4662</v>
      </c>
      <c r="C937" s="11" t="s">
        <v>2805</v>
      </c>
      <c r="D937" s="13" t="s">
        <v>4663</v>
      </c>
      <c r="E937" s="11">
        <v>0</v>
      </c>
      <c r="F937" s="21" t="s">
        <v>4664</v>
      </c>
      <c r="G937" s="11" t="s">
        <v>4662</v>
      </c>
      <c r="H937" s="11" t="s">
        <v>1064</v>
      </c>
      <c r="I937" s="12" t="s">
        <v>4662</v>
      </c>
      <c r="J937" s="11" t="s">
        <v>2805</v>
      </c>
      <c r="K937" s="10"/>
      <c r="L937" s="10"/>
    </row>
    <row r="938" spans="1:12" x14ac:dyDescent="0.25">
      <c r="A938" s="21" t="s">
        <v>268</v>
      </c>
      <c r="B938" s="12" t="s">
        <v>269</v>
      </c>
      <c r="C938" s="11" t="s">
        <v>2805</v>
      </c>
      <c r="D938" s="13" t="s">
        <v>270</v>
      </c>
      <c r="E938" s="11">
        <v>0</v>
      </c>
      <c r="F938" s="21" t="s">
        <v>271</v>
      </c>
      <c r="G938" s="11" t="s">
        <v>269</v>
      </c>
      <c r="H938" s="11" t="s">
        <v>1064</v>
      </c>
      <c r="I938" s="12" t="s">
        <v>269</v>
      </c>
      <c r="J938" s="11" t="s">
        <v>2805</v>
      </c>
      <c r="K938" s="10"/>
      <c r="L938" s="10"/>
    </row>
    <row r="939" spans="1:12" x14ac:dyDescent="0.25">
      <c r="A939" s="21" t="s">
        <v>4669</v>
      </c>
      <c r="B939" s="12" t="s">
        <v>265</v>
      </c>
      <c r="C939" s="11" t="s">
        <v>2800</v>
      </c>
      <c r="D939" s="13" t="s">
        <v>255</v>
      </c>
      <c r="E939" s="11">
        <v>1690</v>
      </c>
      <c r="F939" s="21" t="s">
        <v>266</v>
      </c>
      <c r="G939" s="11" t="s">
        <v>267</v>
      </c>
      <c r="H939" s="11" t="s">
        <v>1064</v>
      </c>
      <c r="I939" s="12" t="s">
        <v>265</v>
      </c>
      <c r="J939" s="11" t="s">
        <v>2800</v>
      </c>
      <c r="K939" s="10"/>
      <c r="L939" s="10"/>
    </row>
    <row r="940" spans="1:12" x14ac:dyDescent="0.25">
      <c r="A940" s="21" t="s">
        <v>272</v>
      </c>
      <c r="B940" s="12" t="s">
        <v>273</v>
      </c>
      <c r="C940" s="11" t="s">
        <v>2805</v>
      </c>
      <c r="D940" s="13" t="s">
        <v>2248</v>
      </c>
      <c r="E940" s="11">
        <v>1842</v>
      </c>
      <c r="F940" s="21" t="s">
        <v>274</v>
      </c>
      <c r="G940" s="11" t="s">
        <v>275</v>
      </c>
      <c r="H940" s="11" t="s">
        <v>1064</v>
      </c>
      <c r="I940" s="12" t="s">
        <v>273</v>
      </c>
      <c r="J940" s="11" t="s">
        <v>2805</v>
      </c>
      <c r="K940" s="10"/>
      <c r="L940" s="10"/>
    </row>
    <row r="941" spans="1:12" x14ac:dyDescent="0.25">
      <c r="A941" s="21" t="s">
        <v>280</v>
      </c>
      <c r="B941" s="12" t="s">
        <v>281</v>
      </c>
      <c r="C941" s="11" t="s">
        <v>2805</v>
      </c>
      <c r="D941" s="13" t="s">
        <v>247</v>
      </c>
      <c r="E941" s="11">
        <v>100</v>
      </c>
      <c r="F941" s="21" t="s">
        <v>282</v>
      </c>
      <c r="G941" s="11" t="s">
        <v>281</v>
      </c>
      <c r="H941" s="11" t="s">
        <v>1064</v>
      </c>
      <c r="I941" s="12" t="s">
        <v>281</v>
      </c>
      <c r="J941" s="11" t="s">
        <v>2805</v>
      </c>
      <c r="K941" s="10"/>
      <c r="L941" s="10"/>
    </row>
    <row r="942" spans="1:12" x14ac:dyDescent="0.25">
      <c r="A942" s="21" t="s">
        <v>2069</v>
      </c>
      <c r="B942" s="12" t="s">
        <v>2070</v>
      </c>
      <c r="C942" s="11" t="s">
        <v>2805</v>
      </c>
      <c r="D942" s="13" t="s">
        <v>3454</v>
      </c>
      <c r="E942" s="11">
        <v>650</v>
      </c>
      <c r="F942" s="21" t="s">
        <v>2071</v>
      </c>
      <c r="G942" s="11" t="s">
        <v>2070</v>
      </c>
      <c r="H942" s="11" t="s">
        <v>1064</v>
      </c>
      <c r="I942" s="12" t="s">
        <v>2070</v>
      </c>
      <c r="J942" s="11" t="s">
        <v>2805</v>
      </c>
      <c r="K942" s="10"/>
      <c r="L942" s="10"/>
    </row>
    <row r="943" spans="1:12" x14ac:dyDescent="0.25">
      <c r="A943" s="21" t="s">
        <v>2072</v>
      </c>
      <c r="B943" s="12" t="s">
        <v>2073</v>
      </c>
      <c r="C943" s="11" t="s">
        <v>2805</v>
      </c>
      <c r="D943" s="13" t="s">
        <v>2806</v>
      </c>
      <c r="E943" s="11">
        <v>1</v>
      </c>
      <c r="F943" s="21" t="s">
        <v>2074</v>
      </c>
      <c r="G943" s="11" t="s">
        <v>938</v>
      </c>
      <c r="H943" s="11" t="s">
        <v>1064</v>
      </c>
      <c r="I943" s="12" t="s">
        <v>2073</v>
      </c>
      <c r="J943" s="11" t="s">
        <v>2805</v>
      </c>
      <c r="K943" s="10"/>
      <c r="L943" s="10"/>
    </row>
    <row r="944" spans="1:12" x14ac:dyDescent="0.25">
      <c r="A944" s="21" t="s">
        <v>2075</v>
      </c>
      <c r="B944" s="12" t="s">
        <v>4300</v>
      </c>
      <c r="C944" s="11" t="s">
        <v>2805</v>
      </c>
      <c r="D944" s="13" t="s">
        <v>992</v>
      </c>
      <c r="E944" s="11">
        <v>351</v>
      </c>
      <c r="F944" s="21" t="s">
        <v>2076</v>
      </c>
      <c r="G944" s="11" t="s">
        <v>4300</v>
      </c>
      <c r="H944" s="11" t="s">
        <v>1064</v>
      </c>
      <c r="I944" s="12" t="s">
        <v>4300</v>
      </c>
      <c r="J944" s="11" t="s">
        <v>2805</v>
      </c>
      <c r="K944" s="10"/>
      <c r="L944" s="10"/>
    </row>
    <row r="945" spans="1:12" x14ac:dyDescent="0.25">
      <c r="A945" s="21" t="s">
        <v>2077</v>
      </c>
      <c r="B945" s="12" t="s">
        <v>2078</v>
      </c>
      <c r="C945" s="11" t="s">
        <v>2805</v>
      </c>
      <c r="D945" s="13" t="s">
        <v>4663</v>
      </c>
      <c r="E945" s="11">
        <v>1</v>
      </c>
      <c r="F945" s="21" t="s">
        <v>2079</v>
      </c>
      <c r="G945" s="11" t="s">
        <v>2078</v>
      </c>
      <c r="H945" s="11" t="s">
        <v>1064</v>
      </c>
      <c r="I945" s="12" t="s">
        <v>2078</v>
      </c>
      <c r="J945" s="11" t="s">
        <v>2805</v>
      </c>
      <c r="K945" s="10"/>
      <c r="L945" s="10"/>
    </row>
    <row r="946" spans="1:12" x14ac:dyDescent="0.25">
      <c r="A946" s="21" t="s">
        <v>2080</v>
      </c>
      <c r="B946" s="12" t="s">
        <v>4670</v>
      </c>
      <c r="C946" s="11" t="s">
        <v>2800</v>
      </c>
      <c r="D946" s="13" t="s">
        <v>2171</v>
      </c>
      <c r="E946" s="11">
        <v>205</v>
      </c>
      <c r="F946" s="21" t="s">
        <v>4671</v>
      </c>
      <c r="G946" s="11" t="s">
        <v>4672</v>
      </c>
      <c r="H946" s="11" t="s">
        <v>1064</v>
      </c>
      <c r="I946" s="12" t="s">
        <v>4670</v>
      </c>
      <c r="J946" s="11" t="s">
        <v>2800</v>
      </c>
      <c r="K946" s="10"/>
      <c r="L946" s="10"/>
    </row>
    <row r="947" spans="1:12" x14ac:dyDescent="0.25">
      <c r="A947" s="21" t="s">
        <v>1060</v>
      </c>
      <c r="B947" s="12" t="s">
        <v>1061</v>
      </c>
      <c r="C947" s="11" t="s">
        <v>2800</v>
      </c>
      <c r="D947" s="13" t="s">
        <v>1062</v>
      </c>
      <c r="E947" s="11">
        <v>2112</v>
      </c>
      <c r="F947" s="21" t="s">
        <v>1063</v>
      </c>
      <c r="G947" s="11" t="s">
        <v>1061</v>
      </c>
      <c r="H947" s="11" t="s">
        <v>1064</v>
      </c>
      <c r="I947" s="12" t="s">
        <v>1061</v>
      </c>
      <c r="J947" s="11" t="s">
        <v>2800</v>
      </c>
      <c r="K947" s="10"/>
      <c r="L947" s="10"/>
    </row>
    <row r="948" spans="1:12" x14ac:dyDescent="0.25">
      <c r="A948" s="21" t="s">
        <v>4677</v>
      </c>
      <c r="B948" s="12" t="s">
        <v>4678</v>
      </c>
      <c r="C948" s="11" t="s">
        <v>2805</v>
      </c>
      <c r="D948" s="13" t="s">
        <v>4679</v>
      </c>
      <c r="E948" s="11">
        <v>3842</v>
      </c>
      <c r="F948" s="21" t="s">
        <v>4680</v>
      </c>
      <c r="G948" s="11" t="s">
        <v>1061</v>
      </c>
      <c r="H948" s="11" t="s">
        <v>1064</v>
      </c>
      <c r="I948" s="12" t="s">
        <v>4678</v>
      </c>
      <c r="J948" s="11" t="s">
        <v>2805</v>
      </c>
      <c r="K948" s="10"/>
      <c r="L948" s="10"/>
    </row>
    <row r="949" spans="1:12" x14ac:dyDescent="0.25">
      <c r="A949" s="21" t="s">
        <v>4673</v>
      </c>
      <c r="B949" s="12" t="s">
        <v>4674</v>
      </c>
      <c r="C949" s="11" t="s">
        <v>2805</v>
      </c>
      <c r="D949" s="13" t="s">
        <v>4675</v>
      </c>
      <c r="E949" s="11">
        <v>0</v>
      </c>
      <c r="F949" s="21" t="s">
        <v>4676</v>
      </c>
      <c r="G949" s="11" t="s">
        <v>1061</v>
      </c>
      <c r="H949" s="11" t="s">
        <v>1064</v>
      </c>
      <c r="I949" s="12" t="s">
        <v>4674</v>
      </c>
      <c r="J949" s="11" t="s">
        <v>2805</v>
      </c>
      <c r="K949" s="10"/>
      <c r="L949" s="10"/>
    </row>
    <row r="950" spans="1:12" x14ac:dyDescent="0.25">
      <c r="A950" s="21" t="s">
        <v>4681</v>
      </c>
      <c r="B950" s="12" t="s">
        <v>4682</v>
      </c>
      <c r="C950" s="11" t="s">
        <v>2805</v>
      </c>
      <c r="D950" s="13" t="s">
        <v>3491</v>
      </c>
      <c r="E950" s="11">
        <v>100</v>
      </c>
      <c r="F950" s="21" t="s">
        <v>4683</v>
      </c>
      <c r="G950" s="11" t="s">
        <v>4684</v>
      </c>
      <c r="H950" s="11" t="s">
        <v>1064</v>
      </c>
      <c r="I950" s="12" t="s">
        <v>4682</v>
      </c>
      <c r="J950" s="11" t="s">
        <v>2805</v>
      </c>
      <c r="K950" s="10"/>
      <c r="L950" s="10"/>
    </row>
    <row r="951" spans="1:12" x14ac:dyDescent="0.25">
      <c r="A951" s="21" t="s">
        <v>276</v>
      </c>
      <c r="B951" s="12" t="s">
        <v>277</v>
      </c>
      <c r="C951" s="11" t="s">
        <v>2800</v>
      </c>
      <c r="D951" s="13" t="s">
        <v>255</v>
      </c>
      <c r="E951" s="11">
        <v>384</v>
      </c>
      <c r="F951" s="21" t="s">
        <v>278</v>
      </c>
      <c r="G951" s="11" t="s">
        <v>279</v>
      </c>
      <c r="H951" s="11" t="s">
        <v>1064</v>
      </c>
      <c r="I951" s="12" t="s">
        <v>277</v>
      </c>
      <c r="J951" s="11" t="s">
        <v>2800</v>
      </c>
      <c r="K951" s="10"/>
      <c r="L951" s="10"/>
    </row>
    <row r="952" spans="1:12" x14ac:dyDescent="0.25">
      <c r="A952" s="21" t="s">
        <v>4685</v>
      </c>
      <c r="B952" s="12" t="s">
        <v>4686</v>
      </c>
      <c r="C952" s="11" t="s">
        <v>2805</v>
      </c>
      <c r="D952" s="13" t="s">
        <v>2749</v>
      </c>
      <c r="E952" s="11">
        <v>0</v>
      </c>
      <c r="F952" s="21" t="s">
        <v>4735</v>
      </c>
      <c r="G952" s="11" t="s">
        <v>4686</v>
      </c>
      <c r="H952" s="11" t="s">
        <v>1064</v>
      </c>
      <c r="I952" s="12" t="s">
        <v>4686</v>
      </c>
      <c r="J952" s="11" t="s">
        <v>2805</v>
      </c>
      <c r="K952" s="10"/>
      <c r="L952" s="10"/>
    </row>
    <row r="953" spans="1:12" x14ac:dyDescent="0.25">
      <c r="A953" s="21" t="s">
        <v>4736</v>
      </c>
      <c r="B953" s="12" t="s">
        <v>4737</v>
      </c>
      <c r="C953" s="11" t="s">
        <v>2805</v>
      </c>
      <c r="D953" s="13" t="s">
        <v>4738</v>
      </c>
      <c r="E953" s="11">
        <v>115</v>
      </c>
      <c r="F953" s="21" t="s">
        <v>4739</v>
      </c>
      <c r="G953" s="11" t="s">
        <v>4737</v>
      </c>
      <c r="H953" s="11" t="s">
        <v>1064</v>
      </c>
      <c r="I953" s="12" t="s">
        <v>4737</v>
      </c>
      <c r="J953" s="11" t="s">
        <v>2805</v>
      </c>
      <c r="K953" s="10"/>
      <c r="L953" s="10"/>
    </row>
    <row r="954" spans="1:12" x14ac:dyDescent="0.25">
      <c r="A954" s="21" t="s">
        <v>4740</v>
      </c>
      <c r="B954" s="12" t="s">
        <v>4741</v>
      </c>
      <c r="C954" s="11" t="s">
        <v>2805</v>
      </c>
      <c r="D954" s="13" t="s">
        <v>247</v>
      </c>
      <c r="E954" s="11">
        <v>500</v>
      </c>
      <c r="F954" s="21" t="s">
        <v>4742</v>
      </c>
      <c r="G954" s="11" t="s">
        <v>4741</v>
      </c>
      <c r="H954" s="11" t="s">
        <v>1064</v>
      </c>
      <c r="I954" s="12" t="s">
        <v>4741</v>
      </c>
      <c r="J954" s="11" t="s">
        <v>2805</v>
      </c>
      <c r="K954" s="10"/>
      <c r="L954" s="10"/>
    </row>
    <row r="955" spans="1:12" x14ac:dyDescent="0.25">
      <c r="A955" s="21" t="s">
        <v>4743</v>
      </c>
      <c r="B955" s="12" t="s">
        <v>4744</v>
      </c>
      <c r="C955" s="11" t="s">
        <v>2805</v>
      </c>
      <c r="D955" s="13" t="s">
        <v>4745</v>
      </c>
      <c r="E955" s="11">
        <v>691</v>
      </c>
      <c r="F955" s="21" t="s">
        <v>4746</v>
      </c>
      <c r="G955" s="11" t="s">
        <v>4744</v>
      </c>
      <c r="H955" s="11" t="s">
        <v>1064</v>
      </c>
      <c r="I955" s="12" t="s">
        <v>4744</v>
      </c>
      <c r="J955" s="11" t="s">
        <v>2805</v>
      </c>
      <c r="K955" s="10"/>
      <c r="L955" s="10"/>
    </row>
    <row r="956" spans="1:12" x14ac:dyDescent="0.25">
      <c r="A956" s="21" t="s">
        <v>4747</v>
      </c>
      <c r="B956" s="12" t="s">
        <v>1275</v>
      </c>
      <c r="C956" s="11" t="s">
        <v>2805</v>
      </c>
      <c r="D956" s="13" t="s">
        <v>2835</v>
      </c>
      <c r="E956" s="11">
        <v>302</v>
      </c>
      <c r="F956" s="21" t="s">
        <v>4748</v>
      </c>
      <c r="G956" s="11" t="s">
        <v>1275</v>
      </c>
      <c r="H956" s="11" t="s">
        <v>1064</v>
      </c>
      <c r="I956" s="12" t="s">
        <v>1275</v>
      </c>
      <c r="J956" s="11" t="s">
        <v>2805</v>
      </c>
      <c r="K956" s="10"/>
      <c r="L956" s="10"/>
    </row>
    <row r="957" spans="1:12" x14ac:dyDescent="0.25">
      <c r="A957" s="21" t="s">
        <v>4749</v>
      </c>
      <c r="B957" s="12" t="s">
        <v>349</v>
      </c>
      <c r="C957" s="11" t="s">
        <v>2805</v>
      </c>
      <c r="D957" s="13" t="s">
        <v>2226</v>
      </c>
      <c r="E957" s="11">
        <v>561</v>
      </c>
      <c r="F957" s="21" t="s">
        <v>4750</v>
      </c>
      <c r="G957" s="11" t="s">
        <v>349</v>
      </c>
      <c r="H957" s="11" t="s">
        <v>1064</v>
      </c>
      <c r="I957" s="12" t="s">
        <v>349</v>
      </c>
      <c r="J957" s="11" t="s">
        <v>2805</v>
      </c>
      <c r="K957" s="10"/>
      <c r="L957" s="10"/>
    </row>
    <row r="958" spans="1:12" x14ac:dyDescent="0.25">
      <c r="A958" s="21" t="s">
        <v>4754</v>
      </c>
      <c r="B958" s="12" t="s">
        <v>794</v>
      </c>
      <c r="C958" s="11" t="s">
        <v>2805</v>
      </c>
      <c r="D958" s="13" t="s">
        <v>4755</v>
      </c>
      <c r="E958" s="11">
        <v>297</v>
      </c>
      <c r="F958" s="21" t="s">
        <v>4756</v>
      </c>
      <c r="G958" s="11" t="s">
        <v>794</v>
      </c>
      <c r="H958" s="11" t="s">
        <v>1064</v>
      </c>
      <c r="I958" s="12" t="s">
        <v>794</v>
      </c>
      <c r="J958" s="11" t="s">
        <v>2805</v>
      </c>
      <c r="K958" s="10"/>
      <c r="L958" s="10"/>
    </row>
    <row r="959" spans="1:12" x14ac:dyDescent="0.25">
      <c r="A959" s="21" t="s">
        <v>4761</v>
      </c>
      <c r="B959" s="12" t="s">
        <v>4762</v>
      </c>
      <c r="C959" s="11" t="s">
        <v>2805</v>
      </c>
      <c r="D959" s="13" t="s">
        <v>4763</v>
      </c>
      <c r="E959" s="11">
        <v>0</v>
      </c>
      <c r="F959" s="21" t="s">
        <v>4764</v>
      </c>
      <c r="G959" s="11" t="s">
        <v>4762</v>
      </c>
      <c r="H959" s="11" t="s">
        <v>1064</v>
      </c>
      <c r="I959" s="12" t="s">
        <v>4762</v>
      </c>
      <c r="J959" s="11" t="s">
        <v>2805</v>
      </c>
      <c r="K959" s="10"/>
      <c r="L959" s="10"/>
    </row>
    <row r="960" spans="1:12" x14ac:dyDescent="0.25">
      <c r="A960" s="21" t="s">
        <v>4751</v>
      </c>
      <c r="B960" s="12" t="s">
        <v>4752</v>
      </c>
      <c r="C960" s="11" t="s">
        <v>2805</v>
      </c>
      <c r="D960" s="13" t="s">
        <v>247</v>
      </c>
      <c r="E960" s="11">
        <v>0</v>
      </c>
      <c r="F960" s="21" t="s">
        <v>4753</v>
      </c>
      <c r="G960" s="11" t="s">
        <v>4752</v>
      </c>
      <c r="H960" s="11" t="s">
        <v>1064</v>
      </c>
      <c r="I960" s="12" t="s">
        <v>4752</v>
      </c>
      <c r="J960" s="11" t="s">
        <v>2805</v>
      </c>
      <c r="K960" s="10"/>
      <c r="L960" s="10"/>
    </row>
    <row r="961" spans="1:12" x14ac:dyDescent="0.25">
      <c r="A961" s="21" t="s">
        <v>2868</v>
      </c>
      <c r="B961" s="12" t="s">
        <v>2869</v>
      </c>
      <c r="C961" s="11" t="s">
        <v>2805</v>
      </c>
      <c r="D961" s="13" t="s">
        <v>2870</v>
      </c>
      <c r="E961" s="11">
        <v>133</v>
      </c>
      <c r="F961" s="21" t="s">
        <v>2871</v>
      </c>
      <c r="G961" s="11" t="s">
        <v>2872</v>
      </c>
      <c r="H961" s="11" t="s">
        <v>1064</v>
      </c>
      <c r="I961" s="12" t="s">
        <v>2869</v>
      </c>
      <c r="J961" s="11" t="s">
        <v>2805</v>
      </c>
      <c r="K961" s="10"/>
      <c r="L961" s="10"/>
    </row>
    <row r="962" spans="1:12" x14ac:dyDescent="0.25">
      <c r="A962" s="21" t="s">
        <v>4110</v>
      </c>
      <c r="B962" s="12" t="s">
        <v>4111</v>
      </c>
      <c r="C962" s="11" t="s">
        <v>2805</v>
      </c>
      <c r="D962" s="13" t="s">
        <v>3443</v>
      </c>
      <c r="E962" s="11">
        <v>560</v>
      </c>
      <c r="F962" s="21" t="s">
        <v>4112</v>
      </c>
      <c r="G962" s="11" t="s">
        <v>4111</v>
      </c>
      <c r="H962" s="11" t="s">
        <v>4108</v>
      </c>
      <c r="I962" s="12" t="s">
        <v>4111</v>
      </c>
      <c r="J962" s="11" t="s">
        <v>2805</v>
      </c>
      <c r="K962" s="10"/>
      <c r="L962" s="10"/>
    </row>
    <row r="963" spans="1:12" x14ac:dyDescent="0.25">
      <c r="A963" s="21" t="s">
        <v>4113</v>
      </c>
      <c r="B963" s="12" t="s">
        <v>4114</v>
      </c>
      <c r="C963" s="11" t="s">
        <v>2805</v>
      </c>
      <c r="D963" s="13" t="s">
        <v>4115</v>
      </c>
      <c r="E963" s="11">
        <v>202</v>
      </c>
      <c r="F963" s="21" t="s">
        <v>4116</v>
      </c>
      <c r="G963" s="11" t="s">
        <v>4114</v>
      </c>
      <c r="H963" s="11" t="s">
        <v>4108</v>
      </c>
      <c r="I963" s="12" t="s">
        <v>4114</v>
      </c>
      <c r="J963" s="11" t="s">
        <v>2805</v>
      </c>
      <c r="K963" s="10"/>
      <c r="L963" s="10"/>
    </row>
    <row r="964" spans="1:12" x14ac:dyDescent="0.25">
      <c r="A964" s="21" t="s">
        <v>1553</v>
      </c>
      <c r="B964" s="12" t="s">
        <v>1554</v>
      </c>
      <c r="C964" s="11" t="s">
        <v>2805</v>
      </c>
      <c r="D964" s="13">
        <v>2</v>
      </c>
      <c r="E964" s="11">
        <v>0</v>
      </c>
      <c r="F964" s="21" t="s">
        <v>1555</v>
      </c>
      <c r="G964" s="11" t="s">
        <v>1554</v>
      </c>
      <c r="H964" s="11" t="s">
        <v>4108</v>
      </c>
      <c r="I964" s="12" t="s">
        <v>1554</v>
      </c>
      <c r="J964" s="11" t="s">
        <v>2805</v>
      </c>
      <c r="K964" s="10"/>
      <c r="L964" s="10"/>
    </row>
    <row r="965" spans="1:12" x14ac:dyDescent="0.25">
      <c r="A965" s="21" t="s">
        <v>4117</v>
      </c>
      <c r="B965" s="12" t="s">
        <v>2835</v>
      </c>
      <c r="C965" s="11" t="s">
        <v>2805</v>
      </c>
      <c r="D965" s="13" t="s">
        <v>247</v>
      </c>
      <c r="E965" s="11">
        <v>370</v>
      </c>
      <c r="F965" s="21" t="s">
        <v>4118</v>
      </c>
      <c r="G965" s="11" t="s">
        <v>2835</v>
      </c>
      <c r="H965" s="11" t="s">
        <v>4108</v>
      </c>
      <c r="I965" s="12" t="s">
        <v>2835</v>
      </c>
      <c r="J965" s="11" t="s">
        <v>2805</v>
      </c>
      <c r="K965" s="10"/>
      <c r="L965" s="10"/>
    </row>
    <row r="966" spans="1:12" x14ac:dyDescent="0.25">
      <c r="A966" s="21" t="s">
        <v>4119</v>
      </c>
      <c r="B966" s="12" t="s">
        <v>4120</v>
      </c>
      <c r="C966" s="11" t="s">
        <v>2805</v>
      </c>
      <c r="D966" s="13" t="s">
        <v>430</v>
      </c>
      <c r="E966" s="11">
        <v>518</v>
      </c>
      <c r="F966" s="21" t="s">
        <v>4121</v>
      </c>
      <c r="G966" s="11" t="s">
        <v>4120</v>
      </c>
      <c r="H966" s="11" t="s">
        <v>4108</v>
      </c>
      <c r="I966" s="12" t="s">
        <v>4120</v>
      </c>
      <c r="J966" s="11" t="s">
        <v>2805</v>
      </c>
      <c r="K966" s="10"/>
      <c r="L966" s="10"/>
    </row>
    <row r="967" spans="1:12" x14ac:dyDescent="0.25">
      <c r="A967" s="21" t="s">
        <v>4125</v>
      </c>
      <c r="B967" s="12" t="s">
        <v>4126</v>
      </c>
      <c r="C967" s="11" t="s">
        <v>2800</v>
      </c>
      <c r="D967" s="13" t="s">
        <v>1106</v>
      </c>
      <c r="E967" s="11">
        <v>660</v>
      </c>
      <c r="F967" s="21" t="s">
        <v>4127</v>
      </c>
      <c r="G967" s="11" t="s">
        <v>4126</v>
      </c>
      <c r="H967" s="11" t="s">
        <v>4108</v>
      </c>
      <c r="I967" s="12" t="s">
        <v>4126</v>
      </c>
      <c r="J967" s="11" t="s">
        <v>2800</v>
      </c>
      <c r="K967" s="10"/>
      <c r="L967" s="10"/>
    </row>
    <row r="968" spans="1:12" x14ac:dyDescent="0.25">
      <c r="A968" s="21" t="s">
        <v>4128</v>
      </c>
      <c r="B968" s="12" t="s">
        <v>4129</v>
      </c>
      <c r="C968" s="11" t="s">
        <v>2805</v>
      </c>
      <c r="D968" s="13" t="s">
        <v>1106</v>
      </c>
      <c r="E968" s="11">
        <v>0</v>
      </c>
      <c r="F968" s="21" t="s">
        <v>4130</v>
      </c>
      <c r="G968" s="11" t="s">
        <v>4129</v>
      </c>
      <c r="H968" s="11" t="s">
        <v>4108</v>
      </c>
      <c r="I968" s="12" t="s">
        <v>4129</v>
      </c>
      <c r="J968" s="11" t="s">
        <v>2805</v>
      </c>
      <c r="K968" s="10"/>
      <c r="L968" s="10"/>
    </row>
    <row r="969" spans="1:12" x14ac:dyDescent="0.25">
      <c r="A969" s="21" t="s">
        <v>1570</v>
      </c>
      <c r="B969" s="12" t="s">
        <v>1571</v>
      </c>
      <c r="C969" s="11" t="s">
        <v>2805</v>
      </c>
      <c r="D969" s="13" t="s">
        <v>2950</v>
      </c>
      <c r="E969" s="11">
        <v>602</v>
      </c>
      <c r="F969" s="21" t="s">
        <v>1572</v>
      </c>
      <c r="G969" s="11" t="s">
        <v>1571</v>
      </c>
      <c r="H969" s="11" t="s">
        <v>4108</v>
      </c>
      <c r="I969" s="12" t="s">
        <v>1571</v>
      </c>
      <c r="J969" s="11" t="s">
        <v>2805</v>
      </c>
      <c r="K969" s="10"/>
      <c r="L969" s="10"/>
    </row>
    <row r="970" spans="1:12" x14ac:dyDescent="0.25">
      <c r="A970" s="21" t="s">
        <v>4131</v>
      </c>
      <c r="B970" s="12" t="s">
        <v>4132</v>
      </c>
      <c r="C970" s="11" t="s">
        <v>2805</v>
      </c>
      <c r="D970" s="13" t="s">
        <v>4133</v>
      </c>
      <c r="E970" s="11">
        <v>305</v>
      </c>
      <c r="F970" s="21" t="s">
        <v>4134</v>
      </c>
      <c r="G970" s="11" t="s">
        <v>4132</v>
      </c>
      <c r="H970" s="11" t="s">
        <v>4108</v>
      </c>
      <c r="I970" s="12" t="s">
        <v>4132</v>
      </c>
      <c r="J970" s="11" t="s">
        <v>2805</v>
      </c>
      <c r="K970" s="10"/>
      <c r="L970" s="10"/>
    </row>
    <row r="971" spans="1:12" x14ac:dyDescent="0.25">
      <c r="A971" s="21" t="s">
        <v>4135</v>
      </c>
      <c r="B971" s="12" t="s">
        <v>4136</v>
      </c>
      <c r="C971" s="11" t="s">
        <v>2805</v>
      </c>
      <c r="D971" s="13" t="s">
        <v>4137</v>
      </c>
      <c r="E971" s="11">
        <v>0</v>
      </c>
      <c r="F971" s="21" t="s">
        <v>4138</v>
      </c>
      <c r="G971" s="11" t="s">
        <v>4136</v>
      </c>
      <c r="H971" s="11" t="s">
        <v>4108</v>
      </c>
      <c r="I971" s="12" t="s">
        <v>4136</v>
      </c>
      <c r="J971" s="11" t="s">
        <v>2805</v>
      </c>
      <c r="K971" s="10"/>
      <c r="L971" s="10"/>
    </row>
    <row r="972" spans="1:12" x14ac:dyDescent="0.25">
      <c r="A972" s="21" t="s">
        <v>4122</v>
      </c>
      <c r="B972" s="12" t="s">
        <v>4123</v>
      </c>
      <c r="C972" s="11" t="s">
        <v>2805</v>
      </c>
      <c r="D972" s="13" t="s">
        <v>255</v>
      </c>
      <c r="E972" s="11">
        <v>0</v>
      </c>
      <c r="F972" s="21" t="s">
        <v>4124</v>
      </c>
      <c r="G972" s="11" t="s">
        <v>4123</v>
      </c>
      <c r="H972" s="11" t="s">
        <v>4108</v>
      </c>
      <c r="I972" s="12" t="s">
        <v>4123</v>
      </c>
      <c r="J972" s="11" t="s">
        <v>2805</v>
      </c>
      <c r="K972" s="10"/>
      <c r="L972" s="10"/>
    </row>
    <row r="973" spans="1:12" x14ac:dyDescent="0.25">
      <c r="A973" s="21" t="s">
        <v>4107</v>
      </c>
      <c r="B973" s="12" t="s">
        <v>4108</v>
      </c>
      <c r="C973" s="11" t="s">
        <v>2800</v>
      </c>
      <c r="D973" s="13" t="s">
        <v>2171</v>
      </c>
      <c r="E973" s="11">
        <v>101</v>
      </c>
      <c r="F973" s="21" t="s">
        <v>4109</v>
      </c>
      <c r="G973" s="11" t="s">
        <v>4108</v>
      </c>
      <c r="H973" s="11" t="s">
        <v>4108</v>
      </c>
      <c r="I973" s="12" t="s">
        <v>4108</v>
      </c>
      <c r="J973" s="11" t="s">
        <v>2800</v>
      </c>
      <c r="K973" s="10"/>
      <c r="L973" s="10"/>
    </row>
    <row r="974" spans="1:12" x14ac:dyDescent="0.25">
      <c r="A974" s="21" t="s">
        <v>4143</v>
      </c>
      <c r="B974" s="12" t="s">
        <v>1547</v>
      </c>
      <c r="C974" s="11" t="s">
        <v>2805</v>
      </c>
      <c r="D974" s="13" t="s">
        <v>1548</v>
      </c>
      <c r="E974" s="11">
        <v>0</v>
      </c>
      <c r="F974" s="21" t="s">
        <v>1549</v>
      </c>
      <c r="G974" s="11" t="s">
        <v>1547</v>
      </c>
      <c r="H974" s="11" t="s">
        <v>4108</v>
      </c>
      <c r="I974" s="12" t="s">
        <v>1547</v>
      </c>
      <c r="J974" s="11" t="s">
        <v>2805</v>
      </c>
      <c r="K974" s="10"/>
      <c r="L974" s="10"/>
    </row>
    <row r="975" spans="1:12" x14ac:dyDescent="0.25">
      <c r="A975" s="21" t="s">
        <v>1584</v>
      </c>
      <c r="B975" s="12" t="s">
        <v>1585</v>
      </c>
      <c r="C975" s="11" t="s">
        <v>2805</v>
      </c>
      <c r="D975" s="13" t="s">
        <v>4438</v>
      </c>
      <c r="E975" s="11">
        <v>90</v>
      </c>
      <c r="F975" s="21" t="s">
        <v>1586</v>
      </c>
      <c r="G975" s="11" t="s">
        <v>1585</v>
      </c>
      <c r="H975" s="11" t="s">
        <v>4108</v>
      </c>
      <c r="I975" s="12" t="s">
        <v>1585</v>
      </c>
      <c r="J975" s="11" t="s">
        <v>2805</v>
      </c>
      <c r="K975" s="10"/>
      <c r="L975" s="10"/>
    </row>
    <row r="976" spans="1:12" x14ac:dyDescent="0.25">
      <c r="A976" s="21" t="s">
        <v>1550</v>
      </c>
      <c r="B976" s="12" t="s">
        <v>1551</v>
      </c>
      <c r="C976" s="11" t="s">
        <v>2805</v>
      </c>
      <c r="D976" s="13" t="s">
        <v>247</v>
      </c>
      <c r="E976" s="11">
        <v>497</v>
      </c>
      <c r="F976" s="21" t="s">
        <v>1552</v>
      </c>
      <c r="G976" s="11" t="s">
        <v>1551</v>
      </c>
      <c r="H976" s="11" t="s">
        <v>4108</v>
      </c>
      <c r="I976" s="12" t="s">
        <v>1551</v>
      </c>
      <c r="J976" s="11" t="s">
        <v>2805</v>
      </c>
      <c r="K976" s="10"/>
      <c r="L976" s="10"/>
    </row>
    <row r="977" spans="1:12" x14ac:dyDescent="0.25">
      <c r="A977" s="21" t="s">
        <v>1556</v>
      </c>
      <c r="B977" s="12" t="s">
        <v>1557</v>
      </c>
      <c r="C977" s="11" t="s">
        <v>2805</v>
      </c>
      <c r="D977" s="13" t="s">
        <v>1558</v>
      </c>
      <c r="E977" s="11">
        <v>160</v>
      </c>
      <c r="F977" s="21" t="s">
        <v>1559</v>
      </c>
      <c r="G977" s="11" t="s">
        <v>1557</v>
      </c>
      <c r="H977" s="11" t="s">
        <v>4108</v>
      </c>
      <c r="I977" s="12" t="s">
        <v>1557</v>
      </c>
      <c r="J977" s="11" t="s">
        <v>2805</v>
      </c>
      <c r="K977" s="10"/>
      <c r="L977" s="10"/>
    </row>
    <row r="978" spans="1:12" x14ac:dyDescent="0.25">
      <c r="A978" s="21" t="s">
        <v>4139</v>
      </c>
      <c r="B978" s="12" t="s">
        <v>4140</v>
      </c>
      <c r="C978" s="11" t="s">
        <v>2800</v>
      </c>
      <c r="D978" s="13" t="s">
        <v>4141</v>
      </c>
      <c r="E978" s="11">
        <v>168</v>
      </c>
      <c r="F978" s="21" t="s">
        <v>4142</v>
      </c>
      <c r="G978" s="11" t="s">
        <v>4140</v>
      </c>
      <c r="H978" s="11" t="s">
        <v>4108</v>
      </c>
      <c r="I978" s="12" t="s">
        <v>4140</v>
      </c>
      <c r="J978" s="11" t="s">
        <v>2800</v>
      </c>
      <c r="K978" s="10"/>
      <c r="L978" s="10"/>
    </row>
    <row r="979" spans="1:12" x14ac:dyDescent="0.25">
      <c r="A979" s="21" t="s">
        <v>1573</v>
      </c>
      <c r="B979" s="12" t="s">
        <v>1574</v>
      </c>
      <c r="C979" s="11" t="s">
        <v>2800</v>
      </c>
      <c r="D979" s="13" t="s">
        <v>1575</v>
      </c>
      <c r="E979" s="11">
        <v>690</v>
      </c>
      <c r="F979" s="21" t="s">
        <v>1576</v>
      </c>
      <c r="G979" s="11" t="s">
        <v>1574</v>
      </c>
      <c r="H979" s="11" t="s">
        <v>4108</v>
      </c>
      <c r="I979" s="12" t="s">
        <v>1574</v>
      </c>
      <c r="J979" s="11" t="s">
        <v>2800</v>
      </c>
      <c r="K979" s="10"/>
      <c r="L979" s="10"/>
    </row>
    <row r="980" spans="1:12" x14ac:dyDescent="0.25">
      <c r="A980" s="21" t="s">
        <v>1587</v>
      </c>
      <c r="B980" s="12" t="s">
        <v>1588</v>
      </c>
      <c r="C980" s="11" t="s">
        <v>2805</v>
      </c>
      <c r="D980" s="13" t="s">
        <v>1589</v>
      </c>
      <c r="E980" s="11">
        <v>0</v>
      </c>
      <c r="F980" s="21" t="s">
        <v>1590</v>
      </c>
      <c r="G980" s="11" t="s">
        <v>1588</v>
      </c>
      <c r="H980" s="11" t="s">
        <v>4108</v>
      </c>
      <c r="I980" s="12" t="s">
        <v>1588</v>
      </c>
      <c r="J980" s="11" t="s">
        <v>2805</v>
      </c>
      <c r="K980" s="10"/>
      <c r="L980" s="10"/>
    </row>
    <row r="981" spans="1:12" x14ac:dyDescent="0.25">
      <c r="A981" s="21" t="s">
        <v>1560</v>
      </c>
      <c r="B981" s="12" t="s">
        <v>1561</v>
      </c>
      <c r="C981" s="11" t="s">
        <v>2805</v>
      </c>
      <c r="D981" s="13" t="s">
        <v>2171</v>
      </c>
      <c r="E981" s="11">
        <v>115</v>
      </c>
      <c r="F981" s="21" t="s">
        <v>1562</v>
      </c>
      <c r="G981" s="11" t="s">
        <v>1561</v>
      </c>
      <c r="H981" s="11" t="s">
        <v>4108</v>
      </c>
      <c r="I981" s="12" t="s">
        <v>1561</v>
      </c>
      <c r="J981" s="11" t="s">
        <v>2805</v>
      </c>
      <c r="K981" s="10"/>
      <c r="L981" s="10"/>
    </row>
    <row r="982" spans="1:12" x14ac:dyDescent="0.25">
      <c r="A982" s="21" t="s">
        <v>1563</v>
      </c>
      <c r="B982" s="12" t="s">
        <v>1564</v>
      </c>
      <c r="C982" s="11" t="s">
        <v>2805</v>
      </c>
      <c r="D982" s="13" t="s">
        <v>1565</v>
      </c>
      <c r="E982" s="11">
        <v>0</v>
      </c>
      <c r="F982" s="21" t="s">
        <v>1566</v>
      </c>
      <c r="G982" s="11" t="s">
        <v>1564</v>
      </c>
      <c r="H982" s="11" t="s">
        <v>4108</v>
      </c>
      <c r="I982" s="12" t="s">
        <v>1564</v>
      </c>
      <c r="J982" s="11" t="s">
        <v>2805</v>
      </c>
      <c r="K982" s="10"/>
      <c r="L982" s="10"/>
    </row>
    <row r="983" spans="1:12" x14ac:dyDescent="0.25">
      <c r="A983" s="21" t="s">
        <v>1580</v>
      </c>
      <c r="B983" s="12" t="s">
        <v>1581</v>
      </c>
      <c r="C983" s="11" t="s">
        <v>2805</v>
      </c>
      <c r="D983" s="13" t="s">
        <v>1582</v>
      </c>
      <c r="E983" s="11">
        <v>121</v>
      </c>
      <c r="F983" s="21" t="s">
        <v>1583</v>
      </c>
      <c r="G983" s="11" t="s">
        <v>1581</v>
      </c>
      <c r="H983" s="11" t="s">
        <v>4108</v>
      </c>
      <c r="I983" s="12" t="s">
        <v>1581</v>
      </c>
      <c r="J983" s="11" t="s">
        <v>2805</v>
      </c>
      <c r="K983" s="10"/>
      <c r="L983" s="10"/>
    </row>
    <row r="984" spans="1:12" x14ac:dyDescent="0.25">
      <c r="A984" s="21" t="s">
        <v>1577</v>
      </c>
      <c r="B984" s="12" t="s">
        <v>1578</v>
      </c>
      <c r="C984" s="11" t="s">
        <v>2805</v>
      </c>
      <c r="D984" s="13">
        <v>65</v>
      </c>
      <c r="E984" s="11">
        <v>0</v>
      </c>
      <c r="F984" s="21" t="s">
        <v>1579</v>
      </c>
      <c r="G984" s="11" t="s">
        <v>1578</v>
      </c>
      <c r="H984" s="11" t="s">
        <v>4108</v>
      </c>
      <c r="I984" s="12" t="s">
        <v>1578</v>
      </c>
      <c r="J984" s="11" t="s">
        <v>2805</v>
      </c>
      <c r="K984" s="10"/>
      <c r="L984" s="10"/>
    </row>
    <row r="985" spans="1:12" x14ac:dyDescent="0.25">
      <c r="A985" s="21" t="s">
        <v>1567</v>
      </c>
      <c r="B985" s="12" t="s">
        <v>1568</v>
      </c>
      <c r="C985" s="11" t="s">
        <v>2800</v>
      </c>
      <c r="D985" s="13" t="s">
        <v>247</v>
      </c>
      <c r="E985" s="11">
        <v>324</v>
      </c>
      <c r="F985" s="21" t="s">
        <v>1569</v>
      </c>
      <c r="G985" s="11" t="s">
        <v>1568</v>
      </c>
      <c r="H985" s="11" t="s">
        <v>4108</v>
      </c>
      <c r="I985" s="12" t="s">
        <v>1568</v>
      </c>
      <c r="J985" s="11" t="s">
        <v>2800</v>
      </c>
      <c r="K985" s="10"/>
      <c r="L985" s="10"/>
    </row>
    <row r="986" spans="1:12" x14ac:dyDescent="0.25">
      <c r="A986" s="21" t="s">
        <v>1511</v>
      </c>
      <c r="B986" s="12" t="s">
        <v>1512</v>
      </c>
      <c r="C986" s="11" t="s">
        <v>2805</v>
      </c>
      <c r="D986" s="13" t="s">
        <v>1513</v>
      </c>
      <c r="E986" s="11">
        <v>168</v>
      </c>
      <c r="F986" s="21" t="s">
        <v>1514</v>
      </c>
      <c r="G986" s="11" t="s">
        <v>1512</v>
      </c>
      <c r="H986" s="11" t="s">
        <v>4173</v>
      </c>
      <c r="I986" s="12" t="s">
        <v>1512</v>
      </c>
      <c r="J986" s="11" t="s">
        <v>2805</v>
      </c>
      <c r="K986" s="10"/>
      <c r="L986" s="10"/>
    </row>
    <row r="987" spans="1:12" x14ac:dyDescent="0.25">
      <c r="A987" s="21" t="s">
        <v>4233</v>
      </c>
      <c r="B987" s="12" t="s">
        <v>4234</v>
      </c>
      <c r="C987" s="11" t="s">
        <v>2805</v>
      </c>
      <c r="D987" s="13" t="s">
        <v>1509</v>
      </c>
      <c r="E987" s="11">
        <v>500</v>
      </c>
      <c r="F987" s="21" t="s">
        <v>4235</v>
      </c>
      <c r="G987" s="11" t="s">
        <v>4236</v>
      </c>
      <c r="H987" s="11" t="s">
        <v>4173</v>
      </c>
      <c r="I987" s="12" t="s">
        <v>4234</v>
      </c>
      <c r="J987" s="11" t="s">
        <v>2805</v>
      </c>
      <c r="K987" s="10"/>
      <c r="L987" s="10"/>
    </row>
    <row r="988" spans="1:12" x14ac:dyDescent="0.25">
      <c r="A988" s="21" t="s">
        <v>1515</v>
      </c>
      <c r="B988" s="12" t="s">
        <v>1516</v>
      </c>
      <c r="C988" s="11" t="s">
        <v>2805</v>
      </c>
      <c r="D988" s="13" t="s">
        <v>1517</v>
      </c>
      <c r="E988" s="11">
        <v>201</v>
      </c>
      <c r="F988" s="21" t="s">
        <v>1518</v>
      </c>
      <c r="G988" s="11" t="s">
        <v>1516</v>
      </c>
      <c r="H988" s="11" t="s">
        <v>4173</v>
      </c>
      <c r="I988" s="12" t="s">
        <v>1516</v>
      </c>
      <c r="J988" s="11" t="s">
        <v>2805</v>
      </c>
      <c r="K988" s="10"/>
      <c r="L988" s="10"/>
    </row>
    <row r="989" spans="1:12" x14ac:dyDescent="0.25">
      <c r="A989" s="21" t="s">
        <v>1519</v>
      </c>
      <c r="B989" s="12" t="s">
        <v>1520</v>
      </c>
      <c r="C989" s="11" t="s">
        <v>2805</v>
      </c>
      <c r="D989" s="13" t="s">
        <v>1548</v>
      </c>
      <c r="E989" s="11">
        <v>240</v>
      </c>
      <c r="F989" s="21" t="s">
        <v>1521</v>
      </c>
      <c r="G989" s="11" t="s">
        <v>1520</v>
      </c>
      <c r="H989" s="11" t="s">
        <v>4173</v>
      </c>
      <c r="I989" s="12" t="s">
        <v>1520</v>
      </c>
      <c r="J989" s="11" t="s">
        <v>2805</v>
      </c>
      <c r="K989" s="10"/>
      <c r="L989" s="10"/>
    </row>
    <row r="990" spans="1:12" x14ac:dyDescent="0.25">
      <c r="A990" s="21" t="s">
        <v>1522</v>
      </c>
      <c r="B990" s="12" t="s">
        <v>1523</v>
      </c>
      <c r="C990" s="11" t="s">
        <v>2805</v>
      </c>
      <c r="D990" s="13" t="s">
        <v>247</v>
      </c>
      <c r="E990" s="11">
        <v>225</v>
      </c>
      <c r="F990" s="21" t="s">
        <v>1524</v>
      </c>
      <c r="G990" s="11" t="s">
        <v>1523</v>
      </c>
      <c r="H990" s="11" t="s">
        <v>4173</v>
      </c>
      <c r="I990" s="12" t="s">
        <v>1523</v>
      </c>
      <c r="J990" s="11" t="s">
        <v>2805</v>
      </c>
      <c r="K990" s="10"/>
      <c r="L990" s="10"/>
    </row>
    <row r="991" spans="1:12" x14ac:dyDescent="0.25">
      <c r="A991" s="21" t="s">
        <v>1536</v>
      </c>
      <c r="B991" s="12" t="s">
        <v>1537</v>
      </c>
      <c r="C991" s="11" t="s">
        <v>2805</v>
      </c>
      <c r="D991" s="13" t="s">
        <v>4173</v>
      </c>
      <c r="E991" s="11">
        <v>50</v>
      </c>
      <c r="F991" s="21" t="s">
        <v>1538</v>
      </c>
      <c r="G991" s="11" t="s">
        <v>1537</v>
      </c>
      <c r="H991" s="11" t="s">
        <v>4173</v>
      </c>
      <c r="I991" s="12" t="s">
        <v>1537</v>
      </c>
      <c r="J991" s="11" t="s">
        <v>2805</v>
      </c>
      <c r="K991" s="10"/>
      <c r="L991" s="10"/>
    </row>
    <row r="992" spans="1:12" x14ac:dyDescent="0.25">
      <c r="A992" s="21" t="s">
        <v>1525</v>
      </c>
      <c r="B992" s="12" t="s">
        <v>1526</v>
      </c>
      <c r="C992" s="11" t="s">
        <v>2805</v>
      </c>
      <c r="D992" s="13" t="s">
        <v>4655</v>
      </c>
      <c r="E992" s="11">
        <v>141</v>
      </c>
      <c r="F992" s="21" t="s">
        <v>1527</v>
      </c>
      <c r="G992" s="11" t="s">
        <v>1526</v>
      </c>
      <c r="H992" s="11" t="s">
        <v>4173</v>
      </c>
      <c r="I992" s="12" t="s">
        <v>1526</v>
      </c>
      <c r="J992" s="11" t="s">
        <v>2805</v>
      </c>
      <c r="K992" s="10"/>
      <c r="L992" s="10"/>
    </row>
    <row r="993" spans="1:12" x14ac:dyDescent="0.25">
      <c r="A993" s="21" t="s">
        <v>1617</v>
      </c>
      <c r="B993" s="12" t="s">
        <v>1618</v>
      </c>
      <c r="C993" s="11" t="s">
        <v>2805</v>
      </c>
      <c r="D993" s="13" t="s">
        <v>255</v>
      </c>
      <c r="E993" s="11">
        <v>1298</v>
      </c>
      <c r="F993" s="21" t="s">
        <v>1619</v>
      </c>
      <c r="G993" s="11" t="s">
        <v>1618</v>
      </c>
      <c r="H993" s="11" t="s">
        <v>4173</v>
      </c>
      <c r="I993" s="12" t="s">
        <v>1618</v>
      </c>
      <c r="J993" s="11" t="s">
        <v>2805</v>
      </c>
      <c r="K993" s="10"/>
      <c r="L993" s="10"/>
    </row>
    <row r="994" spans="1:12" x14ac:dyDescent="0.25">
      <c r="A994" s="21" t="s">
        <v>1528</v>
      </c>
      <c r="B994" s="12" t="s">
        <v>1529</v>
      </c>
      <c r="C994" s="11" t="s">
        <v>2805</v>
      </c>
      <c r="D994" s="13" t="s">
        <v>1530</v>
      </c>
      <c r="E994" s="11">
        <v>22</v>
      </c>
      <c r="F994" s="21" t="s">
        <v>1531</v>
      </c>
      <c r="G994" s="11" t="s">
        <v>1529</v>
      </c>
      <c r="H994" s="11" t="s">
        <v>4173</v>
      </c>
      <c r="I994" s="12" t="s">
        <v>1529</v>
      </c>
      <c r="J994" s="11" t="s">
        <v>2805</v>
      </c>
      <c r="K994" s="10"/>
      <c r="L994" s="10"/>
    </row>
    <row r="995" spans="1:12" x14ac:dyDescent="0.25">
      <c r="A995" s="21" t="s">
        <v>1532</v>
      </c>
      <c r="B995" s="12" t="s">
        <v>1533</v>
      </c>
      <c r="C995" s="11" t="s">
        <v>2800</v>
      </c>
      <c r="D995" s="13" t="s">
        <v>1534</v>
      </c>
      <c r="E995" s="11">
        <v>5</v>
      </c>
      <c r="F995" s="21" t="s">
        <v>1535</v>
      </c>
      <c r="G995" s="11" t="s">
        <v>1533</v>
      </c>
      <c r="H995" s="11" t="s">
        <v>4173</v>
      </c>
      <c r="I995" s="12" t="s">
        <v>1533</v>
      </c>
      <c r="J995" s="11" t="s">
        <v>2800</v>
      </c>
      <c r="K995" s="10"/>
      <c r="L995" s="10"/>
    </row>
    <row r="996" spans="1:12" x14ac:dyDescent="0.25">
      <c r="A996" s="21" t="s">
        <v>4174</v>
      </c>
      <c r="B996" s="12" t="s">
        <v>4175</v>
      </c>
      <c r="C996" s="11" t="s">
        <v>2805</v>
      </c>
      <c r="D996" s="13" t="s">
        <v>4300</v>
      </c>
      <c r="E996" s="11">
        <v>100</v>
      </c>
      <c r="F996" s="21" t="s">
        <v>4176</v>
      </c>
      <c r="G996" s="11" t="s">
        <v>4175</v>
      </c>
      <c r="H996" s="11" t="s">
        <v>4173</v>
      </c>
      <c r="I996" s="12" t="s">
        <v>4175</v>
      </c>
      <c r="J996" s="11" t="s">
        <v>2805</v>
      </c>
      <c r="K996" s="10"/>
      <c r="L996" s="10"/>
    </row>
    <row r="997" spans="1:12" x14ac:dyDescent="0.25">
      <c r="A997" s="21" t="s">
        <v>1508</v>
      </c>
      <c r="B997" s="12" t="s">
        <v>1509</v>
      </c>
      <c r="C997" s="11" t="s">
        <v>2800</v>
      </c>
      <c r="D997" s="13" t="s">
        <v>247</v>
      </c>
      <c r="E997" s="11">
        <v>2860</v>
      </c>
      <c r="F997" s="21" t="s">
        <v>1510</v>
      </c>
      <c r="G997" s="11" t="s">
        <v>1509</v>
      </c>
      <c r="H997" s="11" t="s">
        <v>4173</v>
      </c>
      <c r="I997" s="12" t="s">
        <v>1509</v>
      </c>
      <c r="J997" s="11" t="s">
        <v>2800</v>
      </c>
      <c r="K997" s="10"/>
      <c r="L997" s="10"/>
    </row>
    <row r="998" spans="1:12" x14ac:dyDescent="0.25">
      <c r="A998" s="21" t="s">
        <v>1633</v>
      </c>
      <c r="B998" s="12" t="s">
        <v>4376</v>
      </c>
      <c r="C998" s="11" t="s">
        <v>2805</v>
      </c>
      <c r="D998" s="13" t="s">
        <v>2262</v>
      </c>
      <c r="E998" s="11">
        <v>377</v>
      </c>
      <c r="F998" s="21" t="s">
        <v>1634</v>
      </c>
      <c r="G998" s="11" t="s">
        <v>4378</v>
      </c>
      <c r="H998" s="11" t="s">
        <v>4173</v>
      </c>
      <c r="I998" s="12" t="s">
        <v>4376</v>
      </c>
      <c r="J998" s="11" t="s">
        <v>2805</v>
      </c>
      <c r="K998" s="10"/>
      <c r="L998" s="10"/>
    </row>
    <row r="999" spans="1:12" x14ac:dyDescent="0.25">
      <c r="A999" s="21" t="s">
        <v>1543</v>
      </c>
      <c r="B999" s="12" t="s">
        <v>1594</v>
      </c>
      <c r="C999" s="11" t="s">
        <v>2805</v>
      </c>
      <c r="D999" s="13" t="s">
        <v>234</v>
      </c>
      <c r="E999" s="11">
        <v>400</v>
      </c>
      <c r="F999" s="21" t="s">
        <v>1595</v>
      </c>
      <c r="G999" s="11" t="s">
        <v>1596</v>
      </c>
      <c r="H999" s="11" t="s">
        <v>4173</v>
      </c>
      <c r="I999" s="12" t="s">
        <v>1594</v>
      </c>
      <c r="J999" s="11" t="s">
        <v>2805</v>
      </c>
      <c r="K999" s="10"/>
      <c r="L999" s="10"/>
    </row>
    <row r="1000" spans="1:12" x14ac:dyDescent="0.25">
      <c r="A1000" s="21" t="s">
        <v>1539</v>
      </c>
      <c r="B1000" s="12" t="s">
        <v>1540</v>
      </c>
      <c r="C1000" s="11" t="s">
        <v>2805</v>
      </c>
      <c r="D1000" s="28" t="s">
        <v>4824</v>
      </c>
      <c r="E1000" s="11">
        <v>180</v>
      </c>
      <c r="F1000" s="21" t="s">
        <v>1541</v>
      </c>
      <c r="G1000" s="11" t="s">
        <v>1542</v>
      </c>
      <c r="H1000" s="11" t="s">
        <v>4173</v>
      </c>
      <c r="I1000" s="12" t="s">
        <v>1540</v>
      </c>
      <c r="J1000" s="11" t="s">
        <v>2805</v>
      </c>
      <c r="K1000" s="10"/>
      <c r="L1000" s="10"/>
    </row>
    <row r="1001" spans="1:12" x14ac:dyDescent="0.25">
      <c r="A1001" s="21" t="s">
        <v>1597</v>
      </c>
      <c r="B1001" s="12" t="s">
        <v>1598</v>
      </c>
      <c r="C1001" s="11" t="s">
        <v>2800</v>
      </c>
      <c r="D1001" s="13" t="s">
        <v>1106</v>
      </c>
      <c r="E1001" s="11">
        <v>1462</v>
      </c>
      <c r="F1001" s="21" t="s">
        <v>1599</v>
      </c>
      <c r="G1001" s="11" t="s">
        <v>1600</v>
      </c>
      <c r="H1001" s="11" t="s">
        <v>4173</v>
      </c>
      <c r="I1001" s="12" t="s">
        <v>1598</v>
      </c>
      <c r="J1001" s="11" t="s">
        <v>2800</v>
      </c>
      <c r="K1001" s="10"/>
      <c r="L1001" s="10"/>
    </row>
    <row r="1002" spans="1:12" x14ac:dyDescent="0.25">
      <c r="A1002" s="21" t="s">
        <v>1601</v>
      </c>
      <c r="B1002" s="12" t="s">
        <v>1602</v>
      </c>
      <c r="C1002" s="11" t="s">
        <v>2805</v>
      </c>
      <c r="D1002" s="13" t="s">
        <v>4162</v>
      </c>
      <c r="E1002" s="11">
        <v>970</v>
      </c>
      <c r="F1002" s="21" t="s">
        <v>1603</v>
      </c>
      <c r="G1002" s="11" t="s">
        <v>1604</v>
      </c>
      <c r="H1002" s="11" t="s">
        <v>4173</v>
      </c>
      <c r="I1002" s="12" t="s">
        <v>1602</v>
      </c>
      <c r="J1002" s="11" t="s">
        <v>2805</v>
      </c>
      <c r="K1002" s="10"/>
      <c r="L1002" s="10"/>
    </row>
    <row r="1003" spans="1:12" x14ac:dyDescent="0.25">
      <c r="A1003" s="21" t="s">
        <v>4177</v>
      </c>
      <c r="B1003" s="12" t="s">
        <v>4178</v>
      </c>
      <c r="C1003" s="11" t="s">
        <v>2805</v>
      </c>
      <c r="D1003" s="13" t="s">
        <v>4300</v>
      </c>
      <c r="E1003" s="11">
        <v>100</v>
      </c>
      <c r="F1003" s="21" t="s">
        <v>4179</v>
      </c>
      <c r="G1003" s="11" t="s">
        <v>4180</v>
      </c>
      <c r="H1003" s="11" t="s">
        <v>4173</v>
      </c>
      <c r="I1003" s="12" t="s">
        <v>4178</v>
      </c>
      <c r="J1003" s="11" t="s">
        <v>2805</v>
      </c>
      <c r="K1003" s="10"/>
      <c r="L1003" s="10"/>
    </row>
    <row r="1004" spans="1:12" x14ac:dyDescent="0.25">
      <c r="A1004" s="21" t="s">
        <v>1620</v>
      </c>
      <c r="B1004" s="12" t="s">
        <v>1621</v>
      </c>
      <c r="C1004" s="11" t="s">
        <v>2805</v>
      </c>
      <c r="D1004" s="13" t="s">
        <v>247</v>
      </c>
      <c r="E1004" s="11">
        <v>100</v>
      </c>
      <c r="F1004" s="21" t="s">
        <v>1622</v>
      </c>
      <c r="G1004" s="11" t="s">
        <v>1621</v>
      </c>
      <c r="H1004" s="11" t="s">
        <v>4173</v>
      </c>
      <c r="I1004" s="12" t="s">
        <v>1621</v>
      </c>
      <c r="J1004" s="11" t="s">
        <v>2805</v>
      </c>
      <c r="K1004" s="10"/>
      <c r="L1004" s="10"/>
    </row>
    <row r="1005" spans="1:12" x14ac:dyDescent="0.25">
      <c r="A1005" s="21" t="s">
        <v>1627</v>
      </c>
      <c r="B1005" s="12" t="s">
        <v>1628</v>
      </c>
      <c r="C1005" s="11" t="s">
        <v>2805</v>
      </c>
      <c r="D1005" s="13" t="s">
        <v>2783</v>
      </c>
      <c r="E1005" s="11">
        <v>687</v>
      </c>
      <c r="F1005" s="21" t="s">
        <v>1629</v>
      </c>
      <c r="G1005" s="11" t="s">
        <v>1628</v>
      </c>
      <c r="H1005" s="11" t="s">
        <v>4173</v>
      </c>
      <c r="I1005" s="12" t="s">
        <v>1628</v>
      </c>
      <c r="J1005" s="11" t="s">
        <v>2805</v>
      </c>
      <c r="K1005" s="10"/>
      <c r="L1005" s="10"/>
    </row>
    <row r="1006" spans="1:12" x14ac:dyDescent="0.25">
      <c r="A1006" s="21" t="s">
        <v>1623</v>
      </c>
      <c r="B1006" s="12" t="s">
        <v>1624</v>
      </c>
      <c r="C1006" s="11" t="s">
        <v>2805</v>
      </c>
      <c r="D1006" s="13" t="s">
        <v>1625</v>
      </c>
      <c r="E1006" s="11">
        <v>100</v>
      </c>
      <c r="F1006" s="21" t="s">
        <v>1626</v>
      </c>
      <c r="G1006" s="11" t="s">
        <v>1624</v>
      </c>
      <c r="H1006" s="11" t="s">
        <v>4173</v>
      </c>
      <c r="I1006" s="12" t="s">
        <v>1624</v>
      </c>
      <c r="J1006" s="11" t="s">
        <v>2805</v>
      </c>
      <c r="K1006" s="10"/>
      <c r="L1006" s="10"/>
    </row>
    <row r="1007" spans="1:12" x14ac:dyDescent="0.25">
      <c r="A1007" s="21" t="s">
        <v>1605</v>
      </c>
      <c r="B1007" s="12" t="s">
        <v>1606</v>
      </c>
      <c r="C1007" s="11" t="s">
        <v>2805</v>
      </c>
      <c r="D1007" s="13" t="s">
        <v>1548</v>
      </c>
      <c r="E1007" s="11">
        <v>580</v>
      </c>
      <c r="F1007" s="21" t="s">
        <v>1607</v>
      </c>
      <c r="G1007" s="11" t="s">
        <v>1606</v>
      </c>
      <c r="H1007" s="11" t="s">
        <v>4173</v>
      </c>
      <c r="I1007" s="12" t="s">
        <v>1606</v>
      </c>
      <c r="J1007" s="11" t="s">
        <v>2805</v>
      </c>
      <c r="K1007" s="10"/>
      <c r="L1007" s="10"/>
    </row>
    <row r="1008" spans="1:12" x14ac:dyDescent="0.25">
      <c r="A1008" s="21" t="s">
        <v>4181</v>
      </c>
      <c r="B1008" s="12" t="s">
        <v>4182</v>
      </c>
      <c r="C1008" s="11" t="s">
        <v>2805</v>
      </c>
      <c r="D1008" s="13" t="s">
        <v>4438</v>
      </c>
      <c r="E1008" s="11">
        <v>900</v>
      </c>
      <c r="F1008" s="21" t="s">
        <v>4183</v>
      </c>
      <c r="G1008" s="11" t="s">
        <v>4182</v>
      </c>
      <c r="H1008" s="11" t="s">
        <v>4173</v>
      </c>
      <c r="I1008" s="12" t="s">
        <v>4182</v>
      </c>
      <c r="J1008" s="11" t="s">
        <v>2805</v>
      </c>
      <c r="K1008" s="10"/>
      <c r="L1008" s="10"/>
    </row>
    <row r="1009" spans="1:29" x14ac:dyDescent="0.25">
      <c r="A1009" s="21" t="s">
        <v>4184</v>
      </c>
      <c r="B1009" s="12" t="s">
        <v>4185</v>
      </c>
      <c r="C1009" s="11" t="s">
        <v>2805</v>
      </c>
      <c r="D1009" s="13" t="s">
        <v>4186</v>
      </c>
      <c r="E1009" s="11" t="s">
        <v>2163</v>
      </c>
      <c r="F1009" s="21" t="s">
        <v>4187</v>
      </c>
      <c r="G1009" s="11" t="s">
        <v>4185</v>
      </c>
      <c r="H1009" s="11" t="s">
        <v>4173</v>
      </c>
      <c r="I1009" s="12" t="s">
        <v>4185</v>
      </c>
      <c r="J1009" s="11" t="s">
        <v>2805</v>
      </c>
      <c r="K1009" s="10"/>
      <c r="L1009" s="10"/>
    </row>
    <row r="1010" spans="1:29" x14ac:dyDescent="0.25">
      <c r="A1010" s="21" t="s">
        <v>4188</v>
      </c>
      <c r="B1010" s="12" t="s">
        <v>4189</v>
      </c>
      <c r="C1010" s="11" t="s">
        <v>2805</v>
      </c>
      <c r="D1010" s="13" t="s">
        <v>4190</v>
      </c>
      <c r="E1010" s="11" t="s">
        <v>2163</v>
      </c>
      <c r="F1010" s="21" t="s">
        <v>1507</v>
      </c>
      <c r="G1010" s="11" t="s">
        <v>4189</v>
      </c>
      <c r="H1010" s="11" t="s">
        <v>4173</v>
      </c>
      <c r="I1010" s="12" t="s">
        <v>4189</v>
      </c>
      <c r="J1010" s="11" t="s">
        <v>2805</v>
      </c>
      <c r="K1010" s="10"/>
      <c r="L1010" s="10"/>
    </row>
    <row r="1011" spans="1:29" x14ac:dyDescent="0.25">
      <c r="A1011" s="21" t="s">
        <v>1635</v>
      </c>
      <c r="B1011" s="12" t="s">
        <v>1636</v>
      </c>
      <c r="C1011" s="11" t="s">
        <v>2805</v>
      </c>
      <c r="D1011" s="13" t="s">
        <v>4310</v>
      </c>
      <c r="E1011" s="11">
        <v>495</v>
      </c>
      <c r="F1011" s="21" t="s">
        <v>4225</v>
      </c>
      <c r="G1011" s="11" t="s">
        <v>1636</v>
      </c>
      <c r="H1011" s="11" t="s">
        <v>4173</v>
      </c>
      <c r="I1011" s="12" t="s">
        <v>1636</v>
      </c>
      <c r="J1011" s="11" t="s">
        <v>2805</v>
      </c>
      <c r="K1011" s="10"/>
      <c r="L1011" s="10"/>
    </row>
    <row r="1012" spans="1:29" x14ac:dyDescent="0.25">
      <c r="A1012" s="21" t="s">
        <v>1630</v>
      </c>
      <c r="B1012" s="12" t="s">
        <v>1631</v>
      </c>
      <c r="C1012" s="11" t="s">
        <v>2800</v>
      </c>
      <c r="D1012" s="13" t="s">
        <v>4646</v>
      </c>
      <c r="E1012" s="11">
        <v>1</v>
      </c>
      <c r="F1012" s="21" t="s">
        <v>1632</v>
      </c>
      <c r="G1012" s="11" t="s">
        <v>1631</v>
      </c>
      <c r="H1012" s="11" t="s">
        <v>4173</v>
      </c>
      <c r="I1012" s="12" t="s">
        <v>1631</v>
      </c>
      <c r="J1012" s="11" t="s">
        <v>2800</v>
      </c>
      <c r="K1012" s="10"/>
      <c r="L1012" s="10"/>
    </row>
    <row r="1013" spans="1:29" x14ac:dyDescent="0.25">
      <c r="A1013" s="21" t="s">
        <v>1591</v>
      </c>
      <c r="B1013" s="12" t="s">
        <v>1592</v>
      </c>
      <c r="C1013" s="11" t="s">
        <v>2800</v>
      </c>
      <c r="D1013" s="13" t="s">
        <v>134</v>
      </c>
      <c r="E1013" s="11">
        <v>175</v>
      </c>
      <c r="F1013" s="21" t="s">
        <v>1593</v>
      </c>
      <c r="G1013" s="11" t="s">
        <v>4172</v>
      </c>
      <c r="H1013" s="11" t="s">
        <v>4173</v>
      </c>
      <c r="I1013" s="12" t="s">
        <v>1592</v>
      </c>
      <c r="J1013" s="11" t="s">
        <v>2800</v>
      </c>
      <c r="K1013" s="10"/>
      <c r="L1013" s="10"/>
    </row>
    <row r="1014" spans="1:29" x14ac:dyDescent="0.25">
      <c r="A1014" s="21" t="s">
        <v>4226</v>
      </c>
      <c r="B1014" s="12" t="s">
        <v>4227</v>
      </c>
      <c r="C1014" s="11" t="s">
        <v>2805</v>
      </c>
      <c r="D1014" s="13" t="s">
        <v>1437</v>
      </c>
      <c r="E1014" s="11">
        <v>189</v>
      </c>
      <c r="F1014" s="21" t="s">
        <v>4228</v>
      </c>
      <c r="G1014" s="11" t="s">
        <v>4227</v>
      </c>
      <c r="H1014" s="11" t="s">
        <v>4173</v>
      </c>
      <c r="I1014" s="12" t="s">
        <v>4227</v>
      </c>
      <c r="J1014" s="11" t="s">
        <v>2805</v>
      </c>
      <c r="K1014" s="10"/>
      <c r="L1014" s="10"/>
    </row>
    <row r="1015" spans="1:29" x14ac:dyDescent="0.25">
      <c r="A1015" s="21" t="s">
        <v>4229</v>
      </c>
      <c r="B1015" s="12" t="s">
        <v>4230</v>
      </c>
      <c r="C1015" s="11" t="s">
        <v>2805</v>
      </c>
      <c r="D1015" s="13" t="s">
        <v>4231</v>
      </c>
      <c r="E1015" s="11">
        <v>622</v>
      </c>
      <c r="F1015" s="21" t="s">
        <v>4232</v>
      </c>
      <c r="G1015" s="11" t="s">
        <v>4230</v>
      </c>
      <c r="H1015" s="11" t="s">
        <v>4173</v>
      </c>
      <c r="I1015" s="12" t="s">
        <v>4230</v>
      </c>
      <c r="J1015" s="11" t="s">
        <v>2805</v>
      </c>
      <c r="K1015" s="10"/>
      <c r="L1015" s="10"/>
    </row>
    <row r="1016" spans="1:29" x14ac:dyDescent="0.25">
      <c r="A1016" s="21" t="s">
        <v>1614</v>
      </c>
      <c r="B1016" s="12" t="s">
        <v>1615</v>
      </c>
      <c r="C1016" s="11" t="s">
        <v>2800</v>
      </c>
      <c r="D1016" s="13" t="s">
        <v>2674</v>
      </c>
      <c r="E1016" s="11">
        <v>151</v>
      </c>
      <c r="F1016" s="21" t="s">
        <v>1616</v>
      </c>
      <c r="G1016" s="11" t="s">
        <v>1615</v>
      </c>
      <c r="H1016" s="11" t="s">
        <v>4173</v>
      </c>
      <c r="I1016" s="12" t="s">
        <v>1615</v>
      </c>
      <c r="J1016" s="11" t="s">
        <v>2800</v>
      </c>
      <c r="K1016" s="10"/>
      <c r="L1016" s="10"/>
    </row>
    <row r="1017" spans="1:29" x14ac:dyDescent="0.25">
      <c r="A1017" s="21" t="s">
        <v>1611</v>
      </c>
      <c r="B1017" s="12" t="s">
        <v>1612</v>
      </c>
      <c r="C1017" s="11" t="s">
        <v>2805</v>
      </c>
      <c r="D1017" s="13" t="s">
        <v>1038</v>
      </c>
      <c r="E1017" s="11">
        <v>446</v>
      </c>
      <c r="F1017" s="21" t="s">
        <v>1613</v>
      </c>
      <c r="G1017" s="11" t="s">
        <v>1612</v>
      </c>
      <c r="H1017" s="11" t="s">
        <v>4173</v>
      </c>
      <c r="I1017" s="12" t="s">
        <v>1612</v>
      </c>
      <c r="J1017" s="11" t="s">
        <v>2805</v>
      </c>
      <c r="K1017" s="10"/>
      <c r="L1017" s="10"/>
    </row>
    <row r="1018" spans="1:29" x14ac:dyDescent="0.25">
      <c r="A1018" s="21" t="s">
        <v>1608</v>
      </c>
      <c r="B1018" s="12" t="s">
        <v>1609</v>
      </c>
      <c r="C1018" s="11" t="s">
        <v>2800</v>
      </c>
      <c r="D1018" s="13" t="s">
        <v>4438</v>
      </c>
      <c r="E1018" s="11">
        <v>98</v>
      </c>
      <c r="F1018" s="21" t="s">
        <v>1610</v>
      </c>
      <c r="G1018" s="11" t="s">
        <v>1609</v>
      </c>
      <c r="H1018" s="11" t="s">
        <v>4173</v>
      </c>
      <c r="I1018" s="12" t="s">
        <v>1609</v>
      </c>
      <c r="J1018" s="11" t="s">
        <v>2800</v>
      </c>
      <c r="K1018" s="10"/>
      <c r="L1018" s="10"/>
    </row>
    <row r="1019" spans="1:29" x14ac:dyDescent="0.25">
      <c r="A1019" s="21" t="s">
        <v>2803</v>
      </c>
      <c r="B1019" s="12" t="s">
        <v>2804</v>
      </c>
      <c r="C1019" s="11" t="s">
        <v>2805</v>
      </c>
      <c r="D1019" s="13" t="s">
        <v>2806</v>
      </c>
      <c r="E1019" s="11">
        <v>99</v>
      </c>
      <c r="F1019" s="21" t="s">
        <v>2807</v>
      </c>
      <c r="G1019" s="11" t="s">
        <v>2804</v>
      </c>
      <c r="H1019" s="11" t="s">
        <v>2799</v>
      </c>
      <c r="I1019" s="12" t="s">
        <v>2804</v>
      </c>
      <c r="J1019" s="11" t="s">
        <v>2805</v>
      </c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21" t="s">
        <v>2808</v>
      </c>
      <c r="B1020" s="12" t="s">
        <v>2809</v>
      </c>
      <c r="C1020" s="11" t="s">
        <v>2805</v>
      </c>
      <c r="D1020" s="13" t="s">
        <v>2810</v>
      </c>
      <c r="E1020" s="11">
        <v>100</v>
      </c>
      <c r="F1020" s="21" t="s">
        <v>2811</v>
      </c>
      <c r="G1020" s="11" t="s">
        <v>2809</v>
      </c>
      <c r="H1020" s="11" t="s">
        <v>2799</v>
      </c>
      <c r="I1020" s="12" t="s">
        <v>2809</v>
      </c>
      <c r="J1020" s="11" t="s">
        <v>2805</v>
      </c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21" t="s">
        <v>2812</v>
      </c>
      <c r="B1021" s="12" t="s">
        <v>2813</v>
      </c>
      <c r="C1021" s="11" t="s">
        <v>2805</v>
      </c>
      <c r="D1021" s="13" t="s">
        <v>2806</v>
      </c>
      <c r="E1021" s="11">
        <v>102</v>
      </c>
      <c r="F1021" s="21" t="s">
        <v>2814</v>
      </c>
      <c r="G1021" s="11" t="s">
        <v>2813</v>
      </c>
      <c r="H1021" s="11" t="s">
        <v>2799</v>
      </c>
      <c r="I1021" s="12" t="s">
        <v>2813</v>
      </c>
      <c r="J1021" s="11" t="s">
        <v>2805</v>
      </c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21" t="s">
        <v>2815</v>
      </c>
      <c r="B1022" s="12" t="s">
        <v>2816</v>
      </c>
      <c r="C1022" s="11" t="s">
        <v>2805</v>
      </c>
      <c r="D1022" s="13" t="s">
        <v>230</v>
      </c>
      <c r="E1022" s="11">
        <v>197</v>
      </c>
      <c r="F1022" s="21" t="s">
        <v>231</v>
      </c>
      <c r="G1022" s="11" t="s">
        <v>2816</v>
      </c>
      <c r="H1022" s="11" t="s">
        <v>2799</v>
      </c>
      <c r="I1022" s="12" t="s">
        <v>2816</v>
      </c>
      <c r="J1022" s="11" t="s">
        <v>2805</v>
      </c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21" t="s">
        <v>232</v>
      </c>
      <c r="B1023" s="12" t="s">
        <v>233</v>
      </c>
      <c r="C1023" s="11" t="s">
        <v>2805</v>
      </c>
      <c r="D1023" s="13" t="s">
        <v>234</v>
      </c>
      <c r="E1023" s="11">
        <v>601</v>
      </c>
      <c r="F1023" s="21" t="s">
        <v>235</v>
      </c>
      <c r="G1023" s="11" t="s">
        <v>236</v>
      </c>
      <c r="H1023" s="11" t="s">
        <v>2799</v>
      </c>
      <c r="I1023" s="12" t="s">
        <v>233</v>
      </c>
      <c r="J1023" s="11" t="s">
        <v>2805</v>
      </c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21" t="s">
        <v>237</v>
      </c>
      <c r="B1024" s="12" t="s">
        <v>238</v>
      </c>
      <c r="C1024" s="11" t="s">
        <v>2805</v>
      </c>
      <c r="D1024" s="13" t="s">
        <v>239</v>
      </c>
      <c r="E1024" s="11">
        <v>215</v>
      </c>
      <c r="F1024" s="21" t="s">
        <v>240</v>
      </c>
      <c r="G1024" s="11" t="s">
        <v>238</v>
      </c>
      <c r="H1024" s="11" t="s">
        <v>2799</v>
      </c>
      <c r="I1024" s="12" t="s">
        <v>238</v>
      </c>
      <c r="J1024" s="11" t="s">
        <v>2805</v>
      </c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21" t="s">
        <v>241</v>
      </c>
      <c r="B1025" s="12" t="s">
        <v>242</v>
      </c>
      <c r="C1025" s="11" t="s">
        <v>2805</v>
      </c>
      <c r="D1025" s="13" t="s">
        <v>243</v>
      </c>
      <c r="E1025" s="11">
        <v>195</v>
      </c>
      <c r="F1025" s="21" t="s">
        <v>244</v>
      </c>
      <c r="G1025" s="11" t="s">
        <v>242</v>
      </c>
      <c r="H1025" s="11" t="s">
        <v>2799</v>
      </c>
      <c r="I1025" s="12" t="s">
        <v>242</v>
      </c>
      <c r="J1025" s="11" t="s">
        <v>2805</v>
      </c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21" t="s">
        <v>245</v>
      </c>
      <c r="B1026" s="12" t="s">
        <v>246</v>
      </c>
      <c r="C1026" s="11" t="s">
        <v>2805</v>
      </c>
      <c r="D1026" s="13" t="s">
        <v>247</v>
      </c>
      <c r="E1026" s="11">
        <v>318</v>
      </c>
      <c r="F1026" s="21" t="s">
        <v>248</v>
      </c>
      <c r="G1026" s="11" t="s">
        <v>246</v>
      </c>
      <c r="H1026" s="11" t="s">
        <v>2799</v>
      </c>
      <c r="I1026" s="12" t="s">
        <v>246</v>
      </c>
      <c r="J1026" s="11" t="s">
        <v>2805</v>
      </c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21" t="s">
        <v>249</v>
      </c>
      <c r="B1027" s="12" t="s">
        <v>250</v>
      </c>
      <c r="C1027" s="11" t="s">
        <v>2805</v>
      </c>
      <c r="D1027" s="13" t="s">
        <v>251</v>
      </c>
      <c r="E1027" s="11">
        <v>100</v>
      </c>
      <c r="F1027" s="21" t="s">
        <v>252</v>
      </c>
      <c r="G1027" s="11" t="s">
        <v>250</v>
      </c>
      <c r="H1027" s="11" t="s">
        <v>2799</v>
      </c>
      <c r="I1027" s="12" t="s">
        <v>250</v>
      </c>
      <c r="J1027" s="11" t="s">
        <v>2805</v>
      </c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21" t="s">
        <v>253</v>
      </c>
      <c r="B1028" s="12" t="s">
        <v>254</v>
      </c>
      <c r="C1028" s="11" t="s">
        <v>2805</v>
      </c>
      <c r="D1028" s="13" t="s">
        <v>255</v>
      </c>
      <c r="E1028" s="11">
        <v>569</v>
      </c>
      <c r="F1028" s="21" t="s">
        <v>256</v>
      </c>
      <c r="G1028" s="11" t="s">
        <v>254</v>
      </c>
      <c r="H1028" s="11" t="s">
        <v>2799</v>
      </c>
      <c r="I1028" s="12" t="s">
        <v>254</v>
      </c>
      <c r="J1028" s="11" t="s">
        <v>2805</v>
      </c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21" t="s">
        <v>2146</v>
      </c>
      <c r="B1029" s="12" t="s">
        <v>2147</v>
      </c>
      <c r="C1029" s="11" t="s">
        <v>2805</v>
      </c>
      <c r="D1029" s="13" t="s">
        <v>234</v>
      </c>
      <c r="E1029" s="11">
        <v>89</v>
      </c>
      <c r="F1029" s="21" t="s">
        <v>2148</v>
      </c>
      <c r="G1029" s="11" t="s">
        <v>2149</v>
      </c>
      <c r="H1029" s="11" t="s">
        <v>2799</v>
      </c>
      <c r="I1029" s="12" t="s">
        <v>2147</v>
      </c>
      <c r="J1029" s="11" t="s">
        <v>2805</v>
      </c>
      <c r="K1029" s="10"/>
      <c r="L1029" s="10"/>
    </row>
    <row r="1030" spans="1:29" x14ac:dyDescent="0.25">
      <c r="A1030" s="21" t="s">
        <v>257</v>
      </c>
      <c r="B1030" s="12" t="s">
        <v>258</v>
      </c>
      <c r="C1030" s="11" t="s">
        <v>2805</v>
      </c>
      <c r="D1030" s="13" t="s">
        <v>259</v>
      </c>
      <c r="E1030" s="11">
        <v>351</v>
      </c>
      <c r="F1030" s="21" t="s">
        <v>260</v>
      </c>
      <c r="G1030" s="11" t="s">
        <v>258</v>
      </c>
      <c r="H1030" s="11" t="s">
        <v>2799</v>
      </c>
      <c r="I1030" s="12" t="s">
        <v>258</v>
      </c>
      <c r="J1030" s="11" t="s">
        <v>2805</v>
      </c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21" t="s">
        <v>261</v>
      </c>
      <c r="B1031" s="12" t="s">
        <v>262</v>
      </c>
      <c r="C1031" s="11" t="s">
        <v>2805</v>
      </c>
      <c r="D1031" s="13" t="s">
        <v>263</v>
      </c>
      <c r="E1031" s="11">
        <v>0</v>
      </c>
      <c r="F1031" s="21" t="s">
        <v>264</v>
      </c>
      <c r="G1031" s="11" t="s">
        <v>2850</v>
      </c>
      <c r="H1031" s="11" t="s">
        <v>2799</v>
      </c>
      <c r="I1031" s="12" t="s">
        <v>262</v>
      </c>
      <c r="J1031" s="11" t="s">
        <v>2805</v>
      </c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21" t="s">
        <v>2851</v>
      </c>
      <c r="B1032" s="12" t="s">
        <v>2852</v>
      </c>
      <c r="C1032" s="11" t="s">
        <v>2805</v>
      </c>
      <c r="D1032" s="13" t="s">
        <v>2853</v>
      </c>
      <c r="E1032" s="11">
        <v>201</v>
      </c>
      <c r="F1032" s="21" t="s">
        <v>2854</v>
      </c>
      <c r="G1032" s="11" t="s">
        <v>2852</v>
      </c>
      <c r="H1032" s="11" t="s">
        <v>2799</v>
      </c>
      <c r="I1032" s="12" t="s">
        <v>2852</v>
      </c>
      <c r="J1032" s="11" t="s">
        <v>2805</v>
      </c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21" t="s">
        <v>2855</v>
      </c>
      <c r="B1033" s="12" t="s">
        <v>2856</v>
      </c>
      <c r="C1033" s="11" t="s">
        <v>2805</v>
      </c>
      <c r="D1033" s="13" t="s">
        <v>2806</v>
      </c>
      <c r="E1033" s="11">
        <v>0</v>
      </c>
      <c r="F1033" s="21" t="s">
        <v>2857</v>
      </c>
      <c r="G1033" s="11" t="s">
        <v>2858</v>
      </c>
      <c r="H1033" s="11" t="s">
        <v>2799</v>
      </c>
      <c r="I1033" s="12" t="s">
        <v>2856</v>
      </c>
      <c r="J1033" s="11" t="s">
        <v>2805</v>
      </c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21" t="s">
        <v>2859</v>
      </c>
      <c r="B1034" s="12" t="s">
        <v>4645</v>
      </c>
      <c r="C1034" s="11" t="s">
        <v>2805</v>
      </c>
      <c r="D1034" s="13" t="s">
        <v>4646</v>
      </c>
      <c r="E1034" s="11">
        <v>315</v>
      </c>
      <c r="F1034" s="21" t="s">
        <v>4647</v>
      </c>
      <c r="G1034" s="11" t="s">
        <v>4648</v>
      </c>
      <c r="H1034" s="11" t="s">
        <v>2799</v>
      </c>
      <c r="I1034" s="12" t="s">
        <v>4645</v>
      </c>
      <c r="J1034" s="11" t="s">
        <v>2805</v>
      </c>
      <c r="K1034" s="10"/>
      <c r="L1034" s="10"/>
    </row>
    <row r="1035" spans="1:29" x14ac:dyDescent="0.25">
      <c r="A1035" s="21" t="s">
        <v>2157</v>
      </c>
      <c r="B1035" s="12" t="s">
        <v>2158</v>
      </c>
      <c r="C1035" s="11" t="s">
        <v>2805</v>
      </c>
      <c r="D1035" s="13" t="s">
        <v>255</v>
      </c>
      <c r="E1035" s="11">
        <v>117</v>
      </c>
      <c r="F1035" s="21" t="s">
        <v>2159</v>
      </c>
      <c r="G1035" s="11" t="s">
        <v>2158</v>
      </c>
      <c r="H1035" s="11" t="s">
        <v>2799</v>
      </c>
      <c r="I1035" s="12" t="s">
        <v>2158</v>
      </c>
      <c r="J1035" s="11" t="s">
        <v>2805</v>
      </c>
      <c r="K1035" s="10"/>
      <c r="L1035" s="10"/>
    </row>
    <row r="1036" spans="1:29" x14ac:dyDescent="0.25">
      <c r="A1036" s="21" t="s">
        <v>2169</v>
      </c>
      <c r="B1036" s="12" t="s">
        <v>2170</v>
      </c>
      <c r="C1036" s="11" t="s">
        <v>2805</v>
      </c>
      <c r="D1036" s="13" t="s">
        <v>2171</v>
      </c>
      <c r="E1036" s="11">
        <v>0</v>
      </c>
      <c r="F1036" s="21" t="s">
        <v>2172</v>
      </c>
      <c r="G1036" s="11" t="s">
        <v>2170</v>
      </c>
      <c r="H1036" s="11" t="s">
        <v>2799</v>
      </c>
      <c r="I1036" s="12" t="s">
        <v>2170</v>
      </c>
      <c r="J1036" s="11" t="s">
        <v>2805</v>
      </c>
      <c r="K1036" s="10"/>
      <c r="L1036" s="10"/>
    </row>
    <row r="1037" spans="1:29" x14ac:dyDescent="0.25">
      <c r="A1037" s="21" t="s">
        <v>4649</v>
      </c>
      <c r="B1037" s="12" t="s">
        <v>4650</v>
      </c>
      <c r="C1037" s="11" t="s">
        <v>2805</v>
      </c>
      <c r="D1037" s="13" t="s">
        <v>4651</v>
      </c>
      <c r="E1037" s="11">
        <v>358</v>
      </c>
      <c r="F1037" s="21" t="s">
        <v>4652</v>
      </c>
      <c r="G1037" s="11" t="s">
        <v>4650</v>
      </c>
      <c r="H1037" s="11" t="s">
        <v>2799</v>
      </c>
      <c r="I1037" s="12" t="s">
        <v>4650</v>
      </c>
      <c r="J1037" s="11" t="s">
        <v>2805</v>
      </c>
      <c r="K1037" s="10"/>
      <c r="L1037" s="10"/>
    </row>
    <row r="1038" spans="1:29" x14ac:dyDescent="0.25">
      <c r="A1038" s="21" t="s">
        <v>4653</v>
      </c>
      <c r="B1038" s="12" t="s">
        <v>4654</v>
      </c>
      <c r="C1038" s="11" t="s">
        <v>2805</v>
      </c>
      <c r="D1038" s="13" t="s">
        <v>4655</v>
      </c>
      <c r="E1038" s="11">
        <v>625</v>
      </c>
      <c r="F1038" s="21" t="s">
        <v>2121</v>
      </c>
      <c r="G1038" s="11" t="s">
        <v>4654</v>
      </c>
      <c r="H1038" s="11" t="s">
        <v>2799</v>
      </c>
      <c r="I1038" s="12" t="s">
        <v>4654</v>
      </c>
      <c r="J1038" s="11" t="s">
        <v>2805</v>
      </c>
      <c r="K1038" s="10"/>
      <c r="L1038" s="10"/>
    </row>
    <row r="1039" spans="1:29" x14ac:dyDescent="0.25">
      <c r="A1039" s="21" t="s">
        <v>2126</v>
      </c>
      <c r="B1039" s="12" t="s">
        <v>2127</v>
      </c>
      <c r="C1039" s="11" t="s">
        <v>2805</v>
      </c>
      <c r="D1039" s="13" t="s">
        <v>2128</v>
      </c>
      <c r="E1039" s="11">
        <v>296</v>
      </c>
      <c r="F1039" s="21" t="s">
        <v>2129</v>
      </c>
      <c r="G1039" s="11" t="s">
        <v>2127</v>
      </c>
      <c r="H1039" s="11" t="s">
        <v>2799</v>
      </c>
      <c r="I1039" s="12" t="s">
        <v>2127</v>
      </c>
      <c r="J1039" s="11" t="s">
        <v>2805</v>
      </c>
      <c r="K1039" s="10"/>
      <c r="L1039" s="10"/>
    </row>
    <row r="1040" spans="1:29" x14ac:dyDescent="0.25">
      <c r="A1040" s="21" t="s">
        <v>2130</v>
      </c>
      <c r="B1040" s="12" t="s">
        <v>2131</v>
      </c>
      <c r="C1040" s="11" t="s">
        <v>2805</v>
      </c>
      <c r="D1040" s="13" t="s">
        <v>2132</v>
      </c>
      <c r="E1040" s="11">
        <v>201</v>
      </c>
      <c r="F1040" s="21" t="s">
        <v>2133</v>
      </c>
      <c r="G1040" s="11" t="s">
        <v>2134</v>
      </c>
      <c r="H1040" s="11" t="s">
        <v>2799</v>
      </c>
      <c r="I1040" s="12" t="s">
        <v>2131</v>
      </c>
      <c r="J1040" s="11" t="s">
        <v>2805</v>
      </c>
      <c r="K1040" s="10"/>
      <c r="L1040" s="10"/>
    </row>
    <row r="1041" spans="1:29" x14ac:dyDescent="0.25">
      <c r="A1041" s="21" t="s">
        <v>2153</v>
      </c>
      <c r="B1041" s="12" t="s">
        <v>2154</v>
      </c>
      <c r="C1041" s="11" t="s">
        <v>2805</v>
      </c>
      <c r="D1041" s="13" t="s">
        <v>2155</v>
      </c>
      <c r="E1041" s="11">
        <v>998</v>
      </c>
      <c r="F1041" s="21" t="s">
        <v>2156</v>
      </c>
      <c r="G1041" s="11" t="s">
        <v>2799</v>
      </c>
      <c r="H1041" s="11" t="s">
        <v>2799</v>
      </c>
      <c r="I1041" s="12" t="s">
        <v>2154</v>
      </c>
      <c r="J1041" s="11" t="s">
        <v>2805</v>
      </c>
      <c r="K1041" s="10"/>
      <c r="L1041" s="10"/>
    </row>
    <row r="1042" spans="1:29" x14ac:dyDescent="0.25">
      <c r="A1042" s="21" t="s">
        <v>2165</v>
      </c>
      <c r="B1042" s="12" t="s">
        <v>2166</v>
      </c>
      <c r="C1042" s="11" t="s">
        <v>2805</v>
      </c>
      <c r="D1042" s="13" t="s">
        <v>2167</v>
      </c>
      <c r="E1042" s="11">
        <v>0</v>
      </c>
      <c r="F1042" s="21" t="s">
        <v>2168</v>
      </c>
      <c r="G1042" s="11" t="s">
        <v>2799</v>
      </c>
      <c r="H1042" s="11" t="s">
        <v>2799</v>
      </c>
      <c r="I1042" s="12" t="s">
        <v>2166</v>
      </c>
      <c r="J1042" s="11" t="s">
        <v>2805</v>
      </c>
      <c r="K1042" s="10"/>
      <c r="L1042" s="10"/>
    </row>
    <row r="1043" spans="1:29" x14ac:dyDescent="0.25">
      <c r="A1043" s="21" t="s">
        <v>2798</v>
      </c>
      <c r="B1043" s="12" t="s">
        <v>2799</v>
      </c>
      <c r="C1043" s="11" t="s">
        <v>2800</v>
      </c>
      <c r="D1043" s="13" t="s">
        <v>2801</v>
      </c>
      <c r="E1043" s="11">
        <v>160</v>
      </c>
      <c r="F1043" s="21" t="s">
        <v>2802</v>
      </c>
      <c r="G1043" s="11" t="s">
        <v>2799</v>
      </c>
      <c r="H1043" s="11" t="s">
        <v>2799</v>
      </c>
      <c r="I1043" s="12" t="s">
        <v>2799</v>
      </c>
      <c r="J1043" s="11" t="s">
        <v>2800</v>
      </c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21" t="s">
        <v>2122</v>
      </c>
      <c r="B1044" s="12" t="s">
        <v>2123</v>
      </c>
      <c r="C1044" s="11" t="s">
        <v>2805</v>
      </c>
      <c r="D1044" s="13" t="s">
        <v>247</v>
      </c>
      <c r="E1044" s="11">
        <v>100</v>
      </c>
      <c r="F1044" s="21" t="s">
        <v>2124</v>
      </c>
      <c r="G1044" s="11" t="s">
        <v>2125</v>
      </c>
      <c r="H1044" s="11" t="s">
        <v>2799</v>
      </c>
      <c r="I1044" s="12" t="s">
        <v>2123</v>
      </c>
      <c r="J1044" s="11" t="s">
        <v>2805</v>
      </c>
      <c r="K1044" s="10"/>
      <c r="L1044" s="10"/>
    </row>
    <row r="1045" spans="1:29" x14ac:dyDescent="0.25">
      <c r="A1045" s="21" t="s">
        <v>2135</v>
      </c>
      <c r="B1045" s="12" t="s">
        <v>2136</v>
      </c>
      <c r="C1045" s="11" t="s">
        <v>2805</v>
      </c>
      <c r="D1045" s="13" t="s">
        <v>4646</v>
      </c>
      <c r="E1045" s="11">
        <v>20</v>
      </c>
      <c r="F1045" s="21" t="s">
        <v>2137</v>
      </c>
      <c r="G1045" s="11" t="s">
        <v>2138</v>
      </c>
      <c r="H1045" s="11" t="s">
        <v>2799</v>
      </c>
      <c r="I1045" s="12" t="s">
        <v>2136</v>
      </c>
      <c r="J1045" s="11" t="s">
        <v>2805</v>
      </c>
      <c r="K1045" s="10"/>
      <c r="L1045" s="10"/>
    </row>
    <row r="1046" spans="1:29" x14ac:dyDescent="0.25">
      <c r="A1046" s="21" t="s">
        <v>2139</v>
      </c>
      <c r="B1046" s="12" t="s">
        <v>2140</v>
      </c>
      <c r="C1046" s="11" t="s">
        <v>2805</v>
      </c>
      <c r="D1046" s="13" t="s">
        <v>4646</v>
      </c>
      <c r="E1046" s="11">
        <v>1</v>
      </c>
      <c r="F1046" s="21" t="s">
        <v>2141</v>
      </c>
      <c r="G1046" s="11" t="s">
        <v>2140</v>
      </c>
      <c r="H1046" s="11" t="s">
        <v>2799</v>
      </c>
      <c r="I1046" s="12" t="s">
        <v>2140</v>
      </c>
      <c r="J1046" s="11" t="s">
        <v>2805</v>
      </c>
      <c r="K1046" s="10"/>
      <c r="L1046" s="10"/>
    </row>
    <row r="1047" spans="1:29" x14ac:dyDescent="0.25">
      <c r="A1047" s="21" t="s">
        <v>2142</v>
      </c>
      <c r="B1047" s="12" t="s">
        <v>2143</v>
      </c>
      <c r="C1047" s="11" t="s">
        <v>2800</v>
      </c>
      <c r="D1047" s="13" t="s">
        <v>2144</v>
      </c>
      <c r="E1047" s="11">
        <v>402</v>
      </c>
      <c r="F1047" s="21" t="s">
        <v>2145</v>
      </c>
      <c r="G1047" s="11" t="s">
        <v>2143</v>
      </c>
      <c r="H1047" s="11" t="s">
        <v>2799</v>
      </c>
      <c r="I1047" s="12" t="s">
        <v>2143</v>
      </c>
      <c r="J1047" s="11" t="s">
        <v>2800</v>
      </c>
      <c r="K1047" s="10"/>
      <c r="L1047" s="10"/>
    </row>
    <row r="1048" spans="1:29" x14ac:dyDescent="0.25">
      <c r="A1048" s="21" t="s">
        <v>2160</v>
      </c>
      <c r="B1048" s="12" t="s">
        <v>2161</v>
      </c>
      <c r="C1048" s="11" t="s">
        <v>2805</v>
      </c>
      <c r="D1048" s="13" t="s">
        <v>2162</v>
      </c>
      <c r="E1048" s="11" t="s">
        <v>2163</v>
      </c>
      <c r="F1048" s="21" t="s">
        <v>2164</v>
      </c>
      <c r="G1048" s="11" t="s">
        <v>2161</v>
      </c>
      <c r="H1048" s="11" t="s">
        <v>2799</v>
      </c>
      <c r="I1048" s="12" t="s">
        <v>2161</v>
      </c>
      <c r="J1048" s="11" t="s">
        <v>2805</v>
      </c>
      <c r="K1048" s="10"/>
      <c r="L1048" s="10"/>
    </row>
    <row r="1049" spans="1:29" x14ac:dyDescent="0.25">
      <c r="A1049" s="21" t="s">
        <v>2150</v>
      </c>
      <c r="B1049" s="12" t="s">
        <v>2151</v>
      </c>
      <c r="C1049" s="11" t="s">
        <v>2800</v>
      </c>
      <c r="D1049" s="13" t="s">
        <v>2806</v>
      </c>
      <c r="E1049" s="11">
        <v>501</v>
      </c>
      <c r="F1049" s="21" t="s">
        <v>2152</v>
      </c>
      <c r="G1049" s="11" t="s">
        <v>2151</v>
      </c>
      <c r="H1049" s="11" t="s">
        <v>2799</v>
      </c>
      <c r="I1049" s="12" t="s">
        <v>2151</v>
      </c>
      <c r="J1049" s="11" t="s">
        <v>2800</v>
      </c>
      <c r="K1049" s="10"/>
      <c r="L1049" s="10"/>
    </row>
    <row r="1050" spans="1:29" x14ac:dyDescent="0.25">
      <c r="A1050" s="21" t="s">
        <v>3337</v>
      </c>
      <c r="B1050" s="12" t="s">
        <v>3338</v>
      </c>
      <c r="C1050" s="11" t="s">
        <v>2805</v>
      </c>
      <c r="D1050" s="13" t="s">
        <v>3339</v>
      </c>
      <c r="E1050" s="11">
        <v>6260</v>
      </c>
      <c r="F1050" s="21" t="s">
        <v>3340</v>
      </c>
      <c r="G1050" s="11" t="s">
        <v>3338</v>
      </c>
      <c r="H1050" s="11" t="s">
        <v>3491</v>
      </c>
      <c r="I1050" s="12" t="s">
        <v>3338</v>
      </c>
      <c r="J1050" s="11" t="s">
        <v>2805</v>
      </c>
      <c r="K1050" s="10"/>
      <c r="L1050" s="10"/>
    </row>
    <row r="1051" spans="1:29" x14ac:dyDescent="0.25">
      <c r="A1051" s="21" t="s">
        <v>3449</v>
      </c>
      <c r="B1051" s="12" t="s">
        <v>3450</v>
      </c>
      <c r="C1051" s="11" t="s">
        <v>2805</v>
      </c>
      <c r="D1051" s="13" t="s">
        <v>1106</v>
      </c>
      <c r="E1051" s="11">
        <v>0</v>
      </c>
      <c r="F1051" s="21" t="s">
        <v>3451</v>
      </c>
      <c r="G1051" s="11" t="s">
        <v>3450</v>
      </c>
      <c r="H1051" s="11" t="s">
        <v>3491</v>
      </c>
      <c r="I1051" s="12" t="s">
        <v>3450</v>
      </c>
      <c r="J1051" s="11" t="s">
        <v>2805</v>
      </c>
      <c r="K1051" s="10"/>
      <c r="L1051" s="10"/>
    </row>
    <row r="1052" spans="1:29" x14ac:dyDescent="0.25">
      <c r="A1052" s="21" t="s">
        <v>3452</v>
      </c>
      <c r="B1052" s="12" t="s">
        <v>3453</v>
      </c>
      <c r="C1052" s="11" t="s">
        <v>2805</v>
      </c>
      <c r="D1052" s="13" t="s">
        <v>3454</v>
      </c>
      <c r="E1052" s="11">
        <v>0</v>
      </c>
      <c r="F1052" s="21" t="s">
        <v>3455</v>
      </c>
      <c r="G1052" s="11" t="s">
        <v>3453</v>
      </c>
      <c r="H1052" s="11" t="s">
        <v>3491</v>
      </c>
      <c r="I1052" s="12" t="s">
        <v>3453</v>
      </c>
      <c r="J1052" s="11" t="s">
        <v>2805</v>
      </c>
      <c r="K1052" s="10"/>
      <c r="L1052" s="10"/>
    </row>
    <row r="1053" spans="1:29" x14ac:dyDescent="0.25">
      <c r="A1053" s="21" t="s">
        <v>3456</v>
      </c>
      <c r="B1053" s="12" t="s">
        <v>3457</v>
      </c>
      <c r="C1053" s="11" t="s">
        <v>2805</v>
      </c>
      <c r="D1053" s="13" t="s">
        <v>2258</v>
      </c>
      <c r="E1053" s="11">
        <v>2995</v>
      </c>
      <c r="F1053" s="21" t="s">
        <v>3458</v>
      </c>
      <c r="G1053" s="11" t="s">
        <v>3457</v>
      </c>
      <c r="H1053" s="11" t="s">
        <v>3491</v>
      </c>
      <c r="I1053" s="12" t="s">
        <v>3457</v>
      </c>
      <c r="J1053" s="11" t="s">
        <v>2805</v>
      </c>
      <c r="K1053" s="10"/>
      <c r="L1053" s="10"/>
    </row>
    <row r="1054" spans="1:29" x14ac:dyDescent="0.25">
      <c r="A1054" s="21" t="s">
        <v>3459</v>
      </c>
      <c r="B1054" s="12" t="s">
        <v>3460</v>
      </c>
      <c r="C1054" s="11" t="s">
        <v>2805</v>
      </c>
      <c r="D1054" s="13" t="s">
        <v>2190</v>
      </c>
      <c r="E1054" s="11">
        <v>112</v>
      </c>
      <c r="F1054" s="21" t="s">
        <v>3461</v>
      </c>
      <c r="G1054" s="11" t="s">
        <v>3460</v>
      </c>
      <c r="H1054" s="11" t="s">
        <v>3491</v>
      </c>
      <c r="I1054" s="12" t="s">
        <v>3460</v>
      </c>
      <c r="J1054" s="11" t="s">
        <v>2805</v>
      </c>
      <c r="K1054" s="10"/>
      <c r="L1054" s="10"/>
    </row>
    <row r="1055" spans="1:29" x14ac:dyDescent="0.25">
      <c r="A1055" s="21" t="s">
        <v>3462</v>
      </c>
      <c r="B1055" s="12" t="s">
        <v>3463</v>
      </c>
      <c r="C1055" s="11" t="s">
        <v>2805</v>
      </c>
      <c r="D1055" s="13" t="s">
        <v>2778</v>
      </c>
      <c r="E1055" s="11">
        <v>405</v>
      </c>
      <c r="F1055" s="21" t="s">
        <v>3464</v>
      </c>
      <c r="G1055" s="11" t="s">
        <v>3463</v>
      </c>
      <c r="H1055" s="11" t="s">
        <v>3491</v>
      </c>
      <c r="I1055" s="12" t="s">
        <v>3463</v>
      </c>
      <c r="J1055" s="11" t="s">
        <v>2805</v>
      </c>
      <c r="K1055" s="10"/>
      <c r="L1055" s="10"/>
    </row>
    <row r="1056" spans="1:29" x14ac:dyDescent="0.25">
      <c r="A1056" s="21" t="s">
        <v>3332</v>
      </c>
      <c r="B1056" s="12" t="s">
        <v>3333</v>
      </c>
      <c r="C1056" s="11" t="s">
        <v>2805</v>
      </c>
      <c r="D1056" s="13" t="s">
        <v>3334</v>
      </c>
      <c r="E1056" s="11" t="s">
        <v>2163</v>
      </c>
      <c r="F1056" s="21" t="s">
        <v>3335</v>
      </c>
      <c r="G1056" s="11" t="s">
        <v>3336</v>
      </c>
      <c r="H1056" s="11" t="s">
        <v>3491</v>
      </c>
      <c r="I1056" s="12" t="s">
        <v>3333</v>
      </c>
      <c r="J1056" s="11" t="s">
        <v>2805</v>
      </c>
      <c r="K1056" s="10"/>
      <c r="L1056" s="10"/>
    </row>
    <row r="1057" spans="1:12" x14ac:dyDescent="0.25">
      <c r="A1057" s="21" t="s">
        <v>3465</v>
      </c>
      <c r="B1057" s="12" t="s">
        <v>3466</v>
      </c>
      <c r="C1057" s="11" t="s">
        <v>2805</v>
      </c>
      <c r="D1057" s="13" t="s">
        <v>247</v>
      </c>
      <c r="E1057" s="11">
        <v>493</v>
      </c>
      <c r="F1057" s="21" t="s">
        <v>3467</v>
      </c>
      <c r="G1057" s="11" t="s">
        <v>3466</v>
      </c>
      <c r="H1057" s="11" t="s">
        <v>3491</v>
      </c>
      <c r="I1057" s="12" t="s">
        <v>3466</v>
      </c>
      <c r="J1057" s="11" t="s">
        <v>2805</v>
      </c>
      <c r="K1057" s="10"/>
      <c r="L1057" s="10"/>
    </row>
    <row r="1058" spans="1:12" x14ac:dyDescent="0.25">
      <c r="A1058" s="21" t="s">
        <v>3468</v>
      </c>
      <c r="B1058" s="12" t="s">
        <v>4386</v>
      </c>
      <c r="C1058" s="11" t="s">
        <v>2805</v>
      </c>
      <c r="D1058" s="13">
        <v>436</v>
      </c>
      <c r="E1058" s="11">
        <v>100</v>
      </c>
      <c r="F1058" s="21" t="s">
        <v>3469</v>
      </c>
      <c r="G1058" s="11" t="s">
        <v>4386</v>
      </c>
      <c r="H1058" s="11" t="s">
        <v>3491</v>
      </c>
      <c r="I1058" s="12" t="s">
        <v>4386</v>
      </c>
      <c r="J1058" s="11" t="s">
        <v>2805</v>
      </c>
      <c r="K1058" s="10"/>
      <c r="L1058" s="10"/>
    </row>
    <row r="1059" spans="1:12" x14ac:dyDescent="0.25">
      <c r="A1059" s="21" t="s">
        <v>3470</v>
      </c>
      <c r="B1059" s="12" t="s">
        <v>3471</v>
      </c>
      <c r="C1059" s="11" t="s">
        <v>2805</v>
      </c>
      <c r="D1059" s="13" t="s">
        <v>3339</v>
      </c>
      <c r="E1059" s="11">
        <v>7355</v>
      </c>
      <c r="F1059" s="21" t="s">
        <v>3472</v>
      </c>
      <c r="G1059" s="11" t="s">
        <v>3471</v>
      </c>
      <c r="H1059" s="11" t="s">
        <v>3491</v>
      </c>
      <c r="I1059" s="12" t="s">
        <v>3471</v>
      </c>
      <c r="J1059" s="11" t="s">
        <v>2805</v>
      </c>
      <c r="K1059" s="10"/>
      <c r="L1059" s="10"/>
    </row>
    <row r="1060" spans="1:12" x14ac:dyDescent="0.25">
      <c r="A1060" s="21" t="s">
        <v>3473</v>
      </c>
      <c r="B1060" s="12" t="s">
        <v>3474</v>
      </c>
      <c r="C1060" s="11" t="s">
        <v>2805</v>
      </c>
      <c r="D1060" s="13" t="s">
        <v>3475</v>
      </c>
      <c r="E1060" s="11">
        <v>69</v>
      </c>
      <c r="F1060" s="21" t="s">
        <v>3476</v>
      </c>
      <c r="G1060" s="11" t="s">
        <v>3474</v>
      </c>
      <c r="H1060" s="11" t="s">
        <v>3491</v>
      </c>
      <c r="I1060" s="12" t="s">
        <v>3474</v>
      </c>
      <c r="J1060" s="11" t="s">
        <v>2805</v>
      </c>
      <c r="K1060" s="10"/>
      <c r="L1060" s="10"/>
    </row>
    <row r="1061" spans="1:12" x14ac:dyDescent="0.25">
      <c r="A1061" s="21" t="s">
        <v>3329</v>
      </c>
      <c r="B1061" s="12" t="s">
        <v>3330</v>
      </c>
      <c r="C1061" s="11" t="s">
        <v>2805</v>
      </c>
      <c r="D1061" s="13" t="s">
        <v>2557</v>
      </c>
      <c r="E1061" s="11">
        <v>19</v>
      </c>
      <c r="F1061" s="21" t="s">
        <v>3331</v>
      </c>
      <c r="G1061" s="11" t="s">
        <v>1668</v>
      </c>
      <c r="H1061" s="11" t="s">
        <v>3491</v>
      </c>
      <c r="I1061" s="12" t="s">
        <v>3330</v>
      </c>
      <c r="J1061" s="11" t="s">
        <v>2805</v>
      </c>
      <c r="K1061" s="10"/>
      <c r="L1061" s="10"/>
    </row>
    <row r="1062" spans="1:12" x14ac:dyDescent="0.25">
      <c r="A1062" s="21" t="s">
        <v>3477</v>
      </c>
      <c r="B1062" s="12" t="s">
        <v>3478</v>
      </c>
      <c r="C1062" s="11" t="s">
        <v>2805</v>
      </c>
      <c r="D1062" s="13" t="s">
        <v>3479</v>
      </c>
      <c r="E1062" s="11">
        <v>10</v>
      </c>
      <c r="F1062" s="21" t="s">
        <v>3480</v>
      </c>
      <c r="G1062" s="11" t="s">
        <v>3478</v>
      </c>
      <c r="H1062" s="11" t="s">
        <v>3491</v>
      </c>
      <c r="I1062" s="12" t="s">
        <v>3478</v>
      </c>
      <c r="J1062" s="11" t="s">
        <v>2805</v>
      </c>
      <c r="K1062" s="10"/>
      <c r="L1062" s="10"/>
    </row>
    <row r="1063" spans="1:12" x14ac:dyDescent="0.25">
      <c r="A1063" s="21" t="s">
        <v>3484</v>
      </c>
      <c r="B1063" s="12" t="s">
        <v>3485</v>
      </c>
      <c r="C1063" s="11" t="s">
        <v>2805</v>
      </c>
      <c r="D1063" s="13" t="s">
        <v>3076</v>
      </c>
      <c r="E1063" s="11">
        <v>75</v>
      </c>
      <c r="F1063" s="21" t="s">
        <v>3486</v>
      </c>
      <c r="G1063" s="11" t="s">
        <v>1786</v>
      </c>
      <c r="H1063" s="11" t="s">
        <v>3491</v>
      </c>
      <c r="I1063" s="12" t="s">
        <v>3485</v>
      </c>
      <c r="J1063" s="11" t="s">
        <v>2805</v>
      </c>
      <c r="K1063" s="10"/>
      <c r="L1063" s="10"/>
    </row>
    <row r="1064" spans="1:12" x14ac:dyDescent="0.25">
      <c r="A1064" s="21" t="s">
        <v>3326</v>
      </c>
      <c r="B1064" s="12" t="s">
        <v>3491</v>
      </c>
      <c r="C1064" s="11" t="s">
        <v>2800</v>
      </c>
      <c r="D1064" s="13" t="s">
        <v>3327</v>
      </c>
      <c r="E1064" s="11">
        <v>223</v>
      </c>
      <c r="F1064" s="21" t="s">
        <v>3328</v>
      </c>
      <c r="G1064" s="11" t="s">
        <v>3491</v>
      </c>
      <c r="H1064" s="11" t="s">
        <v>3491</v>
      </c>
      <c r="I1064" s="12" t="s">
        <v>3491</v>
      </c>
      <c r="J1064" s="11" t="s">
        <v>2800</v>
      </c>
      <c r="K1064" s="10"/>
      <c r="L1064" s="10"/>
    </row>
    <row r="1065" spans="1:12" x14ac:dyDescent="0.25">
      <c r="A1065" s="21" t="s">
        <v>1800</v>
      </c>
      <c r="B1065" s="12" t="s">
        <v>1993</v>
      </c>
      <c r="C1065" s="11" t="s">
        <v>2805</v>
      </c>
      <c r="D1065" s="13" t="s">
        <v>247</v>
      </c>
      <c r="E1065" s="11">
        <v>0</v>
      </c>
      <c r="F1065" s="21" t="s">
        <v>1801</v>
      </c>
      <c r="G1065" s="11" t="s">
        <v>247</v>
      </c>
      <c r="H1065" s="11" t="s">
        <v>3491</v>
      </c>
      <c r="I1065" s="12" t="s">
        <v>1993</v>
      </c>
      <c r="J1065" s="11" t="s">
        <v>2805</v>
      </c>
      <c r="K1065" s="10"/>
      <c r="L1065" s="10"/>
    </row>
    <row r="1066" spans="1:12" x14ac:dyDescent="0.25">
      <c r="A1066" s="21" t="s">
        <v>3481</v>
      </c>
      <c r="B1066" s="12" t="s">
        <v>353</v>
      </c>
      <c r="C1066" s="11" t="s">
        <v>2805</v>
      </c>
      <c r="D1066" s="13" t="s">
        <v>3482</v>
      </c>
      <c r="E1066" s="11">
        <v>709</v>
      </c>
      <c r="F1066" s="21" t="s">
        <v>3483</v>
      </c>
      <c r="G1066" s="11" t="s">
        <v>353</v>
      </c>
      <c r="H1066" s="11" t="s">
        <v>3491</v>
      </c>
      <c r="I1066" s="12" t="s">
        <v>353</v>
      </c>
      <c r="J1066" s="11" t="s">
        <v>2805</v>
      </c>
      <c r="K1066" s="10"/>
      <c r="L1066" s="10"/>
    </row>
    <row r="1067" spans="1:12" x14ac:dyDescent="0.25">
      <c r="A1067" s="21" t="s">
        <v>1787</v>
      </c>
      <c r="B1067" s="12" t="s">
        <v>1788</v>
      </c>
      <c r="C1067" s="11" t="s">
        <v>2805</v>
      </c>
      <c r="D1067" s="13" t="s">
        <v>995</v>
      </c>
      <c r="E1067" s="11">
        <v>1082</v>
      </c>
      <c r="F1067" s="21" t="s">
        <v>1789</v>
      </c>
      <c r="G1067" s="11" t="s">
        <v>1788</v>
      </c>
      <c r="H1067" s="11" t="s">
        <v>3491</v>
      </c>
      <c r="I1067" s="12" t="s">
        <v>1788</v>
      </c>
      <c r="J1067" s="11" t="s">
        <v>2805</v>
      </c>
      <c r="K1067" s="10"/>
      <c r="L1067" s="10"/>
    </row>
    <row r="1068" spans="1:12" x14ac:dyDescent="0.25">
      <c r="A1068" s="21" t="s">
        <v>1790</v>
      </c>
      <c r="B1068" s="12" t="s">
        <v>1791</v>
      </c>
      <c r="C1068" s="11" t="s">
        <v>2805</v>
      </c>
      <c r="D1068" s="13" t="s">
        <v>1792</v>
      </c>
      <c r="E1068" s="11">
        <v>0</v>
      </c>
      <c r="F1068" s="21" t="s">
        <v>1793</v>
      </c>
      <c r="G1068" s="11" t="s">
        <v>1791</v>
      </c>
      <c r="H1068" s="11" t="s">
        <v>3491</v>
      </c>
      <c r="I1068" s="12" t="s">
        <v>1791</v>
      </c>
      <c r="J1068" s="11" t="s">
        <v>2805</v>
      </c>
      <c r="K1068" s="10"/>
      <c r="L1068" s="10"/>
    </row>
    <row r="1069" spans="1:12" x14ac:dyDescent="0.25">
      <c r="A1069" s="21" t="s">
        <v>1794</v>
      </c>
      <c r="B1069" s="12" t="s">
        <v>1795</v>
      </c>
      <c r="C1069" s="11" t="s">
        <v>2805</v>
      </c>
      <c r="D1069" s="13" t="s">
        <v>2258</v>
      </c>
      <c r="E1069" s="11">
        <v>446</v>
      </c>
      <c r="F1069" s="21" t="s">
        <v>1796</v>
      </c>
      <c r="G1069" s="11" t="s">
        <v>1795</v>
      </c>
      <c r="H1069" s="11" t="s">
        <v>3491</v>
      </c>
      <c r="I1069" s="12" t="s">
        <v>1795</v>
      </c>
      <c r="J1069" s="11" t="s">
        <v>2805</v>
      </c>
      <c r="K1069" s="10"/>
      <c r="L1069" s="10"/>
    </row>
    <row r="1070" spans="1:12" x14ac:dyDescent="0.25">
      <c r="A1070" s="21" t="s">
        <v>1797</v>
      </c>
      <c r="B1070" s="12" t="s">
        <v>1798</v>
      </c>
      <c r="C1070" s="11" t="s">
        <v>2805</v>
      </c>
      <c r="D1070" s="13" t="s">
        <v>234</v>
      </c>
      <c r="E1070" s="11">
        <v>400</v>
      </c>
      <c r="F1070" s="21" t="s">
        <v>1799</v>
      </c>
      <c r="G1070" s="11" t="s">
        <v>1798</v>
      </c>
      <c r="H1070" s="11" t="s">
        <v>3491</v>
      </c>
      <c r="I1070" s="12" t="s">
        <v>1798</v>
      </c>
      <c r="J1070" s="11" t="s">
        <v>2805</v>
      </c>
      <c r="K1070" s="10"/>
      <c r="L1070" s="10"/>
    </row>
    <row r="1071" spans="1:12" x14ac:dyDescent="0.25">
      <c r="A1071" s="21" t="s">
        <v>1924</v>
      </c>
      <c r="B1071" s="12" t="s">
        <v>1925</v>
      </c>
      <c r="C1071" s="11" t="s">
        <v>2805</v>
      </c>
      <c r="D1071" s="13" t="s">
        <v>1926</v>
      </c>
      <c r="E1071" s="11">
        <v>0</v>
      </c>
      <c r="F1071" s="21" t="s">
        <v>1927</v>
      </c>
      <c r="G1071" s="11" t="s">
        <v>1925</v>
      </c>
      <c r="H1071" s="11" t="s">
        <v>992</v>
      </c>
      <c r="I1071" s="12" t="s">
        <v>1925</v>
      </c>
      <c r="J1071" s="11" t="s">
        <v>2805</v>
      </c>
      <c r="K1071" s="10"/>
      <c r="L1071" s="10"/>
    </row>
    <row r="1072" spans="1:12" x14ac:dyDescent="0.25">
      <c r="A1072" s="21" t="s">
        <v>1928</v>
      </c>
      <c r="B1072" s="12" t="s">
        <v>1929</v>
      </c>
      <c r="C1072" s="11" t="s">
        <v>2805</v>
      </c>
      <c r="D1072" s="13" t="s">
        <v>3670</v>
      </c>
      <c r="E1072" s="11">
        <v>0</v>
      </c>
      <c r="F1072" s="21" t="s">
        <v>3671</v>
      </c>
      <c r="G1072" s="11" t="s">
        <v>1929</v>
      </c>
      <c r="H1072" s="11" t="s">
        <v>992</v>
      </c>
      <c r="I1072" s="12" t="s">
        <v>1929</v>
      </c>
      <c r="J1072" s="11" t="s">
        <v>2805</v>
      </c>
      <c r="K1072" s="10"/>
      <c r="L1072" s="10"/>
    </row>
    <row r="1073" spans="1:12" x14ac:dyDescent="0.25">
      <c r="A1073" s="21" t="s">
        <v>3672</v>
      </c>
      <c r="B1073" s="12" t="s">
        <v>3673</v>
      </c>
      <c r="C1073" s="11" t="s">
        <v>2805</v>
      </c>
      <c r="D1073" s="13" t="s">
        <v>2171</v>
      </c>
      <c r="E1073" s="11">
        <v>0</v>
      </c>
      <c r="F1073" s="21" t="s">
        <v>3674</v>
      </c>
      <c r="G1073" s="11" t="s">
        <v>3673</v>
      </c>
      <c r="H1073" s="11" t="s">
        <v>992</v>
      </c>
      <c r="I1073" s="12" t="s">
        <v>3673</v>
      </c>
      <c r="J1073" s="11" t="s">
        <v>2805</v>
      </c>
      <c r="K1073" s="10"/>
      <c r="L1073" s="10"/>
    </row>
    <row r="1074" spans="1:12" x14ac:dyDescent="0.25">
      <c r="A1074" s="21" t="s">
        <v>3675</v>
      </c>
      <c r="B1074" s="12" t="s">
        <v>3676</v>
      </c>
      <c r="C1074" s="11" t="s">
        <v>2805</v>
      </c>
      <c r="D1074" s="13" t="s">
        <v>2262</v>
      </c>
      <c r="E1074" s="11">
        <v>534</v>
      </c>
      <c r="F1074" s="21" t="s">
        <v>3677</v>
      </c>
      <c r="G1074" s="11" t="s">
        <v>3676</v>
      </c>
      <c r="H1074" s="11" t="s">
        <v>992</v>
      </c>
      <c r="I1074" s="12" t="s">
        <v>3676</v>
      </c>
      <c r="J1074" s="11" t="s">
        <v>2805</v>
      </c>
      <c r="K1074" s="10"/>
      <c r="L1074" s="10"/>
    </row>
    <row r="1075" spans="1:12" x14ac:dyDescent="0.25">
      <c r="A1075" s="21" t="s">
        <v>3678</v>
      </c>
      <c r="B1075" s="12" t="s">
        <v>3679</v>
      </c>
      <c r="C1075" s="11" t="s">
        <v>2805</v>
      </c>
      <c r="D1075" s="13" t="s">
        <v>2262</v>
      </c>
      <c r="E1075" s="11">
        <v>791</v>
      </c>
      <c r="F1075" s="21" t="s">
        <v>3680</v>
      </c>
      <c r="G1075" s="11" t="s">
        <v>3679</v>
      </c>
      <c r="H1075" s="11" t="s">
        <v>992</v>
      </c>
      <c r="I1075" s="12" t="s">
        <v>3679</v>
      </c>
      <c r="J1075" s="11" t="s">
        <v>2805</v>
      </c>
      <c r="K1075" s="10"/>
      <c r="L1075" s="10"/>
    </row>
    <row r="1076" spans="1:12" x14ac:dyDescent="0.25">
      <c r="A1076" s="21" t="s">
        <v>3681</v>
      </c>
      <c r="B1076" s="12" t="s">
        <v>3682</v>
      </c>
      <c r="C1076" s="11" t="s">
        <v>2805</v>
      </c>
      <c r="D1076" s="13" t="s">
        <v>3683</v>
      </c>
      <c r="E1076" s="11">
        <v>193</v>
      </c>
      <c r="F1076" s="21" t="s">
        <v>3684</v>
      </c>
      <c r="G1076" s="11" t="s">
        <v>3682</v>
      </c>
      <c r="H1076" s="11" t="s">
        <v>992</v>
      </c>
      <c r="I1076" s="12" t="s">
        <v>3682</v>
      </c>
      <c r="J1076" s="11" t="s">
        <v>2805</v>
      </c>
      <c r="K1076" s="10"/>
      <c r="L1076" s="10"/>
    </row>
    <row r="1077" spans="1:12" x14ac:dyDescent="0.25">
      <c r="A1077" s="21" t="s">
        <v>1967</v>
      </c>
      <c r="B1077" s="12" t="s">
        <v>946</v>
      </c>
      <c r="C1077" s="11" t="s">
        <v>2805</v>
      </c>
      <c r="D1077" s="13" t="s">
        <v>3670</v>
      </c>
      <c r="E1077" s="11">
        <v>0</v>
      </c>
      <c r="F1077" s="21" t="s">
        <v>1968</v>
      </c>
      <c r="G1077" s="11" t="s">
        <v>946</v>
      </c>
      <c r="H1077" s="11" t="s">
        <v>992</v>
      </c>
      <c r="I1077" s="12" t="s">
        <v>946</v>
      </c>
      <c r="J1077" s="11" t="s">
        <v>2805</v>
      </c>
      <c r="K1077" s="10"/>
      <c r="L1077" s="10"/>
    </row>
    <row r="1078" spans="1:12" x14ac:dyDescent="0.25">
      <c r="A1078" s="21" t="s">
        <v>1976</v>
      </c>
      <c r="B1078" s="12" t="s">
        <v>4307</v>
      </c>
      <c r="C1078" s="11" t="s">
        <v>2805</v>
      </c>
      <c r="D1078" s="13" t="s">
        <v>1977</v>
      </c>
      <c r="E1078" s="11">
        <v>579</v>
      </c>
      <c r="F1078" s="21" t="s">
        <v>1978</v>
      </c>
      <c r="G1078" s="11" t="s">
        <v>4307</v>
      </c>
      <c r="H1078" s="11" t="s">
        <v>992</v>
      </c>
      <c r="I1078" s="12" t="s">
        <v>4307</v>
      </c>
      <c r="J1078" s="11" t="s">
        <v>2805</v>
      </c>
      <c r="K1078" s="10"/>
      <c r="L1078" s="10"/>
    </row>
    <row r="1079" spans="1:12" x14ac:dyDescent="0.25">
      <c r="A1079" s="21" t="s">
        <v>1979</v>
      </c>
      <c r="B1079" s="12" t="s">
        <v>1980</v>
      </c>
      <c r="C1079" s="11" t="s">
        <v>2805</v>
      </c>
      <c r="D1079" s="13" t="s">
        <v>247</v>
      </c>
      <c r="E1079" s="11">
        <v>493</v>
      </c>
      <c r="F1079" s="21" t="s">
        <v>1981</v>
      </c>
      <c r="G1079" s="11" t="s">
        <v>1980</v>
      </c>
      <c r="H1079" s="11" t="s">
        <v>992</v>
      </c>
      <c r="I1079" s="12" t="s">
        <v>1980</v>
      </c>
      <c r="J1079" s="11" t="s">
        <v>2805</v>
      </c>
      <c r="K1079" s="10"/>
      <c r="L1079" s="10"/>
    </row>
    <row r="1080" spans="1:12" x14ac:dyDescent="0.25">
      <c r="A1080" s="21" t="s">
        <v>1982</v>
      </c>
      <c r="B1080" s="12" t="s">
        <v>1983</v>
      </c>
      <c r="C1080" s="11" t="s">
        <v>2805</v>
      </c>
      <c r="D1080" s="13" t="s">
        <v>247</v>
      </c>
      <c r="E1080" s="11">
        <v>0</v>
      </c>
      <c r="F1080" s="21" t="s">
        <v>1984</v>
      </c>
      <c r="G1080" s="11" t="s">
        <v>1983</v>
      </c>
      <c r="H1080" s="11" t="s">
        <v>992</v>
      </c>
      <c r="I1080" s="12" t="s">
        <v>1983</v>
      </c>
      <c r="J1080" s="11" t="s">
        <v>2805</v>
      </c>
      <c r="K1080" s="10"/>
      <c r="L1080" s="10"/>
    </row>
    <row r="1081" spans="1:12" x14ac:dyDescent="0.25">
      <c r="A1081" s="21" t="s">
        <v>1985</v>
      </c>
      <c r="B1081" s="12" t="s">
        <v>1986</v>
      </c>
      <c r="C1081" s="11" t="s">
        <v>2805</v>
      </c>
      <c r="D1081" s="13" t="s">
        <v>2343</v>
      </c>
      <c r="E1081" s="11">
        <v>210</v>
      </c>
      <c r="F1081" s="21" t="s">
        <v>1987</v>
      </c>
      <c r="G1081" s="11" t="s">
        <v>1986</v>
      </c>
      <c r="H1081" s="11" t="s">
        <v>992</v>
      </c>
      <c r="I1081" s="12" t="s">
        <v>1986</v>
      </c>
      <c r="J1081" s="11" t="s">
        <v>2805</v>
      </c>
      <c r="K1081" s="10"/>
      <c r="L1081" s="10"/>
    </row>
    <row r="1082" spans="1:12" x14ac:dyDescent="0.25">
      <c r="A1082" s="21" t="s">
        <v>1988</v>
      </c>
      <c r="B1082" s="12" t="s">
        <v>1989</v>
      </c>
      <c r="C1082" s="11" t="s">
        <v>2805</v>
      </c>
      <c r="D1082" s="13" t="s">
        <v>255</v>
      </c>
      <c r="E1082" s="11">
        <v>0</v>
      </c>
      <c r="F1082" s="21" t="s">
        <v>1990</v>
      </c>
      <c r="G1082" s="11" t="s">
        <v>1991</v>
      </c>
      <c r="H1082" s="11" t="s">
        <v>992</v>
      </c>
      <c r="I1082" s="12" t="s">
        <v>1989</v>
      </c>
      <c r="J1082" s="11" t="s">
        <v>2805</v>
      </c>
      <c r="K1082" s="10"/>
      <c r="L1082" s="10"/>
    </row>
    <row r="1083" spans="1:12" x14ac:dyDescent="0.25">
      <c r="A1083" s="21" t="s">
        <v>1921</v>
      </c>
      <c r="B1083" s="12" t="s">
        <v>1922</v>
      </c>
      <c r="C1083" s="11" t="s">
        <v>2805</v>
      </c>
      <c r="D1083" s="13" t="s">
        <v>4718</v>
      </c>
      <c r="E1083" s="11">
        <v>1024</v>
      </c>
      <c r="F1083" s="21" t="s">
        <v>1923</v>
      </c>
      <c r="G1083" s="11" t="s">
        <v>992</v>
      </c>
      <c r="H1083" s="11" t="s">
        <v>992</v>
      </c>
      <c r="I1083" s="12" t="s">
        <v>1922</v>
      </c>
      <c r="J1083" s="11" t="s">
        <v>2805</v>
      </c>
      <c r="K1083" s="10"/>
      <c r="L1083" s="10"/>
    </row>
    <row r="1084" spans="1:12" x14ac:dyDescent="0.25">
      <c r="A1084" s="21" t="s">
        <v>1920</v>
      </c>
      <c r="B1084" s="12" t="s">
        <v>992</v>
      </c>
      <c r="C1084" s="11" t="s">
        <v>2800</v>
      </c>
      <c r="D1084" s="13" t="s">
        <v>247</v>
      </c>
      <c r="E1084" s="11">
        <v>801</v>
      </c>
      <c r="F1084" s="21" t="s">
        <v>4224</v>
      </c>
      <c r="G1084" s="11" t="s">
        <v>992</v>
      </c>
      <c r="H1084" s="11" t="s">
        <v>992</v>
      </c>
      <c r="I1084" s="12" t="s">
        <v>992</v>
      </c>
      <c r="J1084" s="11" t="s">
        <v>2800</v>
      </c>
      <c r="K1084" s="10"/>
      <c r="L1084" s="10"/>
    </row>
    <row r="1085" spans="1:12" x14ac:dyDescent="0.25">
      <c r="A1085" s="21" t="s">
        <v>1992</v>
      </c>
      <c r="B1085" s="12" t="s">
        <v>1993</v>
      </c>
      <c r="C1085" s="11" t="s">
        <v>2805</v>
      </c>
      <c r="D1085" s="13" t="s">
        <v>1994</v>
      </c>
      <c r="E1085" s="11">
        <v>0</v>
      </c>
      <c r="F1085" s="21" t="s">
        <v>1995</v>
      </c>
      <c r="G1085" s="11" t="s">
        <v>247</v>
      </c>
      <c r="H1085" s="11" t="s">
        <v>992</v>
      </c>
      <c r="I1085" s="12" t="s">
        <v>1993</v>
      </c>
      <c r="J1085" s="11" t="s">
        <v>2805</v>
      </c>
      <c r="K1085" s="10"/>
      <c r="L1085" s="10"/>
    </row>
    <row r="1086" spans="1:12" x14ac:dyDescent="0.25">
      <c r="A1086" s="21" t="s">
        <v>1996</v>
      </c>
      <c r="B1086" s="12" t="s">
        <v>3726</v>
      </c>
      <c r="C1086" s="11" t="s">
        <v>2805</v>
      </c>
      <c r="D1086" s="13" t="s">
        <v>2262</v>
      </c>
      <c r="E1086" s="11">
        <v>700</v>
      </c>
      <c r="F1086" s="21" t="s">
        <v>3727</v>
      </c>
      <c r="G1086" s="11" t="s">
        <v>3726</v>
      </c>
      <c r="H1086" s="11" t="s">
        <v>992</v>
      </c>
      <c r="I1086" s="12" t="s">
        <v>3726</v>
      </c>
      <c r="J1086" s="11" t="s">
        <v>2805</v>
      </c>
      <c r="K1086" s="10"/>
      <c r="L1086" s="10"/>
    </row>
    <row r="1087" spans="1:12" x14ac:dyDescent="0.25">
      <c r="A1087" s="21" t="s">
        <v>3728</v>
      </c>
      <c r="B1087" s="12" t="s">
        <v>3729</v>
      </c>
      <c r="C1087" s="11" t="s">
        <v>2805</v>
      </c>
      <c r="D1087" s="13" t="s">
        <v>3670</v>
      </c>
      <c r="E1087" s="11">
        <v>232</v>
      </c>
      <c r="F1087" s="21" t="s">
        <v>3730</v>
      </c>
      <c r="G1087" s="11" t="s">
        <v>3729</v>
      </c>
      <c r="H1087" s="11" t="s">
        <v>992</v>
      </c>
      <c r="I1087" s="12" t="s">
        <v>3729</v>
      </c>
      <c r="J1087" s="11" t="s">
        <v>2805</v>
      </c>
      <c r="K1087" s="10"/>
      <c r="L1087" s="10"/>
    </row>
    <row r="1088" spans="1:12" x14ac:dyDescent="0.25">
      <c r="A1088" s="21" t="s">
        <v>3731</v>
      </c>
      <c r="B1088" s="12" t="s">
        <v>3732</v>
      </c>
      <c r="C1088" s="11" t="s">
        <v>2805</v>
      </c>
      <c r="D1088" s="13" t="s">
        <v>3733</v>
      </c>
      <c r="E1088" s="11">
        <v>340</v>
      </c>
      <c r="F1088" s="21" t="s">
        <v>1165</v>
      </c>
      <c r="G1088" s="11" t="s">
        <v>3732</v>
      </c>
      <c r="H1088" s="11" t="s">
        <v>992</v>
      </c>
      <c r="I1088" s="12" t="s">
        <v>3732</v>
      </c>
      <c r="J1088" s="11" t="s">
        <v>2805</v>
      </c>
      <c r="K1088" s="10"/>
      <c r="L1088" s="10"/>
    </row>
    <row r="1089" spans="1:12" x14ac:dyDescent="0.25">
      <c r="A1089" s="21" t="s">
        <v>1973</v>
      </c>
      <c r="B1089" s="12" t="s">
        <v>1974</v>
      </c>
      <c r="C1089" s="11" t="s">
        <v>2805</v>
      </c>
      <c r="D1089" s="13" t="s">
        <v>4301</v>
      </c>
      <c r="E1089" s="11">
        <v>88</v>
      </c>
      <c r="F1089" s="21" t="s">
        <v>1975</v>
      </c>
      <c r="G1089" s="11" t="s">
        <v>1970</v>
      </c>
      <c r="H1089" s="11" t="s">
        <v>992</v>
      </c>
      <c r="I1089" s="12" t="s">
        <v>1974</v>
      </c>
      <c r="J1089" s="11" t="s">
        <v>2805</v>
      </c>
      <c r="K1089" s="10"/>
      <c r="L1089" s="10"/>
    </row>
    <row r="1090" spans="1:12" x14ac:dyDescent="0.25">
      <c r="A1090" s="21" t="s">
        <v>1969</v>
      </c>
      <c r="B1090" s="12" t="s">
        <v>1970</v>
      </c>
      <c r="C1090" s="11" t="s">
        <v>2800</v>
      </c>
      <c r="D1090" s="13" t="s">
        <v>1971</v>
      </c>
      <c r="E1090" s="11">
        <v>31</v>
      </c>
      <c r="F1090" s="21" t="s">
        <v>1972</v>
      </c>
      <c r="G1090" s="11" t="s">
        <v>1970</v>
      </c>
      <c r="H1090" s="11" t="s">
        <v>992</v>
      </c>
      <c r="I1090" s="12" t="s">
        <v>1970</v>
      </c>
      <c r="J1090" s="11" t="s">
        <v>2800</v>
      </c>
      <c r="K1090" s="10"/>
      <c r="L1090" s="10"/>
    </row>
    <row r="1091" spans="1:12" x14ac:dyDescent="0.25">
      <c r="A1091" s="21" t="s">
        <v>4023</v>
      </c>
      <c r="B1091" s="12" t="s">
        <v>4024</v>
      </c>
      <c r="C1091" s="11" t="s">
        <v>2805</v>
      </c>
      <c r="D1091" s="13" t="s">
        <v>854</v>
      </c>
      <c r="E1091" s="11">
        <v>478</v>
      </c>
      <c r="F1091" s="21" t="s">
        <v>4025</v>
      </c>
      <c r="G1091" s="11" t="s">
        <v>4024</v>
      </c>
      <c r="H1091" s="11" t="s">
        <v>1453</v>
      </c>
      <c r="I1091" s="12" t="s">
        <v>4024</v>
      </c>
      <c r="J1091" s="11" t="s">
        <v>2805</v>
      </c>
      <c r="K1091" s="10"/>
      <c r="L1091" s="10"/>
    </row>
    <row r="1092" spans="1:12" x14ac:dyDescent="0.25">
      <c r="A1092" s="21" t="s">
        <v>4013</v>
      </c>
      <c r="B1092" s="12" t="s">
        <v>4014</v>
      </c>
      <c r="C1092" s="11" t="s">
        <v>2800</v>
      </c>
      <c r="D1092" s="13" t="s">
        <v>2262</v>
      </c>
      <c r="E1092" s="11">
        <v>194</v>
      </c>
      <c r="F1092" s="21" t="s">
        <v>4015</v>
      </c>
      <c r="G1092" s="11" t="s">
        <v>4014</v>
      </c>
      <c r="H1092" s="11" t="s">
        <v>1453</v>
      </c>
      <c r="I1092" s="12" t="s">
        <v>4014</v>
      </c>
      <c r="J1092" s="11" t="s">
        <v>2800</v>
      </c>
      <c r="K1092" s="10"/>
      <c r="L1092" s="10"/>
    </row>
    <row r="1093" spans="1:12" x14ac:dyDescent="0.25">
      <c r="A1093" s="21" t="s">
        <v>4007</v>
      </c>
      <c r="B1093" s="12" t="s">
        <v>4008</v>
      </c>
      <c r="C1093" s="11" t="s">
        <v>2805</v>
      </c>
      <c r="D1093" s="13" t="s">
        <v>2507</v>
      </c>
      <c r="E1093" s="11">
        <v>201</v>
      </c>
      <c r="F1093" s="21" t="s">
        <v>4009</v>
      </c>
      <c r="G1093" s="11" t="s">
        <v>4008</v>
      </c>
      <c r="H1093" s="11" t="s">
        <v>1453</v>
      </c>
      <c r="I1093" s="12" t="s">
        <v>4008</v>
      </c>
      <c r="J1093" s="11" t="s">
        <v>2805</v>
      </c>
      <c r="K1093" s="10"/>
      <c r="L1093" s="10"/>
    </row>
    <row r="1094" spans="1:12" x14ac:dyDescent="0.25">
      <c r="A1094" s="21" t="s">
        <v>3995</v>
      </c>
      <c r="B1094" s="12" t="s">
        <v>3996</v>
      </c>
      <c r="C1094" s="11" t="s">
        <v>2805</v>
      </c>
      <c r="D1094" s="13" t="s">
        <v>3997</v>
      </c>
      <c r="E1094" s="11">
        <v>374</v>
      </c>
      <c r="F1094" s="21" t="s">
        <v>3998</v>
      </c>
      <c r="G1094" s="11" t="s">
        <v>3999</v>
      </c>
      <c r="H1094" s="11" t="s">
        <v>1453</v>
      </c>
      <c r="I1094" s="12" t="s">
        <v>3996</v>
      </c>
      <c r="J1094" s="11" t="s">
        <v>2805</v>
      </c>
      <c r="K1094" s="10"/>
      <c r="L1094" s="10"/>
    </row>
    <row r="1095" spans="1:12" x14ac:dyDescent="0.25">
      <c r="A1095" s="21" t="s">
        <v>3992</v>
      </c>
      <c r="B1095" s="12" t="s">
        <v>3993</v>
      </c>
      <c r="C1095" s="11" t="s">
        <v>2800</v>
      </c>
      <c r="D1095" s="13" t="s">
        <v>78</v>
      </c>
      <c r="E1095" s="11">
        <v>1133</v>
      </c>
      <c r="F1095" s="21" t="s">
        <v>3994</v>
      </c>
      <c r="G1095" s="11" t="s">
        <v>3993</v>
      </c>
      <c r="H1095" s="11" t="s">
        <v>1453</v>
      </c>
      <c r="I1095" s="12" t="s">
        <v>3993</v>
      </c>
      <c r="J1095" s="11" t="s">
        <v>2800</v>
      </c>
      <c r="K1095" s="10"/>
      <c r="L1095" s="10"/>
    </row>
    <row r="1096" spans="1:12" x14ac:dyDescent="0.25">
      <c r="A1096" s="21" t="s">
        <v>4045</v>
      </c>
      <c r="B1096" s="12" t="s">
        <v>4046</v>
      </c>
      <c r="C1096" s="11" t="s">
        <v>2805</v>
      </c>
      <c r="D1096" s="13" t="s">
        <v>4047</v>
      </c>
      <c r="E1096" s="11">
        <v>0</v>
      </c>
      <c r="F1096" s="21" t="s">
        <v>4048</v>
      </c>
      <c r="G1096" s="11" t="s">
        <v>4046</v>
      </c>
      <c r="H1096" s="11" t="s">
        <v>1453</v>
      </c>
      <c r="I1096" s="12" t="s">
        <v>4046</v>
      </c>
      <c r="J1096" s="11" t="s">
        <v>2805</v>
      </c>
      <c r="K1096" s="10"/>
      <c r="L1096" s="10"/>
    </row>
    <row r="1097" spans="1:12" x14ac:dyDescent="0.25">
      <c r="A1097" s="21" t="s">
        <v>4000</v>
      </c>
      <c r="B1097" s="12" t="s">
        <v>4001</v>
      </c>
      <c r="C1097" s="11" t="s">
        <v>2805</v>
      </c>
      <c r="D1097" s="13" t="s">
        <v>84</v>
      </c>
      <c r="E1097" s="11">
        <v>490</v>
      </c>
      <c r="F1097" s="21" t="s">
        <v>4002</v>
      </c>
      <c r="G1097" s="11" t="s">
        <v>4001</v>
      </c>
      <c r="H1097" s="11" t="s">
        <v>1453</v>
      </c>
      <c r="I1097" s="12" t="s">
        <v>4001</v>
      </c>
      <c r="J1097" s="11" t="s">
        <v>2805</v>
      </c>
      <c r="K1097" s="10"/>
      <c r="L1097" s="10"/>
    </row>
    <row r="1098" spans="1:12" x14ac:dyDescent="0.25">
      <c r="A1098" s="21" t="s">
        <v>4029</v>
      </c>
      <c r="B1098" s="12" t="s">
        <v>4399</v>
      </c>
      <c r="C1098" s="11" t="s">
        <v>2805</v>
      </c>
      <c r="D1098" s="13" t="s">
        <v>247</v>
      </c>
      <c r="E1098" s="11">
        <v>300</v>
      </c>
      <c r="F1098" s="21" t="s">
        <v>4030</v>
      </c>
      <c r="G1098" s="11" t="s">
        <v>4399</v>
      </c>
      <c r="H1098" s="11" t="s">
        <v>1453</v>
      </c>
      <c r="I1098" s="12" t="s">
        <v>4399</v>
      </c>
      <c r="J1098" s="11" t="s">
        <v>2805</v>
      </c>
      <c r="K1098" s="10"/>
      <c r="L1098" s="10"/>
    </row>
    <row r="1099" spans="1:12" x14ac:dyDescent="0.25">
      <c r="A1099" s="21" t="s">
        <v>4031</v>
      </c>
      <c r="B1099" s="12" t="s">
        <v>4032</v>
      </c>
      <c r="C1099" s="11" t="s">
        <v>2805</v>
      </c>
      <c r="D1099" s="13" t="s">
        <v>4033</v>
      </c>
      <c r="E1099" s="11">
        <v>19</v>
      </c>
      <c r="F1099" s="21" t="s">
        <v>4034</v>
      </c>
      <c r="G1099" s="11" t="s">
        <v>4032</v>
      </c>
      <c r="H1099" s="11" t="s">
        <v>1453</v>
      </c>
      <c r="I1099" s="12" t="s">
        <v>4032</v>
      </c>
      <c r="J1099" s="11" t="s">
        <v>2805</v>
      </c>
      <c r="K1099" s="10"/>
      <c r="L1099" s="10"/>
    </row>
    <row r="1100" spans="1:12" x14ac:dyDescent="0.25">
      <c r="A1100" s="21" t="s">
        <v>4035</v>
      </c>
      <c r="B1100" s="12" t="s">
        <v>4036</v>
      </c>
      <c r="C1100" s="11" t="s">
        <v>2805</v>
      </c>
      <c r="D1100" s="13" t="s">
        <v>4037</v>
      </c>
      <c r="E1100" s="11">
        <v>1327</v>
      </c>
      <c r="F1100" s="21" t="s">
        <v>4038</v>
      </c>
      <c r="G1100" s="11" t="s">
        <v>4036</v>
      </c>
      <c r="H1100" s="11" t="s">
        <v>1453</v>
      </c>
      <c r="I1100" s="12" t="s">
        <v>4036</v>
      </c>
      <c r="J1100" s="11" t="s">
        <v>2805</v>
      </c>
      <c r="K1100" s="10"/>
      <c r="L1100" s="10"/>
    </row>
    <row r="1101" spans="1:12" x14ac:dyDescent="0.25">
      <c r="A1101" s="21" t="s">
        <v>4039</v>
      </c>
      <c r="B1101" s="12" t="s">
        <v>4040</v>
      </c>
      <c r="C1101" s="11" t="s">
        <v>2800</v>
      </c>
      <c r="D1101" s="13" t="s">
        <v>2674</v>
      </c>
      <c r="E1101" s="11">
        <v>455</v>
      </c>
      <c r="F1101" s="21" t="s">
        <v>4041</v>
      </c>
      <c r="G1101" s="11" t="s">
        <v>4040</v>
      </c>
      <c r="H1101" s="11" t="s">
        <v>1453</v>
      </c>
      <c r="I1101" s="12" t="s">
        <v>4040</v>
      </c>
      <c r="J1101" s="11" t="s">
        <v>2800</v>
      </c>
      <c r="K1101" s="10"/>
      <c r="L1101" s="10"/>
    </row>
    <row r="1102" spans="1:12" x14ac:dyDescent="0.25">
      <c r="A1102" s="21" t="s">
        <v>4042</v>
      </c>
      <c r="B1102" s="12" t="s">
        <v>4043</v>
      </c>
      <c r="C1102" s="11" t="s">
        <v>2800</v>
      </c>
      <c r="D1102" s="13" t="s">
        <v>255</v>
      </c>
      <c r="E1102" s="11">
        <v>1075</v>
      </c>
      <c r="F1102" s="21" t="s">
        <v>4044</v>
      </c>
      <c r="G1102" s="11" t="s">
        <v>4043</v>
      </c>
      <c r="H1102" s="11" t="s">
        <v>1453</v>
      </c>
      <c r="I1102" s="12" t="s">
        <v>4043</v>
      </c>
      <c r="J1102" s="11" t="s">
        <v>2800</v>
      </c>
      <c r="K1102" s="10"/>
      <c r="L1102" s="10"/>
    </row>
    <row r="1103" spans="1:12" x14ac:dyDescent="0.25">
      <c r="A1103" s="21" t="s">
        <v>4003</v>
      </c>
      <c r="B1103" s="12" t="s">
        <v>4004</v>
      </c>
      <c r="C1103" s="11" t="s">
        <v>2805</v>
      </c>
      <c r="D1103" s="13" t="s">
        <v>255</v>
      </c>
      <c r="E1103" s="11">
        <v>155</v>
      </c>
      <c r="F1103" s="21" t="s">
        <v>4005</v>
      </c>
      <c r="G1103" s="11" t="s">
        <v>4006</v>
      </c>
      <c r="H1103" s="11" t="s">
        <v>1453</v>
      </c>
      <c r="I1103" s="12" t="s">
        <v>4004</v>
      </c>
      <c r="J1103" s="11" t="s">
        <v>2805</v>
      </c>
      <c r="K1103" s="10"/>
      <c r="L1103" s="10"/>
    </row>
    <row r="1104" spans="1:12" x14ac:dyDescent="0.25">
      <c r="A1104" s="21" t="s">
        <v>4010</v>
      </c>
      <c r="B1104" s="12" t="s">
        <v>4011</v>
      </c>
      <c r="C1104" s="11" t="s">
        <v>2805</v>
      </c>
      <c r="D1104" s="13" t="s">
        <v>2248</v>
      </c>
      <c r="E1104" s="11">
        <v>131</v>
      </c>
      <c r="F1104" s="21" t="s">
        <v>4012</v>
      </c>
      <c r="G1104" s="11" t="s">
        <v>4011</v>
      </c>
      <c r="H1104" s="11" t="s">
        <v>1453</v>
      </c>
      <c r="I1104" s="12" t="s">
        <v>4011</v>
      </c>
      <c r="J1104" s="11" t="s">
        <v>2805</v>
      </c>
      <c r="K1104" s="10"/>
      <c r="L1104" s="10"/>
    </row>
    <row r="1105" spans="1:12" x14ac:dyDescent="0.25">
      <c r="A1105" s="21" t="s">
        <v>3988</v>
      </c>
      <c r="B1105" s="12" t="s">
        <v>3989</v>
      </c>
      <c r="C1105" s="11" t="s">
        <v>2805</v>
      </c>
      <c r="D1105" s="13" t="s">
        <v>3990</v>
      </c>
      <c r="E1105" s="11">
        <v>1501</v>
      </c>
      <c r="F1105" s="21" t="s">
        <v>3991</v>
      </c>
      <c r="G1105" s="11" t="s">
        <v>3985</v>
      </c>
      <c r="H1105" s="11" t="s">
        <v>1453</v>
      </c>
      <c r="I1105" s="12" t="s">
        <v>3989</v>
      </c>
      <c r="J1105" s="11" t="s">
        <v>2805</v>
      </c>
      <c r="K1105" s="10"/>
      <c r="L1105" s="10"/>
    </row>
    <row r="1106" spans="1:12" x14ac:dyDescent="0.25">
      <c r="A1106" s="21" t="s">
        <v>3984</v>
      </c>
      <c r="B1106" s="12" t="s">
        <v>3985</v>
      </c>
      <c r="C1106" s="11" t="s">
        <v>2800</v>
      </c>
      <c r="D1106" s="13" t="s">
        <v>3986</v>
      </c>
      <c r="E1106" s="11">
        <v>893</v>
      </c>
      <c r="F1106" s="21" t="s">
        <v>3987</v>
      </c>
      <c r="G1106" s="11" t="s">
        <v>3985</v>
      </c>
      <c r="H1106" s="11" t="s">
        <v>1453</v>
      </c>
      <c r="I1106" s="12" t="s">
        <v>3985</v>
      </c>
      <c r="J1106" s="11" t="s">
        <v>2800</v>
      </c>
      <c r="K1106" s="10"/>
      <c r="L1106" s="10"/>
    </row>
    <row r="1107" spans="1:12" x14ac:dyDescent="0.25">
      <c r="A1107" s="21" t="s">
        <v>4019</v>
      </c>
      <c r="B1107" s="12" t="s">
        <v>4020</v>
      </c>
      <c r="C1107" s="11" t="s">
        <v>2805</v>
      </c>
      <c r="D1107" s="13" t="s">
        <v>4021</v>
      </c>
      <c r="E1107" s="11">
        <v>494</v>
      </c>
      <c r="F1107" s="21" t="s">
        <v>4022</v>
      </c>
      <c r="G1107" s="11" t="s">
        <v>4020</v>
      </c>
      <c r="H1107" s="11" t="s">
        <v>1453</v>
      </c>
      <c r="I1107" s="12" t="s">
        <v>4020</v>
      </c>
      <c r="J1107" s="11" t="s">
        <v>2805</v>
      </c>
      <c r="K1107" s="10"/>
      <c r="L1107" s="10"/>
    </row>
    <row r="1108" spans="1:12" x14ac:dyDescent="0.25">
      <c r="A1108" s="21" t="s">
        <v>4026</v>
      </c>
      <c r="B1108" s="12" t="s">
        <v>4027</v>
      </c>
      <c r="C1108" s="11" t="s">
        <v>2805</v>
      </c>
      <c r="D1108" s="13" t="s">
        <v>1369</v>
      </c>
      <c r="E1108" s="11">
        <v>0</v>
      </c>
      <c r="F1108" s="21" t="s">
        <v>4028</v>
      </c>
      <c r="G1108" s="11" t="s">
        <v>4027</v>
      </c>
      <c r="H1108" s="11" t="s">
        <v>1453</v>
      </c>
      <c r="I1108" s="12" t="s">
        <v>4027</v>
      </c>
      <c r="J1108" s="11" t="s">
        <v>2805</v>
      </c>
      <c r="K1108" s="10"/>
      <c r="L1108" s="10"/>
    </row>
    <row r="1109" spans="1:12" x14ac:dyDescent="0.25">
      <c r="A1109" s="21" t="s">
        <v>4016</v>
      </c>
      <c r="B1109" s="12" t="s">
        <v>4017</v>
      </c>
      <c r="C1109" s="11" t="s">
        <v>2805</v>
      </c>
      <c r="D1109" s="13" t="s">
        <v>2918</v>
      </c>
      <c r="E1109" s="11" t="s">
        <v>2163</v>
      </c>
      <c r="F1109" s="21" t="s">
        <v>4018</v>
      </c>
      <c r="G1109" s="11" t="s">
        <v>4017</v>
      </c>
      <c r="H1109" s="11" t="s">
        <v>1453</v>
      </c>
      <c r="I1109" s="12" t="s">
        <v>4017</v>
      </c>
      <c r="J1109" s="11" t="s">
        <v>2805</v>
      </c>
      <c r="K1109" s="10"/>
      <c r="L1109" s="10"/>
    </row>
    <row r="1110" spans="1:12" x14ac:dyDescent="0.25">
      <c r="A1110" s="21" t="s">
        <v>3650</v>
      </c>
      <c r="B1110" s="12" t="s">
        <v>3651</v>
      </c>
      <c r="C1110" s="11" t="s">
        <v>2805</v>
      </c>
      <c r="D1110" s="13" t="s">
        <v>3652</v>
      </c>
      <c r="E1110" s="11">
        <v>447</v>
      </c>
      <c r="F1110" s="21" t="s">
        <v>3653</v>
      </c>
      <c r="G1110" s="11" t="s">
        <v>3651</v>
      </c>
      <c r="H1110" s="11" t="s">
        <v>2171</v>
      </c>
      <c r="I1110" s="12" t="s">
        <v>3651</v>
      </c>
      <c r="J1110" s="11" t="s">
        <v>2805</v>
      </c>
      <c r="K1110" s="10"/>
      <c r="L1110" s="10"/>
    </row>
    <row r="1111" spans="1:12" x14ac:dyDescent="0.25">
      <c r="A1111" s="21" t="s">
        <v>3654</v>
      </c>
      <c r="B1111" s="12" t="s">
        <v>3655</v>
      </c>
      <c r="C1111" s="11" t="s">
        <v>2805</v>
      </c>
      <c r="D1111" s="13" t="s">
        <v>2226</v>
      </c>
      <c r="E1111" s="11">
        <v>963</v>
      </c>
      <c r="F1111" s="21" t="s">
        <v>3656</v>
      </c>
      <c r="G1111" s="11" t="s">
        <v>3655</v>
      </c>
      <c r="H1111" s="11" t="s">
        <v>2171</v>
      </c>
      <c r="I1111" s="12" t="s">
        <v>3655</v>
      </c>
      <c r="J1111" s="11" t="s">
        <v>2805</v>
      </c>
      <c r="K1111" s="10"/>
      <c r="L1111" s="10"/>
    </row>
    <row r="1112" spans="1:12" x14ac:dyDescent="0.25">
      <c r="A1112" s="21" t="s">
        <v>2487</v>
      </c>
      <c r="B1112" s="12" t="s">
        <v>2488</v>
      </c>
      <c r="C1112" s="11" t="s">
        <v>2805</v>
      </c>
      <c r="D1112" s="13" t="s">
        <v>247</v>
      </c>
      <c r="E1112" s="11">
        <v>1405</v>
      </c>
      <c r="F1112" s="21" t="s">
        <v>2489</v>
      </c>
      <c r="G1112" s="11" t="s">
        <v>2488</v>
      </c>
      <c r="H1112" s="11" t="s">
        <v>2171</v>
      </c>
      <c r="I1112" s="12" t="s">
        <v>2488</v>
      </c>
      <c r="J1112" s="11" t="s">
        <v>2805</v>
      </c>
      <c r="K1112" s="10"/>
      <c r="L1112" s="10"/>
    </row>
    <row r="1113" spans="1:12" x14ac:dyDescent="0.25">
      <c r="A1113" s="21" t="s">
        <v>3657</v>
      </c>
      <c r="B1113" s="12" t="s">
        <v>3658</v>
      </c>
      <c r="C1113" s="11" t="s">
        <v>2805</v>
      </c>
      <c r="D1113" s="13" t="s">
        <v>4510</v>
      </c>
      <c r="E1113" s="11">
        <v>421</v>
      </c>
      <c r="F1113" s="21" t="s">
        <v>3659</v>
      </c>
      <c r="G1113" s="11" t="s">
        <v>3658</v>
      </c>
      <c r="H1113" s="11" t="s">
        <v>2171</v>
      </c>
      <c r="I1113" s="12" t="s">
        <v>3658</v>
      </c>
      <c r="J1113" s="11" t="s">
        <v>2805</v>
      </c>
      <c r="K1113" s="10"/>
      <c r="L1113" s="10"/>
    </row>
    <row r="1114" spans="1:12" x14ac:dyDescent="0.25">
      <c r="A1114" s="21" t="s">
        <v>3660</v>
      </c>
      <c r="B1114" s="12" t="s">
        <v>3661</v>
      </c>
      <c r="C1114" s="11" t="s">
        <v>2805</v>
      </c>
      <c r="D1114" s="13" t="s">
        <v>950</v>
      </c>
      <c r="E1114" s="11">
        <v>200</v>
      </c>
      <c r="F1114" s="21" t="s">
        <v>3662</v>
      </c>
      <c r="G1114" s="11" t="s">
        <v>3661</v>
      </c>
      <c r="H1114" s="11" t="s">
        <v>2171</v>
      </c>
      <c r="I1114" s="12" t="s">
        <v>3661</v>
      </c>
      <c r="J1114" s="11" t="s">
        <v>2805</v>
      </c>
      <c r="K1114" s="10"/>
      <c r="L1114" s="10"/>
    </row>
    <row r="1115" spans="1:12" x14ac:dyDescent="0.25">
      <c r="A1115" s="21" t="s">
        <v>2490</v>
      </c>
      <c r="B1115" s="12" t="s">
        <v>2491</v>
      </c>
      <c r="C1115" s="11" t="s">
        <v>2805</v>
      </c>
      <c r="D1115" s="13" t="s">
        <v>2492</v>
      </c>
      <c r="E1115" s="11">
        <v>348</v>
      </c>
      <c r="F1115" s="21" t="s">
        <v>2493</v>
      </c>
      <c r="G1115" s="11" t="s">
        <v>2491</v>
      </c>
      <c r="H1115" s="11" t="s">
        <v>2171</v>
      </c>
      <c r="I1115" s="12" t="s">
        <v>2491</v>
      </c>
      <c r="J1115" s="11" t="s">
        <v>2805</v>
      </c>
      <c r="K1115" s="10"/>
      <c r="L1115" s="10"/>
    </row>
    <row r="1116" spans="1:12" x14ac:dyDescent="0.25">
      <c r="A1116" s="21" t="s">
        <v>3663</v>
      </c>
      <c r="B1116" s="12" t="s">
        <v>3664</v>
      </c>
      <c r="C1116" s="11" t="s">
        <v>2805</v>
      </c>
      <c r="D1116" s="13" t="s">
        <v>3665</v>
      </c>
      <c r="E1116" s="11" t="s">
        <v>2163</v>
      </c>
      <c r="F1116" s="21" t="s">
        <v>3666</v>
      </c>
      <c r="G1116" s="11" t="s">
        <v>3664</v>
      </c>
      <c r="H1116" s="11" t="s">
        <v>2171</v>
      </c>
      <c r="I1116" s="12" t="s">
        <v>3664</v>
      </c>
      <c r="J1116" s="11" t="s">
        <v>2805</v>
      </c>
      <c r="K1116" s="10"/>
      <c r="L1116" s="10"/>
    </row>
    <row r="1117" spans="1:12" x14ac:dyDescent="0.25">
      <c r="A1117" s="21" t="s">
        <v>3667</v>
      </c>
      <c r="B1117" s="12" t="s">
        <v>3668</v>
      </c>
      <c r="C1117" s="11" t="s">
        <v>2805</v>
      </c>
      <c r="D1117" s="13" t="s">
        <v>3669</v>
      </c>
      <c r="E1117" s="11">
        <v>1531</v>
      </c>
      <c r="F1117" s="21" t="s">
        <v>1115</v>
      </c>
      <c r="G1117" s="11" t="s">
        <v>3668</v>
      </c>
      <c r="H1117" s="11" t="s">
        <v>2171</v>
      </c>
      <c r="I1117" s="12" t="s">
        <v>3668</v>
      </c>
      <c r="J1117" s="11" t="s">
        <v>2805</v>
      </c>
      <c r="K1117" s="10"/>
      <c r="L1117" s="10"/>
    </row>
    <row r="1118" spans="1:12" x14ac:dyDescent="0.25">
      <c r="A1118" s="21" t="s">
        <v>2494</v>
      </c>
      <c r="B1118" s="12" t="s">
        <v>2495</v>
      </c>
      <c r="C1118" s="11" t="s">
        <v>2805</v>
      </c>
      <c r="D1118" s="13" t="s">
        <v>2496</v>
      </c>
      <c r="E1118" s="11">
        <v>380</v>
      </c>
      <c r="F1118" s="21" t="s">
        <v>2497</v>
      </c>
      <c r="G1118" s="11" t="s">
        <v>2495</v>
      </c>
      <c r="H1118" s="11" t="s">
        <v>2171</v>
      </c>
      <c r="I1118" s="12" t="s">
        <v>2495</v>
      </c>
      <c r="J1118" s="11" t="s">
        <v>2805</v>
      </c>
      <c r="K1118" s="10"/>
      <c r="L1118" s="10"/>
    </row>
    <row r="1119" spans="1:12" x14ac:dyDescent="0.25">
      <c r="A1119" s="21" t="s">
        <v>1116</v>
      </c>
      <c r="B1119" s="12" t="s">
        <v>1117</v>
      </c>
      <c r="C1119" s="11" t="s">
        <v>2805</v>
      </c>
      <c r="D1119" s="13" t="s">
        <v>1118</v>
      </c>
      <c r="E1119" s="11">
        <v>530</v>
      </c>
      <c r="F1119" s="21" t="s">
        <v>3685</v>
      </c>
      <c r="G1119" s="11" t="s">
        <v>1117</v>
      </c>
      <c r="H1119" s="11" t="s">
        <v>2171</v>
      </c>
      <c r="I1119" s="12" t="s">
        <v>1117</v>
      </c>
      <c r="J1119" s="11" t="s">
        <v>2805</v>
      </c>
      <c r="K1119" s="10"/>
      <c r="L1119" s="10"/>
    </row>
    <row r="1120" spans="1:12" x14ac:dyDescent="0.25">
      <c r="A1120" s="21" t="s">
        <v>2498</v>
      </c>
      <c r="B1120" s="12" t="s">
        <v>2499</v>
      </c>
      <c r="C1120" s="11" t="s">
        <v>2805</v>
      </c>
      <c r="D1120" s="13" t="s">
        <v>255</v>
      </c>
      <c r="E1120" s="11">
        <v>151</v>
      </c>
      <c r="F1120" s="21" t="s">
        <v>2500</v>
      </c>
      <c r="G1120" s="11" t="s">
        <v>2499</v>
      </c>
      <c r="H1120" s="11" t="s">
        <v>2171</v>
      </c>
      <c r="I1120" s="12" t="s">
        <v>2499</v>
      </c>
      <c r="J1120" s="11" t="s">
        <v>2805</v>
      </c>
      <c r="K1120" s="10"/>
      <c r="L1120" s="10"/>
    </row>
    <row r="1121" spans="1:12" x14ac:dyDescent="0.25">
      <c r="A1121" s="21" t="s">
        <v>3686</v>
      </c>
      <c r="B1121" s="12" t="s">
        <v>3687</v>
      </c>
      <c r="C1121" s="11" t="s">
        <v>2805</v>
      </c>
      <c r="D1121" s="13" t="s">
        <v>255</v>
      </c>
      <c r="E1121" s="11">
        <v>47</v>
      </c>
      <c r="F1121" s="21" t="s">
        <v>3688</v>
      </c>
      <c r="G1121" s="11" t="s">
        <v>3687</v>
      </c>
      <c r="H1121" s="11" t="s">
        <v>2171</v>
      </c>
      <c r="I1121" s="12" t="s">
        <v>3687</v>
      </c>
      <c r="J1121" s="11" t="s">
        <v>2805</v>
      </c>
      <c r="K1121" s="10"/>
      <c r="L1121" s="10"/>
    </row>
    <row r="1122" spans="1:12" x14ac:dyDescent="0.25">
      <c r="A1122" s="21" t="s">
        <v>2501</v>
      </c>
      <c r="B1122" s="12" t="s">
        <v>2502</v>
      </c>
      <c r="C1122" s="11" t="s">
        <v>2805</v>
      </c>
      <c r="D1122" s="13" t="s">
        <v>4310</v>
      </c>
      <c r="E1122" s="11">
        <v>98</v>
      </c>
      <c r="F1122" s="21" t="s">
        <v>2503</v>
      </c>
      <c r="G1122" s="11" t="s">
        <v>2502</v>
      </c>
      <c r="H1122" s="11" t="s">
        <v>2171</v>
      </c>
      <c r="I1122" s="12" t="s">
        <v>2502</v>
      </c>
      <c r="J1122" s="11" t="s">
        <v>2805</v>
      </c>
      <c r="K1122" s="10"/>
      <c r="L1122" s="10"/>
    </row>
    <row r="1123" spans="1:12" x14ac:dyDescent="0.25">
      <c r="A1123" s="21" t="s">
        <v>2504</v>
      </c>
      <c r="B1123" s="12" t="s">
        <v>2247</v>
      </c>
      <c r="C1123" s="11" t="s">
        <v>2805</v>
      </c>
      <c r="D1123" s="13">
        <v>12</v>
      </c>
      <c r="E1123" s="11">
        <v>692</v>
      </c>
      <c r="F1123" s="21" t="s">
        <v>2505</v>
      </c>
      <c r="G1123" s="11" t="s">
        <v>2247</v>
      </c>
      <c r="H1123" s="11" t="s">
        <v>2171</v>
      </c>
      <c r="I1123" s="12" t="s">
        <v>2247</v>
      </c>
      <c r="J1123" s="11" t="s">
        <v>2805</v>
      </c>
      <c r="K1123" s="10"/>
      <c r="L1123" s="10"/>
    </row>
    <row r="1124" spans="1:12" x14ac:dyDescent="0.25">
      <c r="A1124" s="21" t="s">
        <v>2506</v>
      </c>
      <c r="B1124" s="12" t="s">
        <v>2507</v>
      </c>
      <c r="C1124" s="11" t="s">
        <v>2805</v>
      </c>
      <c r="D1124" s="13" t="s">
        <v>2508</v>
      </c>
      <c r="E1124" s="11">
        <v>131</v>
      </c>
      <c r="F1124" s="21" t="s">
        <v>2509</v>
      </c>
      <c r="G1124" s="11" t="s">
        <v>2507</v>
      </c>
      <c r="H1124" s="11" t="s">
        <v>2171</v>
      </c>
      <c r="I1124" s="12" t="s">
        <v>2507</v>
      </c>
      <c r="J1124" s="11" t="s">
        <v>2805</v>
      </c>
      <c r="K1124" s="10"/>
      <c r="L1124" s="10"/>
    </row>
    <row r="1125" spans="1:12" x14ac:dyDescent="0.25">
      <c r="A1125" s="21" t="s">
        <v>3689</v>
      </c>
      <c r="B1125" s="12" t="s">
        <v>3690</v>
      </c>
      <c r="C1125" s="11" t="s">
        <v>2805</v>
      </c>
      <c r="D1125" s="13" t="s">
        <v>2630</v>
      </c>
      <c r="E1125" s="11">
        <v>660</v>
      </c>
      <c r="F1125" s="21" t="s">
        <v>3691</v>
      </c>
      <c r="G1125" s="11" t="s">
        <v>3690</v>
      </c>
      <c r="H1125" s="11" t="s">
        <v>2171</v>
      </c>
      <c r="I1125" s="12" t="s">
        <v>3690</v>
      </c>
      <c r="J1125" s="11" t="s">
        <v>2805</v>
      </c>
      <c r="K1125" s="10"/>
      <c r="L1125" s="10"/>
    </row>
    <row r="1126" spans="1:12" x14ac:dyDescent="0.25">
      <c r="A1126" s="21" t="s">
        <v>2510</v>
      </c>
      <c r="B1126" s="12" t="s">
        <v>2511</v>
      </c>
      <c r="C1126" s="11" t="s">
        <v>2805</v>
      </c>
      <c r="D1126" s="13" t="s">
        <v>2512</v>
      </c>
      <c r="E1126" s="11">
        <v>227</v>
      </c>
      <c r="F1126" s="21" t="s">
        <v>2513</v>
      </c>
      <c r="G1126" s="11" t="s">
        <v>2099</v>
      </c>
      <c r="H1126" s="11" t="s">
        <v>2171</v>
      </c>
      <c r="I1126" s="12" t="s">
        <v>2511</v>
      </c>
      <c r="J1126" s="11" t="s">
        <v>2805</v>
      </c>
      <c r="K1126" s="10"/>
      <c r="L1126" s="10"/>
    </row>
    <row r="1127" spans="1:12" x14ac:dyDescent="0.25">
      <c r="A1127" s="21" t="s">
        <v>3692</v>
      </c>
      <c r="B1127" s="12" t="s">
        <v>3693</v>
      </c>
      <c r="C1127" s="11" t="s">
        <v>2805</v>
      </c>
      <c r="D1127" s="13" t="s">
        <v>4300</v>
      </c>
      <c r="E1127" s="11">
        <v>201</v>
      </c>
      <c r="F1127" s="21" t="s">
        <v>3694</v>
      </c>
      <c r="G1127" s="11" t="s">
        <v>3693</v>
      </c>
      <c r="H1127" s="11" t="s">
        <v>2171</v>
      </c>
      <c r="I1127" s="12" t="s">
        <v>3693</v>
      </c>
      <c r="J1127" s="11" t="s">
        <v>2805</v>
      </c>
      <c r="K1127" s="10"/>
      <c r="L1127" s="10"/>
    </row>
    <row r="1128" spans="1:12" x14ac:dyDescent="0.25">
      <c r="A1128" s="21" t="s">
        <v>3695</v>
      </c>
      <c r="B1128" s="12" t="s">
        <v>3696</v>
      </c>
      <c r="C1128" s="11" t="s">
        <v>2805</v>
      </c>
      <c r="D1128" s="13" t="s">
        <v>3697</v>
      </c>
      <c r="E1128" s="11">
        <v>100</v>
      </c>
      <c r="F1128" s="21" t="s">
        <v>3698</v>
      </c>
      <c r="G1128" s="11" t="s">
        <v>3696</v>
      </c>
      <c r="H1128" s="11" t="s">
        <v>2171</v>
      </c>
      <c r="I1128" s="12" t="s">
        <v>3696</v>
      </c>
      <c r="J1128" s="11" t="s">
        <v>2805</v>
      </c>
      <c r="K1128" s="10"/>
      <c r="L1128" s="10"/>
    </row>
    <row r="1129" spans="1:12" x14ac:dyDescent="0.25">
      <c r="A1129" s="21" t="s">
        <v>3699</v>
      </c>
      <c r="B1129" s="12" t="s">
        <v>3700</v>
      </c>
      <c r="C1129" s="11" t="s">
        <v>2805</v>
      </c>
      <c r="D1129" s="13" t="s">
        <v>234</v>
      </c>
      <c r="E1129" s="11">
        <v>90</v>
      </c>
      <c r="F1129" s="21" t="s">
        <v>3701</v>
      </c>
      <c r="G1129" s="11" t="s">
        <v>3700</v>
      </c>
      <c r="H1129" s="11" t="s">
        <v>2171</v>
      </c>
      <c r="I1129" s="12" t="s">
        <v>3700</v>
      </c>
      <c r="J1129" s="11" t="s">
        <v>2805</v>
      </c>
      <c r="K1129" s="10"/>
      <c r="L1129" s="10"/>
    </row>
    <row r="1130" spans="1:12" x14ac:dyDescent="0.25">
      <c r="A1130" s="21" t="s">
        <v>3708</v>
      </c>
      <c r="B1130" s="12" t="s">
        <v>3709</v>
      </c>
      <c r="C1130" s="11" t="s">
        <v>2805</v>
      </c>
      <c r="D1130" s="13" t="s">
        <v>247</v>
      </c>
      <c r="E1130" s="11">
        <v>679</v>
      </c>
      <c r="F1130" s="21" t="s">
        <v>3710</v>
      </c>
      <c r="G1130" s="11" t="s">
        <v>3709</v>
      </c>
      <c r="H1130" s="11" t="s">
        <v>2171</v>
      </c>
      <c r="I1130" s="12" t="s">
        <v>3709</v>
      </c>
      <c r="J1130" s="11" t="s">
        <v>2805</v>
      </c>
      <c r="K1130" s="10"/>
      <c r="L1130" s="10"/>
    </row>
    <row r="1131" spans="1:12" x14ac:dyDescent="0.25">
      <c r="A1131" s="21" t="s">
        <v>4216</v>
      </c>
      <c r="B1131" s="12" t="s">
        <v>1657</v>
      </c>
      <c r="C1131" s="11" t="s">
        <v>2805</v>
      </c>
      <c r="D1131" s="13" t="s">
        <v>4646</v>
      </c>
      <c r="E1131" s="11">
        <v>512</v>
      </c>
      <c r="F1131" s="21" t="s">
        <v>4217</v>
      </c>
      <c r="G1131" s="11" t="s">
        <v>1657</v>
      </c>
      <c r="H1131" s="11" t="s">
        <v>2171</v>
      </c>
      <c r="I1131" s="12" t="s">
        <v>1657</v>
      </c>
      <c r="J1131" s="11" t="s">
        <v>2805</v>
      </c>
      <c r="K1131" s="10"/>
      <c r="L1131" s="10"/>
    </row>
    <row r="1132" spans="1:12" x14ac:dyDescent="0.25">
      <c r="A1132" s="21" t="s">
        <v>3702</v>
      </c>
      <c r="B1132" s="12" t="s">
        <v>3703</v>
      </c>
      <c r="C1132" s="11" t="s">
        <v>2800</v>
      </c>
      <c r="D1132" s="13" t="s">
        <v>4438</v>
      </c>
      <c r="E1132" s="11">
        <v>96</v>
      </c>
      <c r="F1132" s="21" t="s">
        <v>3704</v>
      </c>
      <c r="G1132" s="11" t="s">
        <v>3703</v>
      </c>
      <c r="H1132" s="11" t="s">
        <v>2171</v>
      </c>
      <c r="I1132" s="12" t="s">
        <v>3703</v>
      </c>
      <c r="J1132" s="11" t="s">
        <v>2800</v>
      </c>
      <c r="K1132" s="10"/>
      <c r="L1132" s="10"/>
    </row>
    <row r="1133" spans="1:12" x14ac:dyDescent="0.25">
      <c r="A1133" s="21" t="s">
        <v>3705</v>
      </c>
      <c r="B1133" s="12" t="s">
        <v>3706</v>
      </c>
      <c r="C1133" s="11" t="s">
        <v>2805</v>
      </c>
      <c r="D1133" s="13" t="s">
        <v>255</v>
      </c>
      <c r="E1133" s="11">
        <v>558</v>
      </c>
      <c r="F1133" s="21" t="s">
        <v>3707</v>
      </c>
      <c r="G1133" s="11" t="s">
        <v>3706</v>
      </c>
      <c r="H1133" s="11" t="s">
        <v>2171</v>
      </c>
      <c r="I1133" s="12" t="s">
        <v>3706</v>
      </c>
      <c r="J1133" s="11" t="s">
        <v>2805</v>
      </c>
      <c r="K1133" s="10"/>
      <c r="L1133" s="10"/>
    </row>
    <row r="1134" spans="1:12" x14ac:dyDescent="0.25">
      <c r="A1134" s="21" t="s">
        <v>4391</v>
      </c>
      <c r="B1134" s="12" t="s">
        <v>4392</v>
      </c>
      <c r="C1134" s="11" t="s">
        <v>2805</v>
      </c>
      <c r="D1134" s="13" t="s">
        <v>4655</v>
      </c>
      <c r="E1134" s="11">
        <v>799</v>
      </c>
      <c r="F1134" s="21" t="s">
        <v>4393</v>
      </c>
      <c r="G1134" s="11" t="s">
        <v>4392</v>
      </c>
      <c r="H1134" s="11" t="s">
        <v>2171</v>
      </c>
      <c r="I1134" s="12" t="s">
        <v>4392</v>
      </c>
      <c r="J1134" s="11" t="s">
        <v>2805</v>
      </c>
      <c r="K1134" s="10"/>
      <c r="L1134" s="10"/>
    </row>
    <row r="1135" spans="1:12" x14ac:dyDescent="0.25">
      <c r="A1135" s="21" t="s">
        <v>3711</v>
      </c>
      <c r="B1135" s="12" t="s">
        <v>3712</v>
      </c>
      <c r="C1135" s="11" t="s">
        <v>2805</v>
      </c>
      <c r="D1135" s="13" t="s">
        <v>2749</v>
      </c>
      <c r="E1135" s="11">
        <v>855</v>
      </c>
      <c r="F1135" s="21" t="s">
        <v>3713</v>
      </c>
      <c r="G1135" s="11" t="s">
        <v>3712</v>
      </c>
      <c r="H1135" s="11" t="s">
        <v>2171</v>
      </c>
      <c r="I1135" s="12" t="s">
        <v>3712</v>
      </c>
      <c r="J1135" s="11" t="s">
        <v>2805</v>
      </c>
      <c r="K1135" s="10"/>
      <c r="L1135" s="10"/>
    </row>
    <row r="1136" spans="1:12" x14ac:dyDescent="0.25">
      <c r="A1136" s="21" t="s">
        <v>3714</v>
      </c>
      <c r="B1136" s="12" t="s">
        <v>3715</v>
      </c>
      <c r="C1136" s="11" t="s">
        <v>2805</v>
      </c>
      <c r="D1136" s="13" t="s">
        <v>1300</v>
      </c>
      <c r="E1136" s="11">
        <v>413</v>
      </c>
      <c r="F1136" s="21" t="s">
        <v>3716</v>
      </c>
      <c r="G1136" s="11" t="s">
        <v>3715</v>
      </c>
      <c r="H1136" s="11" t="s">
        <v>2171</v>
      </c>
      <c r="I1136" s="12" t="s">
        <v>3715</v>
      </c>
      <c r="J1136" s="11" t="s">
        <v>2805</v>
      </c>
      <c r="K1136" s="10"/>
      <c r="L1136" s="10"/>
    </row>
    <row r="1137" spans="1:12" x14ac:dyDescent="0.25">
      <c r="A1137" s="21" t="s">
        <v>4394</v>
      </c>
      <c r="B1137" s="12" t="s">
        <v>2515</v>
      </c>
      <c r="C1137" s="11" t="s">
        <v>2805</v>
      </c>
      <c r="D1137" s="13" t="s">
        <v>234</v>
      </c>
      <c r="E1137" s="11">
        <v>175</v>
      </c>
      <c r="F1137" s="21" t="s">
        <v>2516</v>
      </c>
      <c r="G1137" s="11" t="s">
        <v>2515</v>
      </c>
      <c r="H1137" s="11" t="s">
        <v>2171</v>
      </c>
      <c r="I1137" s="12" t="s">
        <v>2515</v>
      </c>
      <c r="J1137" s="11" t="s">
        <v>2805</v>
      </c>
      <c r="K1137" s="10"/>
      <c r="L1137" s="10"/>
    </row>
    <row r="1138" spans="1:12" x14ac:dyDescent="0.25">
      <c r="A1138" s="21" t="s">
        <v>3717</v>
      </c>
      <c r="B1138" s="12" t="s">
        <v>3718</v>
      </c>
      <c r="C1138" s="11" t="s">
        <v>2805</v>
      </c>
      <c r="D1138" s="13" t="s">
        <v>2270</v>
      </c>
      <c r="E1138" s="11">
        <v>473</v>
      </c>
      <c r="F1138" s="21" t="s">
        <v>3719</v>
      </c>
      <c r="G1138" s="11" t="s">
        <v>3718</v>
      </c>
      <c r="H1138" s="11" t="s">
        <v>2171</v>
      </c>
      <c r="I1138" s="12" t="s">
        <v>3718</v>
      </c>
      <c r="J1138" s="11" t="s">
        <v>2805</v>
      </c>
      <c r="K1138" s="10"/>
      <c r="L1138" s="10"/>
    </row>
    <row r="1139" spans="1:12" x14ac:dyDescent="0.25">
      <c r="A1139" s="21" t="s">
        <v>3720</v>
      </c>
      <c r="B1139" s="12" t="s">
        <v>3721</v>
      </c>
      <c r="C1139" s="11" t="s">
        <v>2805</v>
      </c>
      <c r="D1139" s="13" t="s">
        <v>3722</v>
      </c>
      <c r="E1139" s="11">
        <v>791</v>
      </c>
      <c r="F1139" s="21" t="s">
        <v>3723</v>
      </c>
      <c r="G1139" s="11" t="s">
        <v>3721</v>
      </c>
      <c r="H1139" s="11" t="s">
        <v>2171</v>
      </c>
      <c r="I1139" s="12" t="s">
        <v>3721</v>
      </c>
      <c r="J1139" s="11" t="s">
        <v>2805</v>
      </c>
      <c r="K1139" s="10"/>
      <c r="L1139" s="10"/>
    </row>
    <row r="1140" spans="1:12" x14ac:dyDescent="0.25">
      <c r="A1140" s="21" t="s">
        <v>3724</v>
      </c>
      <c r="B1140" s="12" t="s">
        <v>3725</v>
      </c>
      <c r="C1140" s="11" t="s">
        <v>2800</v>
      </c>
      <c r="D1140" s="13" t="s">
        <v>2492</v>
      </c>
      <c r="E1140" s="11">
        <v>2371</v>
      </c>
      <c r="F1140" s="21" t="s">
        <v>1142</v>
      </c>
      <c r="G1140" s="11" t="s">
        <v>3725</v>
      </c>
      <c r="H1140" s="11" t="s">
        <v>2171</v>
      </c>
      <c r="I1140" s="12" t="s">
        <v>3725</v>
      </c>
      <c r="J1140" s="11" t="s">
        <v>2800</v>
      </c>
      <c r="K1140" s="10"/>
      <c r="L1140" s="10"/>
    </row>
    <row r="1141" spans="1:12" x14ac:dyDescent="0.25">
      <c r="A1141" s="21" t="s">
        <v>4218</v>
      </c>
      <c r="B1141" s="12" t="s">
        <v>4219</v>
      </c>
      <c r="C1141" s="11" t="s">
        <v>2805</v>
      </c>
      <c r="D1141" s="13" t="s">
        <v>4220</v>
      </c>
      <c r="E1141" s="11">
        <v>0</v>
      </c>
      <c r="F1141" s="21" t="s">
        <v>4221</v>
      </c>
      <c r="G1141" s="11" t="s">
        <v>4219</v>
      </c>
      <c r="H1141" s="11" t="s">
        <v>2171</v>
      </c>
      <c r="I1141" s="12" t="s">
        <v>4219</v>
      </c>
      <c r="J1141" s="11" t="s">
        <v>2805</v>
      </c>
      <c r="K1141" s="10"/>
      <c r="L1141" s="10"/>
    </row>
    <row r="1142" spans="1:12" x14ac:dyDescent="0.25">
      <c r="A1142" s="21" t="s">
        <v>2514</v>
      </c>
      <c r="B1142" s="12" t="s">
        <v>4214</v>
      </c>
      <c r="C1142" s="11" t="s">
        <v>2805</v>
      </c>
      <c r="D1142" s="13" t="s">
        <v>2398</v>
      </c>
      <c r="E1142" s="11">
        <v>1098</v>
      </c>
      <c r="F1142" s="21" t="s">
        <v>4215</v>
      </c>
      <c r="G1142" s="11" t="s">
        <v>4214</v>
      </c>
      <c r="H1142" s="11" t="s">
        <v>2171</v>
      </c>
      <c r="I1142" s="12" t="s">
        <v>4214</v>
      </c>
      <c r="J1142" s="11" t="s">
        <v>2805</v>
      </c>
      <c r="K1142" s="10"/>
      <c r="L1142" s="10"/>
    </row>
    <row r="1143" spans="1:12" x14ac:dyDescent="0.25">
      <c r="A1143" s="21" t="s">
        <v>4222</v>
      </c>
      <c r="B1143" s="12" t="s">
        <v>4223</v>
      </c>
      <c r="C1143" s="11" t="s">
        <v>2805</v>
      </c>
      <c r="D1143" s="13" t="s">
        <v>1045</v>
      </c>
      <c r="E1143" s="11">
        <v>146</v>
      </c>
      <c r="F1143" s="21" t="s">
        <v>2427</v>
      </c>
      <c r="G1143" s="11" t="s">
        <v>4223</v>
      </c>
      <c r="H1143" s="11" t="s">
        <v>2171</v>
      </c>
      <c r="I1143" s="12" t="s">
        <v>4223</v>
      </c>
      <c r="J1143" s="11" t="s">
        <v>2805</v>
      </c>
      <c r="K1143" s="10"/>
      <c r="L1143" s="10"/>
    </row>
    <row r="1144" spans="1:12" x14ac:dyDescent="0.25">
      <c r="A1144" s="21" t="s">
        <v>1146</v>
      </c>
      <c r="B1144" s="12" t="s">
        <v>1147</v>
      </c>
      <c r="C1144" s="11" t="s">
        <v>2805</v>
      </c>
      <c r="D1144" s="13" t="s">
        <v>2512</v>
      </c>
      <c r="E1144" s="11">
        <v>1743</v>
      </c>
      <c r="F1144" s="21" t="s">
        <v>1148</v>
      </c>
      <c r="G1144" s="11" t="s">
        <v>1147</v>
      </c>
      <c r="H1144" s="11" t="s">
        <v>2171</v>
      </c>
      <c r="I1144" s="12" t="s">
        <v>1147</v>
      </c>
      <c r="J1144" s="11" t="s">
        <v>2805</v>
      </c>
      <c r="K1144" s="10"/>
      <c r="L1144" s="10"/>
    </row>
    <row r="1145" spans="1:12" x14ac:dyDescent="0.25">
      <c r="A1145" s="21" t="s">
        <v>1143</v>
      </c>
      <c r="B1145" s="12" t="s">
        <v>1144</v>
      </c>
      <c r="C1145" s="11" t="s">
        <v>2805</v>
      </c>
      <c r="D1145" s="13" t="s">
        <v>247</v>
      </c>
      <c r="E1145" s="11">
        <v>735</v>
      </c>
      <c r="F1145" s="21" t="s">
        <v>1145</v>
      </c>
      <c r="G1145" s="11" t="s">
        <v>1144</v>
      </c>
      <c r="H1145" s="11" t="s">
        <v>2171</v>
      </c>
      <c r="I1145" s="12" t="s">
        <v>1144</v>
      </c>
      <c r="J1145" s="11" t="s">
        <v>2805</v>
      </c>
      <c r="K1145" s="10"/>
      <c r="L1145" s="10"/>
    </row>
    <row r="1146" spans="1:12" x14ac:dyDescent="0.25">
      <c r="A1146" s="21" t="s">
        <v>1149</v>
      </c>
      <c r="B1146" s="12" t="s">
        <v>1150</v>
      </c>
      <c r="C1146" s="11" t="s">
        <v>2805</v>
      </c>
      <c r="D1146" s="13" t="s">
        <v>247</v>
      </c>
      <c r="E1146" s="11">
        <v>570</v>
      </c>
      <c r="F1146" s="21" t="s">
        <v>1151</v>
      </c>
      <c r="G1146" s="11" t="s">
        <v>1150</v>
      </c>
      <c r="H1146" s="11" t="s">
        <v>2171</v>
      </c>
      <c r="I1146" s="12" t="s">
        <v>1150</v>
      </c>
      <c r="J1146" s="11" t="s">
        <v>2805</v>
      </c>
      <c r="K1146" s="10"/>
      <c r="L1146" s="10"/>
    </row>
    <row r="1147" spans="1:12" x14ac:dyDescent="0.25">
      <c r="A1147" s="21" t="s">
        <v>2433</v>
      </c>
      <c r="B1147" s="12" t="s">
        <v>4252</v>
      </c>
      <c r="C1147" s="11" t="s">
        <v>2805</v>
      </c>
      <c r="D1147" s="13" t="s">
        <v>4438</v>
      </c>
      <c r="E1147" s="11">
        <v>968</v>
      </c>
      <c r="F1147" s="21" t="s">
        <v>4253</v>
      </c>
      <c r="G1147" s="11" t="s">
        <v>4252</v>
      </c>
      <c r="H1147" s="11" t="s">
        <v>2171</v>
      </c>
      <c r="I1147" s="12" t="s">
        <v>4252</v>
      </c>
      <c r="J1147" s="11" t="s">
        <v>2805</v>
      </c>
      <c r="K1147" s="10"/>
      <c r="L1147" s="10"/>
    </row>
    <row r="1148" spans="1:12" x14ac:dyDescent="0.25">
      <c r="A1148" s="21" t="s">
        <v>4254</v>
      </c>
      <c r="B1148" s="12" t="s">
        <v>4255</v>
      </c>
      <c r="C1148" s="11" t="s">
        <v>2805</v>
      </c>
      <c r="D1148" s="13" t="s">
        <v>4220</v>
      </c>
      <c r="E1148" s="11">
        <v>1657</v>
      </c>
      <c r="F1148" s="21" t="s">
        <v>4390</v>
      </c>
      <c r="G1148" s="11" t="s">
        <v>4255</v>
      </c>
      <c r="H1148" s="11" t="s">
        <v>2171</v>
      </c>
      <c r="I1148" s="12" t="s">
        <v>4255</v>
      </c>
      <c r="J1148" s="11" t="s">
        <v>2805</v>
      </c>
      <c r="K1148" s="10"/>
      <c r="L1148" s="10"/>
    </row>
    <row r="1149" spans="1:12" x14ac:dyDescent="0.25">
      <c r="A1149" s="21" t="s">
        <v>1152</v>
      </c>
      <c r="B1149" s="12" t="s">
        <v>1153</v>
      </c>
      <c r="C1149" s="11" t="s">
        <v>2805</v>
      </c>
      <c r="D1149" s="13" t="s">
        <v>234</v>
      </c>
      <c r="E1149" s="11">
        <v>253</v>
      </c>
      <c r="F1149" s="21" t="s">
        <v>1154</v>
      </c>
      <c r="G1149" s="11" t="s">
        <v>1153</v>
      </c>
      <c r="H1149" s="11" t="s">
        <v>2171</v>
      </c>
      <c r="I1149" s="12" t="s">
        <v>1153</v>
      </c>
      <c r="J1149" s="11" t="s">
        <v>2805</v>
      </c>
      <c r="K1149" s="10"/>
      <c r="L1149" s="10"/>
    </row>
    <row r="1150" spans="1:12" x14ac:dyDescent="0.25">
      <c r="A1150" s="21" t="s">
        <v>1155</v>
      </c>
      <c r="B1150" s="12" t="s">
        <v>1156</v>
      </c>
      <c r="C1150" s="11" t="s">
        <v>2805</v>
      </c>
      <c r="D1150" s="13" t="s">
        <v>2226</v>
      </c>
      <c r="E1150" s="11">
        <v>765</v>
      </c>
      <c r="F1150" s="21" t="s">
        <v>1157</v>
      </c>
      <c r="G1150" s="11" t="s">
        <v>1156</v>
      </c>
      <c r="H1150" s="11" t="s">
        <v>2171</v>
      </c>
      <c r="I1150" s="12" t="s">
        <v>1156</v>
      </c>
      <c r="J1150" s="11" t="s">
        <v>2805</v>
      </c>
      <c r="K1150" s="10"/>
      <c r="L1150" s="10"/>
    </row>
    <row r="1151" spans="1:12" x14ac:dyDescent="0.25">
      <c r="A1151" s="21" t="s">
        <v>2517</v>
      </c>
      <c r="B1151" s="12" t="s">
        <v>2518</v>
      </c>
      <c r="C1151" s="11" t="s">
        <v>2805</v>
      </c>
      <c r="D1151" s="13" t="s">
        <v>2783</v>
      </c>
      <c r="E1151" s="11">
        <v>420</v>
      </c>
      <c r="F1151" s="21" t="s">
        <v>2519</v>
      </c>
      <c r="G1151" s="11" t="s">
        <v>2518</v>
      </c>
      <c r="H1151" s="11" t="s">
        <v>2171</v>
      </c>
      <c r="I1151" s="12" t="s">
        <v>2518</v>
      </c>
      <c r="J1151" s="11" t="s">
        <v>2805</v>
      </c>
      <c r="K1151" s="10"/>
      <c r="L1151" s="10"/>
    </row>
    <row r="1152" spans="1:12" x14ac:dyDescent="0.25">
      <c r="A1152" s="21" t="s">
        <v>1158</v>
      </c>
      <c r="B1152" s="12" t="s">
        <v>1159</v>
      </c>
      <c r="C1152" s="11" t="s">
        <v>2805</v>
      </c>
      <c r="D1152" s="13" t="s">
        <v>1160</v>
      </c>
      <c r="E1152" s="11">
        <v>100</v>
      </c>
      <c r="F1152" s="21" t="s">
        <v>1161</v>
      </c>
      <c r="G1152" s="11" t="s">
        <v>1159</v>
      </c>
      <c r="H1152" s="11" t="s">
        <v>2171</v>
      </c>
      <c r="I1152" s="12" t="s">
        <v>1159</v>
      </c>
      <c r="J1152" s="11" t="s">
        <v>2805</v>
      </c>
      <c r="K1152" s="10"/>
      <c r="L1152" s="10"/>
    </row>
    <row r="1153" spans="1:12" x14ac:dyDescent="0.25">
      <c r="A1153" s="21" t="s">
        <v>2526</v>
      </c>
      <c r="B1153" s="12" t="s">
        <v>2527</v>
      </c>
      <c r="C1153" s="11" t="s">
        <v>2805</v>
      </c>
      <c r="D1153" s="13" t="s">
        <v>4429</v>
      </c>
      <c r="E1153" s="11">
        <v>1161</v>
      </c>
      <c r="F1153" s="21" t="s">
        <v>2528</v>
      </c>
      <c r="G1153" s="11" t="s">
        <v>2527</v>
      </c>
      <c r="H1153" s="11" t="s">
        <v>2171</v>
      </c>
      <c r="I1153" s="12" t="s">
        <v>2527</v>
      </c>
      <c r="J1153" s="11" t="s">
        <v>2805</v>
      </c>
      <c r="K1153" s="10"/>
      <c r="L1153" s="10"/>
    </row>
    <row r="1154" spans="1:12" x14ac:dyDescent="0.25">
      <c r="A1154" s="21" t="s">
        <v>2520</v>
      </c>
      <c r="B1154" s="12" t="s">
        <v>2521</v>
      </c>
      <c r="C1154" s="11" t="s">
        <v>2805</v>
      </c>
      <c r="D1154" s="13" t="s">
        <v>897</v>
      </c>
      <c r="E1154" s="11">
        <v>399</v>
      </c>
      <c r="F1154" s="21" t="s">
        <v>2522</v>
      </c>
      <c r="G1154" s="11" t="s">
        <v>2521</v>
      </c>
      <c r="H1154" s="11" t="s">
        <v>2171</v>
      </c>
      <c r="I1154" s="12" t="s">
        <v>2521</v>
      </c>
      <c r="J1154" s="11" t="s">
        <v>2805</v>
      </c>
      <c r="K1154" s="10"/>
      <c r="L1154" s="10"/>
    </row>
    <row r="1155" spans="1:12" x14ac:dyDescent="0.25">
      <c r="A1155" s="21" t="s">
        <v>1162</v>
      </c>
      <c r="B1155" s="12" t="s">
        <v>1163</v>
      </c>
      <c r="C1155" s="11" t="s">
        <v>2805</v>
      </c>
      <c r="D1155" s="13" t="s">
        <v>4259</v>
      </c>
      <c r="E1155" s="11">
        <v>688</v>
      </c>
      <c r="F1155" s="21" t="s">
        <v>1164</v>
      </c>
      <c r="G1155" s="11" t="s">
        <v>1163</v>
      </c>
      <c r="H1155" s="11" t="s">
        <v>2171</v>
      </c>
      <c r="I1155" s="12" t="s">
        <v>1163</v>
      </c>
      <c r="J1155" s="11" t="s">
        <v>2805</v>
      </c>
      <c r="K1155" s="10"/>
      <c r="L1155" s="10"/>
    </row>
    <row r="1156" spans="1:12" x14ac:dyDescent="0.25">
      <c r="A1156" s="21" t="s">
        <v>4687</v>
      </c>
      <c r="B1156" s="12" t="s">
        <v>4688</v>
      </c>
      <c r="C1156" s="11" t="s">
        <v>2805</v>
      </c>
      <c r="D1156" s="13" t="s">
        <v>1668</v>
      </c>
      <c r="E1156" s="11">
        <v>195</v>
      </c>
      <c r="F1156" s="21" t="s">
        <v>4689</v>
      </c>
      <c r="G1156" s="11" t="s">
        <v>4690</v>
      </c>
      <c r="H1156" s="11" t="s">
        <v>2171</v>
      </c>
      <c r="I1156" s="12" t="s">
        <v>4688</v>
      </c>
      <c r="J1156" s="11" t="s">
        <v>2805</v>
      </c>
      <c r="K1156" s="10"/>
      <c r="L1156" s="10"/>
    </row>
    <row r="1157" spans="1:12" x14ac:dyDescent="0.25">
      <c r="A1157" s="21" t="s">
        <v>2523</v>
      </c>
      <c r="B1157" s="12" t="s">
        <v>2524</v>
      </c>
      <c r="C1157" s="11" t="s">
        <v>2800</v>
      </c>
      <c r="D1157" s="13" t="s">
        <v>255</v>
      </c>
      <c r="E1157" s="11">
        <v>1231</v>
      </c>
      <c r="F1157" s="21" t="s">
        <v>2525</v>
      </c>
      <c r="G1157" s="11" t="s">
        <v>2524</v>
      </c>
      <c r="H1157" s="11" t="s">
        <v>2171</v>
      </c>
      <c r="I1157" s="12" t="s">
        <v>2524</v>
      </c>
      <c r="J1157" s="11" t="s">
        <v>2800</v>
      </c>
      <c r="K1157" s="10"/>
      <c r="L1157" s="10"/>
    </row>
    <row r="1158" spans="1:12" x14ac:dyDescent="0.25">
      <c r="A1158" s="21" t="s">
        <v>2529</v>
      </c>
      <c r="B1158" s="12" t="s">
        <v>2530</v>
      </c>
      <c r="C1158" s="11" t="s">
        <v>2805</v>
      </c>
      <c r="D1158" s="13" t="s">
        <v>2531</v>
      </c>
      <c r="E1158" s="11">
        <v>204</v>
      </c>
      <c r="F1158" s="21" t="s">
        <v>2532</v>
      </c>
      <c r="G1158" s="11" t="s">
        <v>2530</v>
      </c>
      <c r="H1158" s="11" t="s">
        <v>2171</v>
      </c>
      <c r="I1158" s="12" t="s">
        <v>2530</v>
      </c>
      <c r="J1158" s="11" t="s">
        <v>2805</v>
      </c>
      <c r="K1158" s="10"/>
      <c r="L1158" s="10"/>
    </row>
    <row r="1159" spans="1:12" x14ac:dyDescent="0.25">
      <c r="A1159" s="21" t="s">
        <v>4691</v>
      </c>
      <c r="B1159" s="12" t="s">
        <v>4692</v>
      </c>
      <c r="C1159" s="11" t="s">
        <v>2805</v>
      </c>
      <c r="D1159" s="13" t="s">
        <v>1479</v>
      </c>
      <c r="E1159" s="11">
        <v>642</v>
      </c>
      <c r="F1159" s="21" t="s">
        <v>4693</v>
      </c>
      <c r="G1159" s="11" t="s">
        <v>4692</v>
      </c>
      <c r="H1159" s="11" t="s">
        <v>2171</v>
      </c>
      <c r="I1159" s="12" t="s">
        <v>4692</v>
      </c>
      <c r="J1159" s="11" t="s">
        <v>2805</v>
      </c>
      <c r="K1159" s="10"/>
      <c r="L1159" s="10"/>
    </row>
    <row r="1160" spans="1:12" x14ac:dyDescent="0.25">
      <c r="A1160" s="21" t="s">
        <v>4694</v>
      </c>
      <c r="B1160" s="12" t="s">
        <v>4695</v>
      </c>
      <c r="C1160" s="11" t="s">
        <v>2800</v>
      </c>
      <c r="D1160" s="13" t="s">
        <v>2674</v>
      </c>
      <c r="E1160" s="11">
        <v>1235</v>
      </c>
      <c r="F1160" s="21" t="s">
        <v>4696</v>
      </c>
      <c r="G1160" s="11" t="s">
        <v>4695</v>
      </c>
      <c r="H1160" s="11" t="s">
        <v>2171</v>
      </c>
      <c r="I1160" s="12" t="s">
        <v>4695</v>
      </c>
      <c r="J1160" s="11" t="s">
        <v>2800</v>
      </c>
      <c r="K1160" s="10"/>
      <c r="L1160" s="10"/>
    </row>
    <row r="1161" spans="1:12" x14ac:dyDescent="0.25">
      <c r="A1161" s="21" t="s">
        <v>2533</v>
      </c>
      <c r="B1161" s="12" t="s">
        <v>2534</v>
      </c>
      <c r="C1161" s="11" t="s">
        <v>2805</v>
      </c>
      <c r="D1161" s="13" t="s">
        <v>247</v>
      </c>
      <c r="E1161" s="11">
        <v>655</v>
      </c>
      <c r="F1161" s="21" t="s">
        <v>2535</v>
      </c>
      <c r="G1161" s="11" t="s">
        <v>2534</v>
      </c>
      <c r="H1161" s="11" t="s">
        <v>2171</v>
      </c>
      <c r="I1161" s="12" t="s">
        <v>2534</v>
      </c>
      <c r="J1161" s="11" t="s">
        <v>2805</v>
      </c>
      <c r="K1161" s="10"/>
      <c r="L1161" s="10"/>
    </row>
    <row r="1162" spans="1:12" x14ac:dyDescent="0.25">
      <c r="A1162" s="21" t="s">
        <v>2536</v>
      </c>
      <c r="B1162" s="12" t="s">
        <v>2537</v>
      </c>
      <c r="C1162" s="11" t="s">
        <v>2805</v>
      </c>
      <c r="D1162" s="13" t="s">
        <v>84</v>
      </c>
      <c r="E1162" s="11">
        <v>1983</v>
      </c>
      <c r="F1162" s="21" t="s">
        <v>2538</v>
      </c>
      <c r="G1162" s="11" t="s">
        <v>2537</v>
      </c>
      <c r="H1162" s="11" t="s">
        <v>2171</v>
      </c>
      <c r="I1162" s="12" t="s">
        <v>2537</v>
      </c>
      <c r="J1162" s="11" t="s">
        <v>2805</v>
      </c>
      <c r="K1162" s="10"/>
      <c r="L1162" s="10"/>
    </row>
    <row r="1163" spans="1:12" x14ac:dyDescent="0.25">
      <c r="A1163" s="21" t="s">
        <v>4697</v>
      </c>
      <c r="B1163" s="12" t="s">
        <v>4698</v>
      </c>
      <c r="C1163" s="11" t="s">
        <v>2805</v>
      </c>
      <c r="D1163" s="13" t="s">
        <v>2171</v>
      </c>
      <c r="E1163" s="11">
        <v>145</v>
      </c>
      <c r="F1163" s="21" t="s">
        <v>283</v>
      </c>
      <c r="G1163" s="11" t="s">
        <v>229</v>
      </c>
      <c r="H1163" s="11" t="s">
        <v>2171</v>
      </c>
      <c r="I1163" s="12" t="s">
        <v>4698</v>
      </c>
      <c r="J1163" s="11" t="s">
        <v>2805</v>
      </c>
      <c r="K1163" s="10"/>
      <c r="L1163" s="10"/>
    </row>
    <row r="1164" spans="1:12" x14ac:dyDescent="0.25">
      <c r="A1164" s="21" t="s">
        <v>2539</v>
      </c>
      <c r="B1164" s="12" t="s">
        <v>2540</v>
      </c>
      <c r="C1164" s="11" t="s">
        <v>2805</v>
      </c>
      <c r="D1164" s="13">
        <v>90</v>
      </c>
      <c r="E1164" s="11">
        <v>100</v>
      </c>
      <c r="F1164" s="21" t="s">
        <v>2541</v>
      </c>
      <c r="G1164" s="11" t="s">
        <v>2540</v>
      </c>
      <c r="H1164" s="11" t="s">
        <v>2171</v>
      </c>
      <c r="I1164" s="12" t="s">
        <v>2540</v>
      </c>
      <c r="J1164" s="11" t="s">
        <v>2805</v>
      </c>
      <c r="K1164" s="10"/>
      <c r="L1164" s="10"/>
    </row>
    <row r="1165" spans="1:12" x14ac:dyDescent="0.25">
      <c r="A1165" s="21" t="s">
        <v>284</v>
      </c>
      <c r="B1165" s="12" t="s">
        <v>285</v>
      </c>
      <c r="C1165" s="11" t="s">
        <v>2805</v>
      </c>
      <c r="D1165" s="13" t="s">
        <v>34</v>
      </c>
      <c r="E1165" s="11">
        <v>645</v>
      </c>
      <c r="F1165" s="21" t="s">
        <v>286</v>
      </c>
      <c r="G1165" s="11" t="s">
        <v>285</v>
      </c>
      <c r="H1165" s="11" t="s">
        <v>2171</v>
      </c>
      <c r="I1165" s="12" t="s">
        <v>285</v>
      </c>
      <c r="J1165" s="11" t="s">
        <v>2805</v>
      </c>
      <c r="K1165" s="10"/>
      <c r="L1165" s="10"/>
    </row>
    <row r="1166" spans="1:12" x14ac:dyDescent="0.25">
      <c r="A1166" s="21" t="s">
        <v>287</v>
      </c>
      <c r="B1166" s="12" t="s">
        <v>288</v>
      </c>
      <c r="C1166" s="11" t="s">
        <v>2805</v>
      </c>
      <c r="D1166" s="13" t="s">
        <v>4310</v>
      </c>
      <c r="E1166" s="11">
        <v>1454</v>
      </c>
      <c r="F1166" s="21" t="s">
        <v>289</v>
      </c>
      <c r="G1166" s="11" t="s">
        <v>288</v>
      </c>
      <c r="H1166" s="11" t="s">
        <v>2171</v>
      </c>
      <c r="I1166" s="12" t="s">
        <v>288</v>
      </c>
      <c r="J1166" s="11" t="s">
        <v>2805</v>
      </c>
      <c r="K1166" s="10"/>
      <c r="L1166" s="10"/>
    </row>
    <row r="1167" spans="1:12" x14ac:dyDescent="0.25">
      <c r="A1167" s="21" t="s">
        <v>2542</v>
      </c>
      <c r="B1167" s="12" t="s">
        <v>2543</v>
      </c>
      <c r="C1167" s="11" t="s">
        <v>2805</v>
      </c>
      <c r="D1167" s="13" t="s">
        <v>2190</v>
      </c>
      <c r="E1167" s="11">
        <v>735</v>
      </c>
      <c r="F1167" s="21" t="s">
        <v>4336</v>
      </c>
      <c r="G1167" s="11" t="s">
        <v>2543</v>
      </c>
      <c r="H1167" s="11" t="s">
        <v>2171</v>
      </c>
      <c r="I1167" s="12" t="s">
        <v>2543</v>
      </c>
      <c r="J1167" s="11" t="s">
        <v>2805</v>
      </c>
      <c r="K1167" s="10"/>
      <c r="L1167" s="10"/>
    </row>
    <row r="1168" spans="1:12" x14ac:dyDescent="0.25">
      <c r="A1168" s="21" t="s">
        <v>4337</v>
      </c>
      <c r="B1168" s="12" t="s">
        <v>4338</v>
      </c>
      <c r="C1168" s="11" t="s">
        <v>2805</v>
      </c>
      <c r="D1168" s="13" t="s">
        <v>2270</v>
      </c>
      <c r="E1168" s="11">
        <v>961</v>
      </c>
      <c r="F1168" s="21" t="s">
        <v>4339</v>
      </c>
      <c r="G1168" s="11" t="s">
        <v>4338</v>
      </c>
      <c r="H1168" s="11" t="s">
        <v>2171</v>
      </c>
      <c r="I1168" s="12" t="s">
        <v>4338</v>
      </c>
      <c r="J1168" s="11" t="s">
        <v>2805</v>
      </c>
      <c r="K1168" s="10"/>
      <c r="L1168" s="10"/>
    </row>
    <row r="1169" spans="1:12" x14ac:dyDescent="0.25">
      <c r="A1169" s="21" t="s">
        <v>4340</v>
      </c>
      <c r="B1169" s="12" t="s">
        <v>4341</v>
      </c>
      <c r="C1169" s="11" t="s">
        <v>2805</v>
      </c>
      <c r="D1169" s="13" t="s">
        <v>4342</v>
      </c>
      <c r="E1169" s="11">
        <v>134</v>
      </c>
      <c r="F1169" s="21" t="s">
        <v>4343</v>
      </c>
      <c r="G1169" s="11" t="s">
        <v>2558</v>
      </c>
      <c r="H1169" s="11" t="s">
        <v>2171</v>
      </c>
      <c r="I1169" s="12" t="s">
        <v>4341</v>
      </c>
      <c r="J1169" s="11" t="s">
        <v>2805</v>
      </c>
      <c r="K1169" s="10"/>
      <c r="L1169" s="10"/>
    </row>
    <row r="1170" spans="1:12" x14ac:dyDescent="0.25">
      <c r="A1170" s="21" t="s">
        <v>290</v>
      </c>
      <c r="B1170" s="12" t="s">
        <v>291</v>
      </c>
      <c r="C1170" s="11" t="s">
        <v>2805</v>
      </c>
      <c r="D1170" s="13">
        <v>14</v>
      </c>
      <c r="E1170" s="11">
        <v>705</v>
      </c>
      <c r="F1170" s="21" t="s">
        <v>292</v>
      </c>
      <c r="G1170" s="11" t="s">
        <v>291</v>
      </c>
      <c r="H1170" s="11" t="s">
        <v>2171</v>
      </c>
      <c r="I1170" s="12" t="s">
        <v>291</v>
      </c>
      <c r="J1170" s="11" t="s">
        <v>2805</v>
      </c>
      <c r="K1170" s="10"/>
      <c r="L1170" s="10"/>
    </row>
    <row r="1171" spans="1:12" x14ac:dyDescent="0.25">
      <c r="A1171" s="21" t="s">
        <v>293</v>
      </c>
      <c r="B1171" s="12" t="s">
        <v>294</v>
      </c>
      <c r="C1171" s="11" t="s">
        <v>2805</v>
      </c>
      <c r="D1171" s="13" t="s">
        <v>4259</v>
      </c>
      <c r="E1171" s="11">
        <v>159</v>
      </c>
      <c r="F1171" s="21" t="s">
        <v>295</v>
      </c>
      <c r="G1171" s="11" t="s">
        <v>294</v>
      </c>
      <c r="H1171" s="11" t="s">
        <v>2171</v>
      </c>
      <c r="I1171" s="12" t="s">
        <v>294</v>
      </c>
      <c r="J1171" s="11" t="s">
        <v>2805</v>
      </c>
      <c r="K1171" s="10"/>
      <c r="L1171" s="10"/>
    </row>
    <row r="1172" spans="1:12" x14ac:dyDescent="0.25">
      <c r="A1172" s="21" t="s">
        <v>296</v>
      </c>
      <c r="B1172" s="12" t="s">
        <v>2921</v>
      </c>
      <c r="C1172" s="11" t="s">
        <v>2800</v>
      </c>
      <c r="D1172" s="13" t="s">
        <v>897</v>
      </c>
      <c r="E1172" s="11">
        <v>1096</v>
      </c>
      <c r="F1172" s="21" t="s">
        <v>2922</v>
      </c>
      <c r="G1172" s="11" t="s">
        <v>2921</v>
      </c>
      <c r="H1172" s="11" t="s">
        <v>2171</v>
      </c>
      <c r="I1172" s="12" t="s">
        <v>2921</v>
      </c>
      <c r="J1172" s="11" t="s">
        <v>2800</v>
      </c>
      <c r="K1172" s="10"/>
      <c r="L1172" s="10"/>
    </row>
    <row r="1173" spans="1:12" x14ac:dyDescent="0.25">
      <c r="A1173" s="21" t="s">
        <v>2559</v>
      </c>
      <c r="B1173" s="12" t="s">
        <v>2560</v>
      </c>
      <c r="C1173" s="11" t="s">
        <v>2805</v>
      </c>
      <c r="D1173" s="13" t="s">
        <v>247</v>
      </c>
      <c r="E1173" s="11">
        <v>550</v>
      </c>
      <c r="F1173" s="21" t="s">
        <v>2561</v>
      </c>
      <c r="G1173" s="11" t="s">
        <v>2560</v>
      </c>
      <c r="H1173" s="11" t="s">
        <v>2171</v>
      </c>
      <c r="I1173" s="12" t="s">
        <v>2560</v>
      </c>
      <c r="J1173" s="11" t="s">
        <v>2805</v>
      </c>
      <c r="K1173" s="10"/>
      <c r="L1173" s="10"/>
    </row>
    <row r="1174" spans="1:12" x14ac:dyDescent="0.25">
      <c r="A1174" s="21" t="s">
        <v>2562</v>
      </c>
      <c r="B1174" s="12" t="s">
        <v>2563</v>
      </c>
      <c r="C1174" s="11" t="s">
        <v>2805</v>
      </c>
      <c r="D1174" s="13" t="s">
        <v>4311</v>
      </c>
      <c r="E1174" s="11">
        <v>327</v>
      </c>
      <c r="F1174" s="21" t="s">
        <v>2564</v>
      </c>
      <c r="G1174" s="11" t="s">
        <v>2563</v>
      </c>
      <c r="H1174" s="11" t="s">
        <v>2171</v>
      </c>
      <c r="I1174" s="12" t="s">
        <v>2563</v>
      </c>
      <c r="J1174" s="11" t="s">
        <v>2805</v>
      </c>
      <c r="K1174" s="10"/>
      <c r="L1174" s="10"/>
    </row>
    <row r="1175" spans="1:12" x14ac:dyDescent="0.25">
      <c r="A1175" s="21" t="s">
        <v>2923</v>
      </c>
      <c r="B1175" s="12" t="s">
        <v>2924</v>
      </c>
      <c r="C1175" s="11" t="s">
        <v>2805</v>
      </c>
      <c r="D1175" s="13" t="s">
        <v>2925</v>
      </c>
      <c r="E1175" s="11">
        <v>234</v>
      </c>
      <c r="F1175" s="21" t="s">
        <v>2926</v>
      </c>
      <c r="G1175" s="11" t="s">
        <v>2924</v>
      </c>
      <c r="H1175" s="11" t="s">
        <v>2171</v>
      </c>
      <c r="I1175" s="12" t="s">
        <v>2924</v>
      </c>
      <c r="J1175" s="11" t="s">
        <v>2805</v>
      </c>
      <c r="K1175" s="10"/>
      <c r="L1175" s="10"/>
    </row>
    <row r="1176" spans="1:12" x14ac:dyDescent="0.25">
      <c r="A1176" s="21" t="s">
        <v>2565</v>
      </c>
      <c r="B1176" s="12" t="s">
        <v>2566</v>
      </c>
      <c r="C1176" s="11" t="s">
        <v>2805</v>
      </c>
      <c r="D1176" s="13" t="s">
        <v>2674</v>
      </c>
      <c r="E1176" s="11">
        <v>157</v>
      </c>
      <c r="F1176" s="21" t="s">
        <v>2567</v>
      </c>
      <c r="G1176" s="11" t="s">
        <v>2568</v>
      </c>
      <c r="H1176" s="11" t="s">
        <v>2171</v>
      </c>
      <c r="I1176" s="12" t="s">
        <v>2566</v>
      </c>
      <c r="J1176" s="11" t="s">
        <v>2805</v>
      </c>
      <c r="K1176" s="10"/>
      <c r="L1176" s="10"/>
    </row>
    <row r="1177" spans="1:12" x14ac:dyDescent="0.25">
      <c r="A1177" s="21" t="s">
        <v>2569</v>
      </c>
      <c r="B1177" s="12" t="s">
        <v>2570</v>
      </c>
      <c r="C1177" s="11" t="s">
        <v>2805</v>
      </c>
      <c r="D1177" s="13" t="s">
        <v>255</v>
      </c>
      <c r="E1177" s="11">
        <v>1636</v>
      </c>
      <c r="F1177" s="21" t="s">
        <v>2571</v>
      </c>
      <c r="G1177" s="11" t="s">
        <v>2570</v>
      </c>
      <c r="H1177" s="11" t="s">
        <v>2171</v>
      </c>
      <c r="I1177" s="12" t="s">
        <v>2570</v>
      </c>
      <c r="J1177" s="11" t="s">
        <v>2805</v>
      </c>
      <c r="K1177" s="10"/>
      <c r="L1177" s="10"/>
    </row>
    <row r="1178" spans="1:12" x14ac:dyDescent="0.25">
      <c r="A1178" s="21" t="s">
        <v>2572</v>
      </c>
      <c r="B1178" s="12" t="s">
        <v>442</v>
      </c>
      <c r="C1178" s="11" t="s">
        <v>2805</v>
      </c>
      <c r="D1178" s="13" t="s">
        <v>4646</v>
      </c>
      <c r="E1178" s="11">
        <v>560</v>
      </c>
      <c r="F1178" s="21" t="s">
        <v>2573</v>
      </c>
      <c r="G1178" s="11" t="s">
        <v>442</v>
      </c>
      <c r="H1178" s="11" t="s">
        <v>2171</v>
      </c>
      <c r="I1178" s="12" t="s">
        <v>442</v>
      </c>
      <c r="J1178" s="11" t="s">
        <v>2805</v>
      </c>
      <c r="K1178" s="10"/>
      <c r="L1178" s="10"/>
    </row>
    <row r="1179" spans="1:12" x14ac:dyDescent="0.25">
      <c r="A1179" s="21" t="s">
        <v>2927</v>
      </c>
      <c r="B1179" s="12" t="s">
        <v>2928</v>
      </c>
      <c r="C1179" s="11" t="s">
        <v>2805</v>
      </c>
      <c r="D1179" s="13" t="s">
        <v>2270</v>
      </c>
      <c r="E1179" s="11">
        <v>302</v>
      </c>
      <c r="F1179" s="21" t="s">
        <v>2929</v>
      </c>
      <c r="G1179" s="11" t="s">
        <v>2930</v>
      </c>
      <c r="H1179" s="11" t="s">
        <v>2171</v>
      </c>
      <c r="I1179" s="12" t="s">
        <v>2928</v>
      </c>
      <c r="J1179" s="11" t="s">
        <v>2805</v>
      </c>
      <c r="K1179" s="10"/>
      <c r="L1179" s="10"/>
    </row>
    <row r="1180" spans="1:12" x14ac:dyDescent="0.25">
      <c r="A1180" s="21" t="s">
        <v>2931</v>
      </c>
      <c r="B1180" s="12" t="s">
        <v>2932</v>
      </c>
      <c r="C1180" s="11" t="s">
        <v>2805</v>
      </c>
      <c r="D1180" s="13" t="s">
        <v>2933</v>
      </c>
      <c r="E1180" s="11">
        <v>254</v>
      </c>
      <c r="F1180" s="21" t="s">
        <v>2934</v>
      </c>
      <c r="G1180" s="11" t="s">
        <v>2932</v>
      </c>
      <c r="H1180" s="11" t="s">
        <v>2171</v>
      </c>
      <c r="I1180" s="12" t="s">
        <v>2932</v>
      </c>
      <c r="J1180" s="11" t="s">
        <v>2805</v>
      </c>
      <c r="K1180" s="10"/>
      <c r="L1180" s="10"/>
    </row>
    <row r="1181" spans="1:12" x14ac:dyDescent="0.25">
      <c r="A1181" s="21" t="s">
        <v>2577</v>
      </c>
      <c r="B1181" s="12" t="s">
        <v>2578</v>
      </c>
      <c r="C1181" s="11" t="s">
        <v>2805</v>
      </c>
      <c r="D1181" s="13" t="s">
        <v>234</v>
      </c>
      <c r="E1181" s="11">
        <v>304</v>
      </c>
      <c r="F1181" s="21" t="s">
        <v>2579</v>
      </c>
      <c r="G1181" s="11" t="s">
        <v>2578</v>
      </c>
      <c r="H1181" s="11" t="s">
        <v>2171</v>
      </c>
      <c r="I1181" s="12" t="s">
        <v>2578</v>
      </c>
      <c r="J1181" s="11" t="s">
        <v>2805</v>
      </c>
      <c r="K1181" s="10"/>
      <c r="L1181" s="10"/>
    </row>
    <row r="1182" spans="1:12" x14ac:dyDescent="0.25">
      <c r="A1182" s="21" t="s">
        <v>2580</v>
      </c>
      <c r="B1182" s="12" t="s">
        <v>2581</v>
      </c>
      <c r="C1182" s="11" t="s">
        <v>2805</v>
      </c>
      <c r="D1182" s="13" t="s">
        <v>4646</v>
      </c>
      <c r="E1182" s="11">
        <v>100</v>
      </c>
      <c r="F1182" s="21" t="s">
        <v>2582</v>
      </c>
      <c r="G1182" s="11" t="s">
        <v>2581</v>
      </c>
      <c r="H1182" s="11" t="s">
        <v>2171</v>
      </c>
      <c r="I1182" s="12" t="s">
        <v>2581</v>
      </c>
      <c r="J1182" s="11" t="s">
        <v>2805</v>
      </c>
      <c r="K1182" s="10"/>
      <c r="L1182" s="10"/>
    </row>
    <row r="1183" spans="1:12" x14ac:dyDescent="0.25">
      <c r="A1183" s="21" t="s">
        <v>2935</v>
      </c>
      <c r="B1183" s="12" t="s">
        <v>2936</v>
      </c>
      <c r="C1183" s="11" t="s">
        <v>2805</v>
      </c>
      <c r="D1183" s="13" t="s">
        <v>2937</v>
      </c>
      <c r="E1183" s="11">
        <v>485</v>
      </c>
      <c r="F1183" s="21" t="s">
        <v>2938</v>
      </c>
      <c r="G1183" s="11" t="s">
        <v>2936</v>
      </c>
      <c r="H1183" s="11" t="s">
        <v>2171</v>
      </c>
      <c r="I1183" s="12" t="s">
        <v>2936</v>
      </c>
      <c r="J1183" s="11" t="s">
        <v>2805</v>
      </c>
      <c r="K1183" s="10"/>
      <c r="L1183" s="10"/>
    </row>
    <row r="1184" spans="1:12" x14ac:dyDescent="0.25">
      <c r="A1184" s="21" t="s">
        <v>2583</v>
      </c>
      <c r="B1184" s="12" t="s">
        <v>2584</v>
      </c>
      <c r="C1184" s="11" t="s">
        <v>2805</v>
      </c>
      <c r="D1184" s="13" t="s">
        <v>1300</v>
      </c>
      <c r="E1184" s="11">
        <v>1198</v>
      </c>
      <c r="F1184" s="21" t="s">
        <v>2585</v>
      </c>
      <c r="G1184" s="11" t="s">
        <v>2584</v>
      </c>
      <c r="H1184" s="11" t="s">
        <v>2171</v>
      </c>
      <c r="I1184" s="12" t="s">
        <v>2584</v>
      </c>
      <c r="J1184" s="11" t="s">
        <v>2805</v>
      </c>
      <c r="K1184" s="10"/>
      <c r="L1184" s="10"/>
    </row>
    <row r="1185" spans="1:12" x14ac:dyDescent="0.25">
      <c r="A1185" s="21" t="s">
        <v>2574</v>
      </c>
      <c r="B1185" s="12" t="s">
        <v>2575</v>
      </c>
      <c r="C1185" s="11" t="s">
        <v>2805</v>
      </c>
      <c r="D1185" s="13" t="s">
        <v>2190</v>
      </c>
      <c r="E1185" s="11">
        <v>180</v>
      </c>
      <c r="F1185" s="21" t="s">
        <v>2576</v>
      </c>
      <c r="G1185" s="11" t="s">
        <v>2575</v>
      </c>
      <c r="H1185" s="11" t="s">
        <v>2171</v>
      </c>
      <c r="I1185" s="12" t="s">
        <v>2575</v>
      </c>
      <c r="J1185" s="11" t="s">
        <v>2805</v>
      </c>
      <c r="K1185" s="10"/>
      <c r="L1185" s="10"/>
    </row>
    <row r="1186" spans="1:12" x14ac:dyDescent="0.25">
      <c r="A1186" s="21" t="s">
        <v>2939</v>
      </c>
      <c r="B1186" s="12" t="s">
        <v>2940</v>
      </c>
      <c r="C1186" s="11" t="s">
        <v>2805</v>
      </c>
      <c r="D1186" s="13">
        <v>16</v>
      </c>
      <c r="E1186" s="11">
        <v>856</v>
      </c>
      <c r="F1186" s="21" t="s">
        <v>2941</v>
      </c>
      <c r="G1186" s="11" t="s">
        <v>2940</v>
      </c>
      <c r="H1186" s="11" t="s">
        <v>2171</v>
      </c>
      <c r="I1186" s="12" t="s">
        <v>2940</v>
      </c>
      <c r="J1186" s="11" t="s">
        <v>2805</v>
      </c>
      <c r="K1186" s="10"/>
      <c r="L1186" s="10"/>
    </row>
    <row r="1187" spans="1:12" x14ac:dyDescent="0.25">
      <c r="A1187" s="21" t="s">
        <v>1</v>
      </c>
      <c r="B1187" s="12" t="s">
        <v>2</v>
      </c>
      <c r="C1187" s="11" t="s">
        <v>2805</v>
      </c>
      <c r="D1187" s="13">
        <v>9</v>
      </c>
      <c r="E1187" s="11">
        <v>360</v>
      </c>
      <c r="F1187" s="21" t="s">
        <v>3</v>
      </c>
      <c r="G1187" s="11" t="s">
        <v>2</v>
      </c>
      <c r="H1187" s="11" t="s">
        <v>2171</v>
      </c>
      <c r="I1187" s="12" t="s">
        <v>2</v>
      </c>
      <c r="J1187" s="11" t="s">
        <v>2805</v>
      </c>
      <c r="K1187" s="10"/>
      <c r="L1187" s="10"/>
    </row>
    <row r="1188" spans="1:12" x14ac:dyDescent="0.25">
      <c r="A1188" s="21" t="s">
        <v>2942</v>
      </c>
      <c r="B1188" s="12" t="s">
        <v>1231</v>
      </c>
      <c r="C1188" s="11" t="s">
        <v>2805</v>
      </c>
      <c r="D1188" s="13" t="s">
        <v>247</v>
      </c>
      <c r="E1188" s="11">
        <v>459</v>
      </c>
      <c r="F1188" s="21" t="s">
        <v>1232</v>
      </c>
      <c r="G1188" s="11" t="s">
        <v>1231</v>
      </c>
      <c r="H1188" s="11" t="s">
        <v>2171</v>
      </c>
      <c r="I1188" s="12" t="s">
        <v>1231</v>
      </c>
      <c r="J1188" s="11" t="s">
        <v>2805</v>
      </c>
      <c r="K1188" s="10"/>
      <c r="L1188" s="10"/>
    </row>
    <row r="1189" spans="1:12" x14ac:dyDescent="0.25">
      <c r="A1189" s="21" t="s">
        <v>2586</v>
      </c>
      <c r="B1189" s="12" t="s">
        <v>2587</v>
      </c>
      <c r="C1189" s="11" t="s">
        <v>2805</v>
      </c>
      <c r="D1189" s="13">
        <v>10</v>
      </c>
      <c r="E1189" s="11">
        <v>834</v>
      </c>
      <c r="F1189" s="21" t="s">
        <v>2588</v>
      </c>
      <c r="G1189" s="11" t="s">
        <v>2587</v>
      </c>
      <c r="H1189" s="11" t="s">
        <v>2171</v>
      </c>
      <c r="I1189" s="12" t="s">
        <v>2587</v>
      </c>
      <c r="J1189" s="11" t="s">
        <v>2805</v>
      </c>
      <c r="K1189" s="10"/>
      <c r="L1189" s="10"/>
    </row>
    <row r="1190" spans="1:12" x14ac:dyDescent="0.25">
      <c r="A1190" s="21" t="s">
        <v>2589</v>
      </c>
      <c r="B1190" s="12" t="s">
        <v>2590</v>
      </c>
      <c r="C1190" s="11" t="s">
        <v>2805</v>
      </c>
      <c r="D1190" s="13" t="s">
        <v>234</v>
      </c>
      <c r="E1190" s="11">
        <v>1</v>
      </c>
      <c r="F1190" s="21" t="s">
        <v>2591</v>
      </c>
      <c r="G1190" s="11" t="s">
        <v>2590</v>
      </c>
      <c r="H1190" s="11" t="s">
        <v>2171</v>
      </c>
      <c r="I1190" s="12" t="s">
        <v>2590</v>
      </c>
      <c r="J1190" s="11" t="s">
        <v>2805</v>
      </c>
      <c r="K1190" s="10"/>
      <c r="L1190" s="10"/>
    </row>
    <row r="1191" spans="1:12" x14ac:dyDescent="0.25">
      <c r="A1191" s="21" t="s">
        <v>2592</v>
      </c>
      <c r="B1191" s="12" t="s">
        <v>2593</v>
      </c>
      <c r="C1191" s="11" t="s">
        <v>2805</v>
      </c>
      <c r="D1191" s="13" t="s">
        <v>2155</v>
      </c>
      <c r="E1191" s="11">
        <v>307</v>
      </c>
      <c r="F1191" s="21" t="s">
        <v>2594</v>
      </c>
      <c r="G1191" s="11" t="s">
        <v>2593</v>
      </c>
      <c r="H1191" s="11" t="s">
        <v>2171</v>
      </c>
      <c r="I1191" s="12" t="s">
        <v>2593</v>
      </c>
      <c r="J1191" s="11" t="s">
        <v>2805</v>
      </c>
      <c r="K1191" s="10"/>
      <c r="L1191" s="10"/>
    </row>
    <row r="1192" spans="1:12" x14ac:dyDescent="0.25">
      <c r="A1192" s="21" t="s">
        <v>2595</v>
      </c>
      <c r="B1192" s="12" t="s">
        <v>2596</v>
      </c>
      <c r="C1192" s="11" t="s">
        <v>2805</v>
      </c>
      <c r="D1192" s="13" t="s">
        <v>2398</v>
      </c>
      <c r="E1192" s="11">
        <v>1501</v>
      </c>
      <c r="F1192" s="21" t="s">
        <v>0</v>
      </c>
      <c r="G1192" s="11" t="s">
        <v>2596</v>
      </c>
      <c r="H1192" s="11" t="s">
        <v>2171</v>
      </c>
      <c r="I1192" s="12" t="s">
        <v>2596</v>
      </c>
      <c r="J1192" s="11" t="s">
        <v>2805</v>
      </c>
      <c r="K1192" s="10"/>
      <c r="L1192" s="10"/>
    </row>
    <row r="1193" spans="1:12" x14ac:dyDescent="0.25">
      <c r="A1193" s="21" t="s">
        <v>4</v>
      </c>
      <c r="B1193" s="12" t="s">
        <v>5</v>
      </c>
      <c r="C1193" s="11" t="s">
        <v>2805</v>
      </c>
      <c r="D1193" s="13" t="s">
        <v>3392</v>
      </c>
      <c r="E1193" s="11">
        <v>420</v>
      </c>
      <c r="F1193" s="21" t="s">
        <v>3393</v>
      </c>
      <c r="G1193" s="11" t="s">
        <v>5</v>
      </c>
      <c r="H1193" s="11" t="s">
        <v>2171</v>
      </c>
      <c r="I1193" s="12" t="s">
        <v>5</v>
      </c>
      <c r="J1193" s="11" t="s">
        <v>2805</v>
      </c>
      <c r="K1193" s="10"/>
      <c r="L1193" s="10"/>
    </row>
    <row r="1194" spans="1:12" x14ac:dyDescent="0.25">
      <c r="A1194" s="21" t="s">
        <v>1233</v>
      </c>
      <c r="B1194" s="12" t="s">
        <v>1234</v>
      </c>
      <c r="C1194" s="11" t="s">
        <v>2805</v>
      </c>
      <c r="D1194" s="13" t="s">
        <v>1235</v>
      </c>
      <c r="E1194" s="11">
        <v>626</v>
      </c>
      <c r="F1194" s="21" t="s">
        <v>1236</v>
      </c>
      <c r="G1194" s="11" t="s">
        <v>1234</v>
      </c>
      <c r="H1194" s="11" t="s">
        <v>2171</v>
      </c>
      <c r="I1194" s="12" t="s">
        <v>1234</v>
      </c>
      <c r="J1194" s="11" t="s">
        <v>2805</v>
      </c>
      <c r="K1194" s="10"/>
      <c r="L1194" s="10"/>
    </row>
    <row r="1195" spans="1:12" x14ac:dyDescent="0.25">
      <c r="A1195" s="21" t="s">
        <v>1237</v>
      </c>
      <c r="B1195" s="12" t="s">
        <v>1238</v>
      </c>
      <c r="C1195" s="11" t="s">
        <v>2805</v>
      </c>
      <c r="D1195" s="13" t="s">
        <v>2226</v>
      </c>
      <c r="E1195" s="11">
        <v>554</v>
      </c>
      <c r="F1195" s="21" t="s">
        <v>1239</v>
      </c>
      <c r="G1195" s="11" t="s">
        <v>1238</v>
      </c>
      <c r="H1195" s="11" t="s">
        <v>2171</v>
      </c>
      <c r="I1195" s="12" t="s">
        <v>1238</v>
      </c>
      <c r="J1195" s="11" t="s">
        <v>2805</v>
      </c>
      <c r="K1195" s="10"/>
      <c r="L1195" s="10"/>
    </row>
    <row r="1196" spans="1:12" x14ac:dyDescent="0.25">
      <c r="A1196" s="21" t="s">
        <v>3394</v>
      </c>
      <c r="B1196" s="12" t="s">
        <v>3395</v>
      </c>
      <c r="C1196" s="11" t="s">
        <v>2805</v>
      </c>
      <c r="D1196" s="13" t="s">
        <v>3396</v>
      </c>
      <c r="E1196" s="11">
        <v>682</v>
      </c>
      <c r="F1196" s="21" t="s">
        <v>3397</v>
      </c>
      <c r="G1196" s="11" t="s">
        <v>3395</v>
      </c>
      <c r="H1196" s="11" t="s">
        <v>2171</v>
      </c>
      <c r="I1196" s="12" t="s">
        <v>3395</v>
      </c>
      <c r="J1196" s="11" t="s">
        <v>2805</v>
      </c>
      <c r="K1196" s="10"/>
      <c r="L1196" s="10"/>
    </row>
    <row r="1197" spans="1:12" x14ac:dyDescent="0.25">
      <c r="A1197" s="21" t="s">
        <v>1240</v>
      </c>
      <c r="B1197" s="12" t="s">
        <v>1241</v>
      </c>
      <c r="C1197" s="11" t="s">
        <v>2805</v>
      </c>
      <c r="D1197" s="13" t="s">
        <v>2957</v>
      </c>
      <c r="E1197" s="11">
        <v>498</v>
      </c>
      <c r="F1197" s="21" t="s">
        <v>2958</v>
      </c>
      <c r="G1197" s="11" t="s">
        <v>1241</v>
      </c>
      <c r="H1197" s="11" t="s">
        <v>2171</v>
      </c>
      <c r="I1197" s="12" t="s">
        <v>1241</v>
      </c>
      <c r="J1197" s="11" t="s">
        <v>2805</v>
      </c>
      <c r="K1197" s="10"/>
      <c r="L1197" s="10"/>
    </row>
    <row r="1198" spans="1:12" x14ac:dyDescent="0.25">
      <c r="A1198" s="21" t="s">
        <v>795</v>
      </c>
      <c r="B1198" s="12" t="s">
        <v>796</v>
      </c>
      <c r="C1198" s="11" t="s">
        <v>2805</v>
      </c>
      <c r="D1198" s="13" t="s">
        <v>797</v>
      </c>
      <c r="E1198" s="11">
        <v>902</v>
      </c>
      <c r="F1198" s="21" t="s">
        <v>798</v>
      </c>
      <c r="G1198" s="11" t="s">
        <v>796</v>
      </c>
      <c r="H1198" s="11" t="s">
        <v>2171</v>
      </c>
      <c r="I1198" s="12" t="s">
        <v>796</v>
      </c>
      <c r="J1198" s="11" t="s">
        <v>2805</v>
      </c>
      <c r="K1198" s="10"/>
      <c r="L1198" s="10"/>
    </row>
    <row r="1199" spans="1:12" x14ac:dyDescent="0.25">
      <c r="A1199" s="21" t="s">
        <v>799</v>
      </c>
      <c r="B1199" s="12" t="s">
        <v>800</v>
      </c>
      <c r="C1199" s="11" t="s">
        <v>2805</v>
      </c>
      <c r="D1199" s="13">
        <v>11</v>
      </c>
      <c r="E1199" s="11">
        <v>396</v>
      </c>
      <c r="F1199" s="21" t="s">
        <v>801</v>
      </c>
      <c r="G1199" s="11" t="s">
        <v>800</v>
      </c>
      <c r="H1199" s="11" t="s">
        <v>2171</v>
      </c>
      <c r="I1199" s="12" t="s">
        <v>800</v>
      </c>
      <c r="J1199" s="11" t="s">
        <v>2805</v>
      </c>
      <c r="K1199" s="10"/>
      <c r="L1199" s="10"/>
    </row>
    <row r="1200" spans="1:12" x14ac:dyDescent="0.25">
      <c r="A1200" s="21" t="s">
        <v>802</v>
      </c>
      <c r="B1200" s="12" t="s">
        <v>803</v>
      </c>
      <c r="C1200" s="11" t="s">
        <v>2805</v>
      </c>
      <c r="D1200" s="13" t="s">
        <v>2190</v>
      </c>
      <c r="E1200" s="11">
        <v>0</v>
      </c>
      <c r="F1200" s="21" t="s">
        <v>804</v>
      </c>
      <c r="G1200" s="11" t="s">
        <v>803</v>
      </c>
      <c r="H1200" s="11" t="s">
        <v>2171</v>
      </c>
      <c r="I1200" s="12" t="s">
        <v>803</v>
      </c>
      <c r="J1200" s="11" t="s">
        <v>2805</v>
      </c>
      <c r="K1200" s="10"/>
      <c r="L1200" s="10"/>
    </row>
    <row r="1201" spans="1:12" x14ac:dyDescent="0.25">
      <c r="A1201" s="21" t="s">
        <v>805</v>
      </c>
      <c r="B1201" s="12" t="s">
        <v>806</v>
      </c>
      <c r="C1201" s="11" t="s">
        <v>2805</v>
      </c>
      <c r="D1201" s="13" t="s">
        <v>2171</v>
      </c>
      <c r="E1201" s="11">
        <v>247</v>
      </c>
      <c r="F1201" s="21" t="s">
        <v>807</v>
      </c>
      <c r="G1201" s="11" t="s">
        <v>806</v>
      </c>
      <c r="H1201" s="11" t="s">
        <v>2171</v>
      </c>
      <c r="I1201" s="12" t="s">
        <v>806</v>
      </c>
      <c r="J1201" s="11" t="s">
        <v>2805</v>
      </c>
      <c r="K1201" s="10"/>
      <c r="L1201" s="10"/>
    </row>
    <row r="1202" spans="1:12" x14ac:dyDescent="0.25">
      <c r="A1202" s="21" t="s">
        <v>811</v>
      </c>
      <c r="B1202" s="12" t="s">
        <v>812</v>
      </c>
      <c r="C1202" s="11" t="s">
        <v>2805</v>
      </c>
      <c r="D1202" s="13" t="s">
        <v>4162</v>
      </c>
      <c r="E1202" s="11">
        <v>897</v>
      </c>
      <c r="F1202" s="21" t="s">
        <v>813</v>
      </c>
      <c r="G1202" s="11" t="s">
        <v>812</v>
      </c>
      <c r="H1202" s="11" t="s">
        <v>2171</v>
      </c>
      <c r="I1202" s="12" t="s">
        <v>812</v>
      </c>
      <c r="J1202" s="11" t="s">
        <v>2805</v>
      </c>
      <c r="K1202" s="10"/>
      <c r="L1202" s="10"/>
    </row>
    <row r="1203" spans="1:12" x14ac:dyDescent="0.25">
      <c r="A1203" s="21" t="s">
        <v>2959</v>
      </c>
      <c r="B1203" s="12" t="s">
        <v>2960</v>
      </c>
      <c r="C1203" s="11" t="s">
        <v>2805</v>
      </c>
      <c r="D1203" s="13" t="s">
        <v>2190</v>
      </c>
      <c r="E1203" s="11">
        <v>136</v>
      </c>
      <c r="F1203" s="21" t="s">
        <v>2961</v>
      </c>
      <c r="G1203" s="11" t="s">
        <v>2960</v>
      </c>
      <c r="H1203" s="11" t="s">
        <v>2171</v>
      </c>
      <c r="I1203" s="12" t="s">
        <v>2960</v>
      </c>
      <c r="J1203" s="11" t="s">
        <v>2805</v>
      </c>
      <c r="K1203" s="10"/>
      <c r="L1203" s="10"/>
    </row>
    <row r="1204" spans="1:12" x14ac:dyDescent="0.25">
      <c r="A1204" s="21" t="s">
        <v>2977</v>
      </c>
      <c r="B1204" s="12" t="s">
        <v>2978</v>
      </c>
      <c r="C1204" s="11" t="s">
        <v>2805</v>
      </c>
      <c r="D1204" s="13" t="s">
        <v>2226</v>
      </c>
      <c r="E1204" s="11">
        <v>963</v>
      </c>
      <c r="F1204" s="21" t="s">
        <v>2979</v>
      </c>
      <c r="G1204" s="11" t="s">
        <v>2980</v>
      </c>
      <c r="H1204" s="11" t="s">
        <v>2171</v>
      </c>
      <c r="I1204" s="12" t="s">
        <v>2978</v>
      </c>
      <c r="J1204" s="11" t="s">
        <v>2805</v>
      </c>
      <c r="K1204" s="10"/>
      <c r="L1204" s="10"/>
    </row>
    <row r="1205" spans="1:12" x14ac:dyDescent="0.25">
      <c r="A1205" s="21" t="s">
        <v>2962</v>
      </c>
      <c r="B1205" s="12" t="s">
        <v>2963</v>
      </c>
      <c r="C1205" s="11" t="s">
        <v>2805</v>
      </c>
      <c r="D1205" s="13" t="s">
        <v>2226</v>
      </c>
      <c r="E1205" s="11">
        <v>385</v>
      </c>
      <c r="F1205" s="21" t="s">
        <v>2964</v>
      </c>
      <c r="G1205" s="11" t="s">
        <v>2963</v>
      </c>
      <c r="H1205" s="11" t="s">
        <v>2171</v>
      </c>
      <c r="I1205" s="12" t="s">
        <v>2963</v>
      </c>
      <c r="J1205" s="11" t="s">
        <v>2805</v>
      </c>
      <c r="K1205" s="10"/>
      <c r="L1205" s="10"/>
    </row>
    <row r="1206" spans="1:12" x14ac:dyDescent="0.25">
      <c r="A1206" s="21" t="s">
        <v>808</v>
      </c>
      <c r="B1206" s="12" t="s">
        <v>809</v>
      </c>
      <c r="C1206" s="11" t="s">
        <v>2805</v>
      </c>
      <c r="D1206" s="13" t="s">
        <v>234</v>
      </c>
      <c r="E1206" s="11">
        <v>162</v>
      </c>
      <c r="F1206" s="21" t="s">
        <v>810</v>
      </c>
      <c r="G1206" s="11" t="s">
        <v>809</v>
      </c>
      <c r="H1206" s="11" t="s">
        <v>2171</v>
      </c>
      <c r="I1206" s="12" t="s">
        <v>809</v>
      </c>
      <c r="J1206" s="11" t="s">
        <v>2805</v>
      </c>
      <c r="K1206" s="10"/>
      <c r="L1206" s="10"/>
    </row>
    <row r="1207" spans="1:12" x14ac:dyDescent="0.25">
      <c r="A1207" s="21" t="s">
        <v>814</v>
      </c>
      <c r="B1207" s="12" t="s">
        <v>815</v>
      </c>
      <c r="C1207" s="11" t="s">
        <v>2805</v>
      </c>
      <c r="D1207" s="13" t="s">
        <v>2262</v>
      </c>
      <c r="E1207" s="11">
        <v>428</v>
      </c>
      <c r="F1207" s="21" t="s">
        <v>11</v>
      </c>
      <c r="G1207" s="11" t="s">
        <v>815</v>
      </c>
      <c r="H1207" s="11" t="s">
        <v>2171</v>
      </c>
      <c r="I1207" s="12" t="s">
        <v>815</v>
      </c>
      <c r="J1207" s="11" t="s">
        <v>2805</v>
      </c>
      <c r="K1207" s="10"/>
      <c r="L1207" s="10"/>
    </row>
    <row r="1208" spans="1:12" x14ac:dyDescent="0.25">
      <c r="A1208" s="21" t="s">
        <v>2965</v>
      </c>
      <c r="B1208" s="12" t="s">
        <v>2966</v>
      </c>
      <c r="C1208" s="11" t="s">
        <v>2805</v>
      </c>
      <c r="D1208" s="13" t="s">
        <v>255</v>
      </c>
      <c r="E1208" s="11">
        <v>698</v>
      </c>
      <c r="F1208" s="21" t="s">
        <v>2967</v>
      </c>
      <c r="G1208" s="11" t="s">
        <v>2966</v>
      </c>
      <c r="H1208" s="11" t="s">
        <v>2171</v>
      </c>
      <c r="I1208" s="12" t="s">
        <v>2966</v>
      </c>
      <c r="J1208" s="11" t="s">
        <v>2805</v>
      </c>
      <c r="K1208" s="10"/>
      <c r="L1208" s="10"/>
    </row>
    <row r="1209" spans="1:12" x14ac:dyDescent="0.25">
      <c r="A1209" s="21" t="s">
        <v>2968</v>
      </c>
      <c r="B1209" s="12" t="s">
        <v>2969</v>
      </c>
      <c r="C1209" s="11" t="s">
        <v>2805</v>
      </c>
      <c r="D1209" s="13" t="s">
        <v>4438</v>
      </c>
      <c r="E1209" s="11">
        <v>397</v>
      </c>
      <c r="F1209" s="21" t="s">
        <v>2970</v>
      </c>
      <c r="G1209" s="11" t="s">
        <v>2969</v>
      </c>
      <c r="H1209" s="11" t="s">
        <v>2171</v>
      </c>
      <c r="I1209" s="12" t="s">
        <v>2969</v>
      </c>
      <c r="J1209" s="11" t="s">
        <v>2805</v>
      </c>
      <c r="K1209" s="10"/>
      <c r="L1209" s="10"/>
    </row>
    <row r="1210" spans="1:12" x14ac:dyDescent="0.25">
      <c r="A1210" s="21" t="s">
        <v>12</v>
      </c>
      <c r="B1210" s="12" t="s">
        <v>13</v>
      </c>
      <c r="C1210" s="11" t="s">
        <v>2805</v>
      </c>
      <c r="D1210" s="13" t="s">
        <v>4655</v>
      </c>
      <c r="E1210" s="11">
        <v>396</v>
      </c>
      <c r="F1210" s="21" t="s">
        <v>14</v>
      </c>
      <c r="G1210" s="11" t="s">
        <v>13</v>
      </c>
      <c r="H1210" s="11" t="s">
        <v>2171</v>
      </c>
      <c r="I1210" s="12" t="s">
        <v>13</v>
      </c>
      <c r="J1210" s="11" t="s">
        <v>2805</v>
      </c>
      <c r="K1210" s="10"/>
      <c r="L1210" s="10"/>
    </row>
    <row r="1211" spans="1:12" x14ac:dyDescent="0.25">
      <c r="A1211" s="21" t="s">
        <v>2971</v>
      </c>
      <c r="B1211" s="12" t="s">
        <v>2972</v>
      </c>
      <c r="C1211" s="11" t="s">
        <v>2805</v>
      </c>
      <c r="D1211" s="13" t="s">
        <v>2783</v>
      </c>
      <c r="E1211" s="11">
        <v>217</v>
      </c>
      <c r="F1211" s="21" t="s">
        <v>2973</v>
      </c>
      <c r="G1211" s="11" t="s">
        <v>2972</v>
      </c>
      <c r="H1211" s="11" t="s">
        <v>2171</v>
      </c>
      <c r="I1211" s="12" t="s">
        <v>2972</v>
      </c>
      <c r="J1211" s="11" t="s">
        <v>2805</v>
      </c>
      <c r="K1211" s="10"/>
      <c r="L1211" s="10"/>
    </row>
    <row r="1212" spans="1:12" x14ac:dyDescent="0.25">
      <c r="A1212" s="21" t="s">
        <v>2974</v>
      </c>
      <c r="B1212" s="12" t="s">
        <v>2975</v>
      </c>
      <c r="C1212" s="11" t="s">
        <v>2805</v>
      </c>
      <c r="D1212" s="13" t="s">
        <v>2783</v>
      </c>
      <c r="E1212" s="11">
        <v>1178</v>
      </c>
      <c r="F1212" s="21" t="s">
        <v>2976</v>
      </c>
      <c r="G1212" s="11" t="s">
        <v>2975</v>
      </c>
      <c r="H1212" s="11" t="s">
        <v>2171</v>
      </c>
      <c r="I1212" s="12" t="s">
        <v>2975</v>
      </c>
      <c r="J1212" s="11" t="s">
        <v>2805</v>
      </c>
      <c r="K1212" s="10"/>
      <c r="L1212" s="10"/>
    </row>
    <row r="1213" spans="1:12" x14ac:dyDescent="0.25">
      <c r="A1213" s="21" t="s">
        <v>2981</v>
      </c>
      <c r="B1213" s="12" t="s">
        <v>2982</v>
      </c>
      <c r="C1213" s="11" t="s">
        <v>2805</v>
      </c>
      <c r="D1213" s="13" t="s">
        <v>2983</v>
      </c>
      <c r="E1213" s="11">
        <v>1199</v>
      </c>
      <c r="F1213" s="21" t="s">
        <v>2984</v>
      </c>
      <c r="G1213" s="11" t="s">
        <v>2982</v>
      </c>
      <c r="H1213" s="11" t="s">
        <v>2171</v>
      </c>
      <c r="I1213" s="12" t="s">
        <v>2982</v>
      </c>
      <c r="J1213" s="11" t="s">
        <v>2805</v>
      </c>
      <c r="K1213" s="10"/>
      <c r="L1213" s="10"/>
    </row>
    <row r="1214" spans="1:12" x14ac:dyDescent="0.25">
      <c r="A1214" s="21" t="s">
        <v>2985</v>
      </c>
      <c r="B1214" s="12" t="s">
        <v>2986</v>
      </c>
      <c r="C1214" s="11" t="s">
        <v>2805</v>
      </c>
      <c r="D1214" s="13" t="s">
        <v>2835</v>
      </c>
      <c r="E1214" s="11">
        <v>821</v>
      </c>
      <c r="F1214" s="21" t="s">
        <v>2987</v>
      </c>
      <c r="G1214" s="11" t="s">
        <v>2986</v>
      </c>
      <c r="H1214" s="11" t="s">
        <v>2171</v>
      </c>
      <c r="I1214" s="12" t="s">
        <v>2986</v>
      </c>
      <c r="J1214" s="11" t="s">
        <v>2805</v>
      </c>
      <c r="K1214" s="10"/>
      <c r="L1214" s="10"/>
    </row>
    <row r="1215" spans="1:12" x14ac:dyDescent="0.25">
      <c r="A1215" s="21" t="s">
        <v>15</v>
      </c>
      <c r="B1215" s="12" t="s">
        <v>16</v>
      </c>
      <c r="C1215" s="11" t="s">
        <v>2805</v>
      </c>
      <c r="D1215" s="13" t="s">
        <v>1479</v>
      </c>
      <c r="E1215" s="11">
        <v>1007</v>
      </c>
      <c r="F1215" s="21" t="s">
        <v>17</v>
      </c>
      <c r="G1215" s="11" t="s">
        <v>16</v>
      </c>
      <c r="H1215" s="11" t="s">
        <v>2171</v>
      </c>
      <c r="I1215" s="12" t="s">
        <v>16</v>
      </c>
      <c r="J1215" s="11" t="s">
        <v>2805</v>
      </c>
      <c r="K1215" s="10"/>
      <c r="L1215" s="10"/>
    </row>
    <row r="1216" spans="1:12" x14ac:dyDescent="0.25">
      <c r="A1216" s="21" t="s">
        <v>18</v>
      </c>
      <c r="B1216" s="12" t="s">
        <v>324</v>
      </c>
      <c r="C1216" s="11" t="s">
        <v>2805</v>
      </c>
      <c r="D1216" s="13" t="s">
        <v>2226</v>
      </c>
      <c r="E1216" s="11">
        <v>1552</v>
      </c>
      <c r="F1216" s="21" t="s">
        <v>19</v>
      </c>
      <c r="G1216" s="11" t="s">
        <v>324</v>
      </c>
      <c r="H1216" s="11" t="s">
        <v>2171</v>
      </c>
      <c r="I1216" s="12" t="s">
        <v>324</v>
      </c>
      <c r="J1216" s="11" t="s">
        <v>2805</v>
      </c>
      <c r="K1216" s="10"/>
      <c r="L1216" s="10"/>
    </row>
    <row r="1217" spans="1:12" x14ac:dyDescent="0.25">
      <c r="A1217" s="21" t="s">
        <v>2428</v>
      </c>
      <c r="B1217" s="12" t="s">
        <v>2429</v>
      </c>
      <c r="C1217" s="11" t="s">
        <v>2805</v>
      </c>
      <c r="D1217" s="13" t="s">
        <v>2430</v>
      </c>
      <c r="E1217" s="11">
        <v>100</v>
      </c>
      <c r="F1217" s="21" t="s">
        <v>2431</v>
      </c>
      <c r="G1217" s="11" t="s">
        <v>2432</v>
      </c>
      <c r="H1217" s="11" t="s">
        <v>2171</v>
      </c>
      <c r="I1217" s="12" t="s">
        <v>2429</v>
      </c>
      <c r="J1217" s="11" t="s">
        <v>2805</v>
      </c>
      <c r="K1217" s="10"/>
      <c r="L1217" s="10"/>
    </row>
    <row r="1218" spans="1:12" x14ac:dyDescent="0.25">
      <c r="A1218" s="21" t="s">
        <v>20</v>
      </c>
      <c r="B1218" s="12" t="s">
        <v>21</v>
      </c>
      <c r="C1218" s="11" t="s">
        <v>2805</v>
      </c>
      <c r="D1218" s="13" t="s">
        <v>3896</v>
      </c>
      <c r="E1218" s="11">
        <v>0</v>
      </c>
      <c r="F1218" s="21" t="s">
        <v>22</v>
      </c>
      <c r="G1218" s="11" t="s">
        <v>21</v>
      </c>
      <c r="H1218" s="11" t="s">
        <v>2171</v>
      </c>
      <c r="I1218" s="12" t="s">
        <v>21</v>
      </c>
      <c r="J1218" s="11" t="s">
        <v>2805</v>
      </c>
      <c r="K1218" s="10"/>
      <c r="L1218" s="10"/>
    </row>
    <row r="1219" spans="1:12" x14ac:dyDescent="0.25">
      <c r="A1219" s="21" t="s">
        <v>2988</v>
      </c>
      <c r="B1219" s="12" t="s">
        <v>2989</v>
      </c>
      <c r="C1219" s="11" t="s">
        <v>2805</v>
      </c>
      <c r="D1219" s="13" t="s">
        <v>1908</v>
      </c>
      <c r="E1219" s="11">
        <v>884</v>
      </c>
      <c r="F1219" s="21" t="s">
        <v>2990</v>
      </c>
      <c r="G1219" s="11" t="s">
        <v>2991</v>
      </c>
      <c r="H1219" s="11" t="s">
        <v>2171</v>
      </c>
      <c r="I1219" s="12" t="s">
        <v>2989</v>
      </c>
      <c r="J1219" s="11" t="s">
        <v>2805</v>
      </c>
      <c r="K1219" s="10"/>
      <c r="L1219" s="10"/>
    </row>
    <row r="1220" spans="1:12" x14ac:dyDescent="0.25">
      <c r="A1220" s="21" t="s">
        <v>2992</v>
      </c>
      <c r="B1220" s="12" t="s">
        <v>2993</v>
      </c>
      <c r="C1220" s="11" t="s">
        <v>2805</v>
      </c>
      <c r="D1220" s="13" t="s">
        <v>2492</v>
      </c>
      <c r="E1220" s="11">
        <v>345</v>
      </c>
      <c r="F1220" s="21" t="s">
        <v>2994</v>
      </c>
      <c r="G1220" s="11" t="s">
        <v>2993</v>
      </c>
      <c r="H1220" s="11" t="s">
        <v>2171</v>
      </c>
      <c r="I1220" s="12" t="s">
        <v>2993</v>
      </c>
      <c r="J1220" s="11" t="s">
        <v>2805</v>
      </c>
      <c r="K1220" s="10"/>
      <c r="L1220" s="10"/>
    </row>
    <row r="1221" spans="1:12" x14ac:dyDescent="0.25">
      <c r="A1221" s="21" t="s">
        <v>30</v>
      </c>
      <c r="B1221" s="12" t="s">
        <v>31</v>
      </c>
      <c r="C1221" s="11" t="s">
        <v>2800</v>
      </c>
      <c r="D1221" s="13" t="s">
        <v>2648</v>
      </c>
      <c r="E1221" s="11">
        <v>104</v>
      </c>
      <c r="F1221" s="21" t="s">
        <v>32</v>
      </c>
      <c r="G1221" s="11" t="s">
        <v>31</v>
      </c>
      <c r="H1221" s="11" t="s">
        <v>2171</v>
      </c>
      <c r="I1221" s="12" t="s">
        <v>31</v>
      </c>
      <c r="J1221" s="11" t="s">
        <v>2800</v>
      </c>
      <c r="K1221" s="10"/>
      <c r="L1221" s="10"/>
    </row>
    <row r="1222" spans="1:12" x14ac:dyDescent="0.25">
      <c r="A1222" s="21" t="s">
        <v>23</v>
      </c>
      <c r="B1222" s="12" t="s">
        <v>24</v>
      </c>
      <c r="C1222" s="11" t="s">
        <v>2805</v>
      </c>
      <c r="D1222" s="13" t="s">
        <v>4310</v>
      </c>
      <c r="E1222" s="11">
        <v>50</v>
      </c>
      <c r="F1222" s="21" t="s">
        <v>25</v>
      </c>
      <c r="G1222" s="11" t="s">
        <v>26</v>
      </c>
      <c r="H1222" s="11" t="s">
        <v>2171</v>
      </c>
      <c r="I1222" s="12" t="s">
        <v>24</v>
      </c>
      <c r="J1222" s="11" t="s">
        <v>2805</v>
      </c>
      <c r="K1222" s="10"/>
      <c r="L1222" s="10"/>
    </row>
    <row r="1223" spans="1:12" x14ac:dyDescent="0.25">
      <c r="A1223" s="21" t="s">
        <v>33</v>
      </c>
      <c r="B1223" s="12" t="s">
        <v>34</v>
      </c>
      <c r="C1223" s="11" t="s">
        <v>2800</v>
      </c>
      <c r="D1223" s="13" t="s">
        <v>234</v>
      </c>
      <c r="E1223" s="11">
        <v>745</v>
      </c>
      <c r="F1223" s="21" t="s">
        <v>35</v>
      </c>
      <c r="G1223" s="11" t="s">
        <v>34</v>
      </c>
      <c r="H1223" s="11" t="s">
        <v>2171</v>
      </c>
      <c r="I1223" s="12" t="s">
        <v>34</v>
      </c>
      <c r="J1223" s="11" t="s">
        <v>2800</v>
      </c>
      <c r="K1223" s="10"/>
      <c r="L1223" s="10"/>
    </row>
    <row r="1224" spans="1:12" x14ac:dyDescent="0.25">
      <c r="A1224" s="21" t="s">
        <v>27</v>
      </c>
      <c r="B1224" s="12" t="s">
        <v>1862</v>
      </c>
      <c r="C1224" s="11" t="s">
        <v>2805</v>
      </c>
      <c r="D1224" s="13" t="s">
        <v>28</v>
      </c>
      <c r="E1224" s="11">
        <v>1155</v>
      </c>
      <c r="F1224" s="21" t="s">
        <v>29</v>
      </c>
      <c r="G1224" s="11" t="s">
        <v>1862</v>
      </c>
      <c r="H1224" s="11" t="s">
        <v>2171</v>
      </c>
      <c r="I1224" s="12" t="s">
        <v>1862</v>
      </c>
      <c r="J1224" s="11" t="s">
        <v>2805</v>
      </c>
      <c r="K1224" s="10"/>
      <c r="L1224" s="10"/>
    </row>
    <row r="1225" spans="1:12" x14ac:dyDescent="0.25">
      <c r="A1225" s="21" t="s">
        <v>2995</v>
      </c>
      <c r="B1225" s="12" t="s">
        <v>2996</v>
      </c>
      <c r="C1225" s="11" t="s">
        <v>2805</v>
      </c>
      <c r="D1225" s="13" t="s">
        <v>2703</v>
      </c>
      <c r="E1225" s="11">
        <v>161</v>
      </c>
      <c r="F1225" s="21" t="s">
        <v>2997</v>
      </c>
      <c r="G1225" s="11" t="s">
        <v>2996</v>
      </c>
      <c r="H1225" s="11" t="s">
        <v>2171</v>
      </c>
      <c r="I1225" s="12" t="s">
        <v>2996</v>
      </c>
      <c r="J1225" s="11" t="s">
        <v>2805</v>
      </c>
      <c r="K1225" s="10"/>
      <c r="L1225" s="10"/>
    </row>
    <row r="1226" spans="1:12" x14ac:dyDescent="0.25">
      <c r="A1226" s="21" t="s">
        <v>36</v>
      </c>
      <c r="B1226" s="12" t="s">
        <v>37</v>
      </c>
      <c r="C1226" s="11" t="s">
        <v>2805</v>
      </c>
      <c r="D1226" s="13" t="s">
        <v>38</v>
      </c>
      <c r="E1226" s="11">
        <v>996</v>
      </c>
      <c r="F1226" s="21" t="s">
        <v>39</v>
      </c>
      <c r="G1226" s="11" t="s">
        <v>37</v>
      </c>
      <c r="H1226" s="11" t="s">
        <v>2171</v>
      </c>
      <c r="I1226" s="12" t="s">
        <v>37</v>
      </c>
      <c r="J1226" s="11" t="s">
        <v>2805</v>
      </c>
      <c r="K1226" s="10"/>
      <c r="L1226" s="10"/>
    </row>
    <row r="1227" spans="1:12" x14ac:dyDescent="0.25">
      <c r="A1227" s="21" t="s">
        <v>2641</v>
      </c>
      <c r="B1227" s="12" t="s">
        <v>2642</v>
      </c>
      <c r="C1227" s="11" t="s">
        <v>2800</v>
      </c>
      <c r="D1227" s="13" t="s">
        <v>1908</v>
      </c>
      <c r="E1227" s="11">
        <v>721</v>
      </c>
      <c r="F1227" s="21" t="s">
        <v>2643</v>
      </c>
      <c r="G1227" s="11" t="s">
        <v>2512</v>
      </c>
      <c r="H1227" s="11" t="s">
        <v>2171</v>
      </c>
      <c r="I1227" s="12" t="s">
        <v>2642</v>
      </c>
      <c r="J1227" s="11" t="s">
        <v>2800</v>
      </c>
      <c r="K1227" s="10"/>
      <c r="L1227" s="10"/>
    </row>
    <row r="1228" spans="1:12" x14ac:dyDescent="0.25">
      <c r="A1228" s="21" t="s">
        <v>2644</v>
      </c>
      <c r="B1228" s="12" t="s">
        <v>2645</v>
      </c>
      <c r="C1228" s="11" t="s">
        <v>2800</v>
      </c>
      <c r="D1228" s="13" t="s">
        <v>1045</v>
      </c>
      <c r="E1228" s="11">
        <v>1751</v>
      </c>
      <c r="F1228" s="21" t="s">
        <v>2646</v>
      </c>
      <c r="G1228" s="11" t="s">
        <v>2512</v>
      </c>
      <c r="H1228" s="11" t="s">
        <v>2171</v>
      </c>
      <c r="I1228" s="12" t="s">
        <v>2645</v>
      </c>
      <c r="J1228" s="11" t="s">
        <v>2800</v>
      </c>
      <c r="K1228" s="10"/>
      <c r="L1228" s="10"/>
    </row>
    <row r="1229" spans="1:12" x14ac:dyDescent="0.25">
      <c r="A1229" s="21" t="s">
        <v>3623</v>
      </c>
      <c r="B1229" s="12" t="s">
        <v>3624</v>
      </c>
      <c r="C1229" s="11" t="s">
        <v>2800</v>
      </c>
      <c r="D1229" s="13" t="s">
        <v>2778</v>
      </c>
      <c r="E1229" s="11">
        <v>6365</v>
      </c>
      <c r="F1229" s="21" t="s">
        <v>3625</v>
      </c>
      <c r="G1229" s="11" t="s">
        <v>2512</v>
      </c>
      <c r="H1229" s="11" t="s">
        <v>2171</v>
      </c>
      <c r="I1229" s="12" t="s">
        <v>3624</v>
      </c>
      <c r="J1229" s="11" t="s">
        <v>2800</v>
      </c>
      <c r="K1229" s="10"/>
      <c r="L1229" s="10"/>
    </row>
    <row r="1230" spans="1:12" x14ac:dyDescent="0.25">
      <c r="A1230" s="21" t="s">
        <v>3626</v>
      </c>
      <c r="B1230" s="12" t="s">
        <v>3627</v>
      </c>
      <c r="C1230" s="11" t="s">
        <v>2800</v>
      </c>
      <c r="D1230" s="13" t="s">
        <v>2258</v>
      </c>
      <c r="E1230" s="11">
        <v>898</v>
      </c>
      <c r="F1230" s="21" t="s">
        <v>3628</v>
      </c>
      <c r="G1230" s="11" t="s">
        <v>2512</v>
      </c>
      <c r="H1230" s="11" t="s">
        <v>2171</v>
      </c>
      <c r="I1230" s="12" t="s">
        <v>3627</v>
      </c>
      <c r="J1230" s="11" t="s">
        <v>2800</v>
      </c>
      <c r="K1230" s="10"/>
      <c r="L1230" s="10"/>
    </row>
    <row r="1231" spans="1:12" x14ac:dyDescent="0.25">
      <c r="A1231" s="21" t="s">
        <v>3629</v>
      </c>
      <c r="B1231" s="12" t="s">
        <v>3630</v>
      </c>
      <c r="C1231" s="11" t="s">
        <v>2805</v>
      </c>
      <c r="D1231" s="13" t="s">
        <v>2778</v>
      </c>
      <c r="E1231" s="11">
        <v>4588</v>
      </c>
      <c r="F1231" s="21" t="s">
        <v>3631</v>
      </c>
      <c r="G1231" s="11" t="s">
        <v>2512</v>
      </c>
      <c r="H1231" s="11" t="s">
        <v>2171</v>
      </c>
      <c r="I1231" s="12" t="s">
        <v>3630</v>
      </c>
      <c r="J1231" s="11" t="s">
        <v>2805</v>
      </c>
      <c r="K1231" s="10"/>
      <c r="L1231" s="10"/>
    </row>
    <row r="1232" spans="1:12" x14ac:dyDescent="0.25">
      <c r="A1232" s="21" t="s">
        <v>3632</v>
      </c>
      <c r="B1232" s="12" t="s">
        <v>3633</v>
      </c>
      <c r="C1232" s="11" t="s">
        <v>2800</v>
      </c>
      <c r="D1232" s="13" t="s">
        <v>4262</v>
      </c>
      <c r="E1232" s="11">
        <v>1651</v>
      </c>
      <c r="F1232" s="21" t="s">
        <v>3634</v>
      </c>
      <c r="G1232" s="11" t="s">
        <v>2512</v>
      </c>
      <c r="H1232" s="11" t="s">
        <v>2171</v>
      </c>
      <c r="I1232" s="12" t="s">
        <v>3633</v>
      </c>
      <c r="J1232" s="11" t="s">
        <v>2800</v>
      </c>
      <c r="K1232" s="10"/>
      <c r="L1232" s="10"/>
    </row>
    <row r="1233" spans="1:12" x14ac:dyDescent="0.25">
      <c r="A1233" s="21" t="s">
        <v>3635</v>
      </c>
      <c r="B1233" s="12" t="s">
        <v>3636</v>
      </c>
      <c r="C1233" s="11" t="s">
        <v>2800</v>
      </c>
      <c r="D1233" s="13" t="s">
        <v>2398</v>
      </c>
      <c r="E1233" s="11">
        <v>3502</v>
      </c>
      <c r="F1233" s="21" t="s">
        <v>3637</v>
      </c>
      <c r="G1233" s="11" t="s">
        <v>2512</v>
      </c>
      <c r="H1233" s="11" t="s">
        <v>2171</v>
      </c>
      <c r="I1233" s="12" t="s">
        <v>3636</v>
      </c>
      <c r="J1233" s="11" t="s">
        <v>2800</v>
      </c>
      <c r="K1233" s="10"/>
      <c r="L1233" s="10"/>
    </row>
    <row r="1234" spans="1:12" x14ac:dyDescent="0.25">
      <c r="A1234" s="21" t="s">
        <v>3638</v>
      </c>
      <c r="B1234" s="12" t="s">
        <v>3639</v>
      </c>
      <c r="C1234" s="11" t="s">
        <v>2800</v>
      </c>
      <c r="D1234" s="13" t="s">
        <v>475</v>
      </c>
      <c r="E1234" s="11">
        <v>818</v>
      </c>
      <c r="F1234" s="21" t="s">
        <v>3640</v>
      </c>
      <c r="G1234" s="11" t="s">
        <v>2512</v>
      </c>
      <c r="H1234" s="11" t="s">
        <v>2171</v>
      </c>
      <c r="I1234" s="12" t="s">
        <v>3639</v>
      </c>
      <c r="J1234" s="11" t="s">
        <v>2800</v>
      </c>
      <c r="K1234" s="10"/>
      <c r="L1234" s="10"/>
    </row>
    <row r="1235" spans="1:12" x14ac:dyDescent="0.25">
      <c r="A1235" s="21" t="s">
        <v>3641</v>
      </c>
      <c r="B1235" s="12" t="s">
        <v>3642</v>
      </c>
      <c r="C1235" s="11" t="s">
        <v>2800</v>
      </c>
      <c r="D1235" s="13" t="s">
        <v>422</v>
      </c>
      <c r="E1235" s="11">
        <v>2215</v>
      </c>
      <c r="F1235" s="21" t="s">
        <v>3643</v>
      </c>
      <c r="G1235" s="11" t="s">
        <v>2512</v>
      </c>
      <c r="H1235" s="11" t="s">
        <v>2171</v>
      </c>
      <c r="I1235" s="12" t="s">
        <v>3642</v>
      </c>
      <c r="J1235" s="11" t="s">
        <v>2800</v>
      </c>
      <c r="K1235" s="10"/>
      <c r="L1235" s="10"/>
    </row>
    <row r="1236" spans="1:12" x14ac:dyDescent="0.25">
      <c r="A1236" s="21" t="s">
        <v>3644</v>
      </c>
      <c r="B1236" s="12" t="s">
        <v>3645</v>
      </c>
      <c r="C1236" s="11" t="s">
        <v>2800</v>
      </c>
      <c r="D1236" s="13" t="s">
        <v>4703</v>
      </c>
      <c r="E1236" s="11">
        <v>7003</v>
      </c>
      <c r="F1236" s="21" t="s">
        <v>3646</v>
      </c>
      <c r="G1236" s="11" t="s">
        <v>2512</v>
      </c>
      <c r="H1236" s="11" t="s">
        <v>2171</v>
      </c>
      <c r="I1236" s="12" t="s">
        <v>3645</v>
      </c>
      <c r="J1236" s="11" t="s">
        <v>2800</v>
      </c>
      <c r="K1236" s="10"/>
      <c r="L1236" s="10"/>
    </row>
    <row r="1237" spans="1:12" x14ac:dyDescent="0.25">
      <c r="A1237" s="21" t="s">
        <v>3647</v>
      </c>
      <c r="B1237" s="12" t="s">
        <v>3648</v>
      </c>
      <c r="C1237" s="11" t="s">
        <v>2805</v>
      </c>
      <c r="D1237" s="13" t="s">
        <v>928</v>
      </c>
      <c r="E1237" s="11">
        <v>5501</v>
      </c>
      <c r="F1237" s="21" t="s">
        <v>3649</v>
      </c>
      <c r="G1237" s="11" t="s">
        <v>2512</v>
      </c>
      <c r="H1237" s="11" t="s">
        <v>2171</v>
      </c>
      <c r="I1237" s="12" t="s">
        <v>3648</v>
      </c>
      <c r="J1237" s="11" t="s">
        <v>2805</v>
      </c>
      <c r="K1237" s="10"/>
      <c r="L1237" s="10"/>
    </row>
    <row r="1238" spans="1:12" x14ac:dyDescent="0.25">
      <c r="A1238" s="21" t="s">
        <v>2647</v>
      </c>
      <c r="B1238" s="12" t="s">
        <v>921</v>
      </c>
      <c r="C1238" s="11" t="s">
        <v>2800</v>
      </c>
      <c r="D1238" s="13" t="s">
        <v>1908</v>
      </c>
      <c r="E1238" s="11">
        <v>2401</v>
      </c>
      <c r="F1238" s="21" t="s">
        <v>922</v>
      </c>
      <c r="G1238" s="11" t="s">
        <v>2512</v>
      </c>
      <c r="H1238" s="11" t="s">
        <v>2171</v>
      </c>
      <c r="I1238" s="12" t="s">
        <v>921</v>
      </c>
      <c r="J1238" s="11" t="s">
        <v>2800</v>
      </c>
      <c r="K1238" s="10"/>
      <c r="L1238" s="10"/>
    </row>
    <row r="1239" spans="1:12" x14ac:dyDescent="0.25">
      <c r="A1239" s="21" t="s">
        <v>923</v>
      </c>
      <c r="B1239" s="12" t="s">
        <v>924</v>
      </c>
      <c r="C1239" s="11" t="s">
        <v>2800</v>
      </c>
      <c r="D1239" s="13" t="s">
        <v>897</v>
      </c>
      <c r="E1239" s="11">
        <v>1676</v>
      </c>
      <c r="F1239" s="21" t="s">
        <v>925</v>
      </c>
      <c r="G1239" s="11" t="s">
        <v>2512</v>
      </c>
      <c r="H1239" s="11" t="s">
        <v>2171</v>
      </c>
      <c r="I1239" s="12" t="s">
        <v>924</v>
      </c>
      <c r="J1239" s="11" t="s">
        <v>2800</v>
      </c>
      <c r="K1239" s="10"/>
      <c r="L1239" s="10"/>
    </row>
    <row r="1240" spans="1:12" x14ac:dyDescent="0.25">
      <c r="A1240" s="21" t="s">
        <v>926</v>
      </c>
      <c r="B1240" s="12" t="s">
        <v>927</v>
      </c>
      <c r="C1240" s="11" t="s">
        <v>2805</v>
      </c>
      <c r="D1240" s="13" t="s">
        <v>928</v>
      </c>
      <c r="E1240" s="11">
        <v>182</v>
      </c>
      <c r="F1240" s="21" t="s">
        <v>929</v>
      </c>
      <c r="G1240" s="11" t="s">
        <v>2512</v>
      </c>
      <c r="H1240" s="11" t="s">
        <v>2171</v>
      </c>
      <c r="I1240" s="12" t="s">
        <v>927</v>
      </c>
      <c r="J1240" s="11" t="s">
        <v>2805</v>
      </c>
      <c r="K1240" s="10"/>
      <c r="L1240" s="10"/>
    </row>
    <row r="1241" spans="1:12" x14ac:dyDescent="0.25">
      <c r="A1241" s="21" t="s">
        <v>930</v>
      </c>
      <c r="B1241" s="12" t="s">
        <v>931</v>
      </c>
      <c r="C1241" s="11" t="s">
        <v>2800</v>
      </c>
      <c r="D1241" s="13" t="s">
        <v>928</v>
      </c>
      <c r="E1241" s="11">
        <v>1199</v>
      </c>
      <c r="F1241" s="21" t="s">
        <v>932</v>
      </c>
      <c r="G1241" s="11" t="s">
        <v>2512</v>
      </c>
      <c r="H1241" s="11" t="s">
        <v>2171</v>
      </c>
      <c r="I1241" s="12" t="s">
        <v>931</v>
      </c>
      <c r="J1241" s="11" t="s">
        <v>2800</v>
      </c>
      <c r="K1241" s="10"/>
      <c r="L1241" s="10"/>
    </row>
    <row r="1242" spans="1:12" x14ac:dyDescent="0.25">
      <c r="A1242" s="21" t="s">
        <v>933</v>
      </c>
      <c r="B1242" s="12" t="s">
        <v>934</v>
      </c>
      <c r="C1242" s="11" t="s">
        <v>2800</v>
      </c>
      <c r="D1242" s="13" t="s">
        <v>935</v>
      </c>
      <c r="E1242" s="11">
        <v>967</v>
      </c>
      <c r="F1242" s="21" t="s">
        <v>936</v>
      </c>
      <c r="G1242" s="11" t="s">
        <v>2512</v>
      </c>
      <c r="H1242" s="11" t="s">
        <v>2171</v>
      </c>
      <c r="I1242" s="12" t="s">
        <v>934</v>
      </c>
      <c r="J1242" s="11" t="s">
        <v>2800</v>
      </c>
      <c r="K1242" s="10"/>
      <c r="L1242" s="10"/>
    </row>
    <row r="1243" spans="1:12" x14ac:dyDescent="0.25">
      <c r="A1243" s="21" t="s">
        <v>937</v>
      </c>
      <c r="B1243" s="12" t="s">
        <v>3616</v>
      </c>
      <c r="C1243" s="11" t="s">
        <v>2800</v>
      </c>
      <c r="D1243" s="13" t="s">
        <v>3617</v>
      </c>
      <c r="E1243" s="11">
        <v>1144</v>
      </c>
      <c r="F1243" s="21" t="s">
        <v>3618</v>
      </c>
      <c r="G1243" s="11" t="s">
        <v>2512</v>
      </c>
      <c r="H1243" s="11" t="s">
        <v>2171</v>
      </c>
      <c r="I1243" s="12" t="s">
        <v>3616</v>
      </c>
      <c r="J1243" s="11" t="s">
        <v>2800</v>
      </c>
      <c r="K1243" s="10"/>
      <c r="L1243" s="10"/>
    </row>
    <row r="1244" spans="1:12" x14ac:dyDescent="0.25">
      <c r="A1244" s="21" t="s">
        <v>3619</v>
      </c>
      <c r="B1244" s="12" t="s">
        <v>3620</v>
      </c>
      <c r="C1244" s="11" t="s">
        <v>2800</v>
      </c>
      <c r="D1244" s="13" t="s">
        <v>3621</v>
      </c>
      <c r="E1244" s="11">
        <v>5516</v>
      </c>
      <c r="F1244" s="21" t="s">
        <v>3622</v>
      </c>
      <c r="G1244" s="11" t="s">
        <v>2512</v>
      </c>
      <c r="H1244" s="11" t="s">
        <v>2171</v>
      </c>
      <c r="I1244" s="12" t="s">
        <v>3620</v>
      </c>
      <c r="J1244" s="11" t="s">
        <v>2800</v>
      </c>
      <c r="K1244" s="10"/>
      <c r="L1244" s="10"/>
    </row>
    <row r="1245" spans="1:12" x14ac:dyDescent="0.25">
      <c r="A1245" s="21" t="s">
        <v>2953</v>
      </c>
      <c r="B1245" s="12" t="s">
        <v>2954</v>
      </c>
      <c r="C1245" s="11" t="s">
        <v>2805</v>
      </c>
      <c r="D1245" s="13" t="s">
        <v>2955</v>
      </c>
      <c r="E1245" s="11">
        <v>530</v>
      </c>
      <c r="F1245" s="21" t="s">
        <v>2956</v>
      </c>
      <c r="G1245" s="11" t="s">
        <v>2954</v>
      </c>
      <c r="H1245" s="11" t="s">
        <v>2171</v>
      </c>
      <c r="I1245" s="12" t="s">
        <v>2954</v>
      </c>
      <c r="J1245" s="11" t="s">
        <v>2805</v>
      </c>
      <c r="K1245" s="10"/>
      <c r="L1245" s="10"/>
    </row>
    <row r="1246" spans="1:12" x14ac:dyDescent="0.25">
      <c r="A1246" s="21" t="s">
        <v>367</v>
      </c>
      <c r="B1246" s="12" t="s">
        <v>368</v>
      </c>
      <c r="C1246" s="11" t="s">
        <v>2800</v>
      </c>
      <c r="D1246" s="13" t="s">
        <v>2835</v>
      </c>
      <c r="E1246" s="11">
        <v>298</v>
      </c>
      <c r="F1246" s="21" t="s">
        <v>369</v>
      </c>
      <c r="G1246" s="11" t="s">
        <v>368</v>
      </c>
      <c r="H1246" s="11" t="s">
        <v>2171</v>
      </c>
      <c r="I1246" s="12" t="s">
        <v>368</v>
      </c>
      <c r="J1246" s="11" t="s">
        <v>2800</v>
      </c>
      <c r="K1246" s="10"/>
      <c r="L1246" s="10"/>
    </row>
    <row r="1247" spans="1:12" x14ac:dyDescent="0.25">
      <c r="A1247" s="21" t="s">
        <v>40</v>
      </c>
      <c r="B1247" s="12" t="s">
        <v>41</v>
      </c>
      <c r="C1247" s="11" t="s">
        <v>2805</v>
      </c>
      <c r="D1247" s="13" t="s">
        <v>2226</v>
      </c>
      <c r="E1247" s="11">
        <v>163</v>
      </c>
      <c r="F1247" s="21" t="s">
        <v>42</v>
      </c>
      <c r="G1247" s="11" t="s">
        <v>43</v>
      </c>
      <c r="H1247" s="11" t="s">
        <v>2171</v>
      </c>
      <c r="I1247" s="12" t="s">
        <v>41</v>
      </c>
      <c r="J1247" s="11" t="s">
        <v>2805</v>
      </c>
      <c r="K1247" s="10"/>
      <c r="L1247" s="10"/>
    </row>
    <row r="1248" spans="1:12" x14ac:dyDescent="0.25">
      <c r="A1248" s="21" t="s">
        <v>370</v>
      </c>
      <c r="B1248" s="12" t="s">
        <v>371</v>
      </c>
      <c r="C1248" s="11" t="s">
        <v>2805</v>
      </c>
      <c r="D1248" s="13" t="s">
        <v>3454</v>
      </c>
      <c r="E1248" s="11">
        <v>117</v>
      </c>
      <c r="F1248" s="21" t="s">
        <v>372</v>
      </c>
      <c r="G1248" s="11" t="s">
        <v>371</v>
      </c>
      <c r="H1248" s="11" t="s">
        <v>2171</v>
      </c>
      <c r="I1248" s="12" t="s">
        <v>371</v>
      </c>
      <c r="J1248" s="11" t="s">
        <v>2805</v>
      </c>
      <c r="K1248" s="10"/>
      <c r="L1248" s="10"/>
    </row>
    <row r="1249" spans="1:12" x14ac:dyDescent="0.25">
      <c r="A1249" s="21" t="s">
        <v>44</v>
      </c>
      <c r="B1249" s="12" t="s">
        <v>45</v>
      </c>
      <c r="C1249" s="11" t="s">
        <v>2805</v>
      </c>
      <c r="D1249" s="13" t="s">
        <v>4646</v>
      </c>
      <c r="E1249" s="11">
        <v>550</v>
      </c>
      <c r="F1249" s="21" t="s">
        <v>46</v>
      </c>
      <c r="G1249" s="11" t="s">
        <v>45</v>
      </c>
      <c r="H1249" s="11" t="s">
        <v>2171</v>
      </c>
      <c r="I1249" s="12" t="s">
        <v>45</v>
      </c>
      <c r="J1249" s="11" t="s">
        <v>2805</v>
      </c>
      <c r="K1249" s="10"/>
      <c r="L1249" s="10"/>
    </row>
    <row r="1250" spans="1:12" x14ac:dyDescent="0.25">
      <c r="A1250" s="21" t="s">
        <v>47</v>
      </c>
      <c r="B1250" s="12" t="s">
        <v>48</v>
      </c>
      <c r="C1250" s="11" t="s">
        <v>2805</v>
      </c>
      <c r="D1250" s="13" t="s">
        <v>4220</v>
      </c>
      <c r="E1250" s="11">
        <v>624</v>
      </c>
      <c r="F1250" s="21" t="s">
        <v>49</v>
      </c>
      <c r="G1250" s="11" t="s">
        <v>48</v>
      </c>
      <c r="H1250" s="11" t="s">
        <v>2171</v>
      </c>
      <c r="I1250" s="12" t="s">
        <v>48</v>
      </c>
      <c r="J1250" s="11" t="s">
        <v>2805</v>
      </c>
      <c r="K1250" s="10"/>
      <c r="L1250" s="10"/>
    </row>
    <row r="1251" spans="1:12" x14ac:dyDescent="0.25">
      <c r="A1251" s="21" t="s">
        <v>50</v>
      </c>
      <c r="B1251" s="12" t="s">
        <v>3490</v>
      </c>
      <c r="C1251" s="11" t="s">
        <v>2805</v>
      </c>
      <c r="D1251" s="13" t="s">
        <v>3670</v>
      </c>
      <c r="E1251" s="11">
        <v>915</v>
      </c>
      <c r="F1251" s="21" t="s">
        <v>51</v>
      </c>
      <c r="G1251" s="11" t="s">
        <v>3490</v>
      </c>
      <c r="H1251" s="11" t="s">
        <v>2171</v>
      </c>
      <c r="I1251" s="12" t="s">
        <v>3490</v>
      </c>
      <c r="J1251" s="11" t="s">
        <v>2805</v>
      </c>
      <c r="K1251" s="10"/>
      <c r="L1251" s="10"/>
    </row>
    <row r="1252" spans="1:12" x14ac:dyDescent="0.25">
      <c r="A1252" s="21" t="s">
        <v>373</v>
      </c>
      <c r="B1252" s="12" t="s">
        <v>374</v>
      </c>
      <c r="C1252" s="11" t="s">
        <v>2805</v>
      </c>
      <c r="D1252" s="13" t="s">
        <v>4655</v>
      </c>
      <c r="E1252" s="11">
        <v>344</v>
      </c>
      <c r="F1252" s="21" t="s">
        <v>375</v>
      </c>
      <c r="G1252" s="11" t="s">
        <v>374</v>
      </c>
      <c r="H1252" s="11" t="s">
        <v>2171</v>
      </c>
      <c r="I1252" s="12" t="s">
        <v>374</v>
      </c>
      <c r="J1252" s="11" t="s">
        <v>2805</v>
      </c>
      <c r="K1252" s="10"/>
      <c r="L1252" s="10"/>
    </row>
    <row r="1253" spans="1:12" x14ac:dyDescent="0.25">
      <c r="A1253" s="21" t="s">
        <v>847</v>
      </c>
      <c r="B1253" s="12" t="s">
        <v>848</v>
      </c>
      <c r="C1253" s="11" t="s">
        <v>2805</v>
      </c>
      <c r="D1253" s="13" t="s">
        <v>849</v>
      </c>
      <c r="E1253" s="11">
        <v>1498</v>
      </c>
      <c r="F1253" s="21" t="s">
        <v>850</v>
      </c>
      <c r="G1253" s="11" t="s">
        <v>848</v>
      </c>
      <c r="H1253" s="11" t="s">
        <v>2171</v>
      </c>
      <c r="I1253" s="12" t="s">
        <v>848</v>
      </c>
      <c r="J1253" s="11" t="s">
        <v>2805</v>
      </c>
      <c r="K1253" s="10"/>
      <c r="L1253" s="10"/>
    </row>
    <row r="1254" spans="1:12" x14ac:dyDescent="0.25">
      <c r="A1254" s="21" t="s">
        <v>851</v>
      </c>
      <c r="B1254" s="12" t="s">
        <v>2597</v>
      </c>
      <c r="C1254" s="11" t="s">
        <v>2805</v>
      </c>
      <c r="D1254" s="13" t="s">
        <v>247</v>
      </c>
      <c r="E1254" s="11">
        <v>777</v>
      </c>
      <c r="F1254" s="21" t="s">
        <v>2598</v>
      </c>
      <c r="G1254" s="11" t="s">
        <v>2597</v>
      </c>
      <c r="H1254" s="11" t="s">
        <v>2171</v>
      </c>
      <c r="I1254" s="12" t="s">
        <v>2597</v>
      </c>
      <c r="J1254" s="11" t="s">
        <v>2805</v>
      </c>
      <c r="K1254" s="10"/>
      <c r="L1254" s="10"/>
    </row>
    <row r="1255" spans="1:12" x14ac:dyDescent="0.25">
      <c r="A1255" s="21" t="s">
        <v>379</v>
      </c>
      <c r="B1255" s="12" t="s">
        <v>380</v>
      </c>
      <c r="C1255" s="11" t="s">
        <v>2805</v>
      </c>
      <c r="D1255" s="13" t="s">
        <v>381</v>
      </c>
      <c r="E1255" s="11">
        <v>99</v>
      </c>
      <c r="F1255" s="21" t="s">
        <v>382</v>
      </c>
      <c r="G1255" s="11" t="s">
        <v>380</v>
      </c>
      <c r="H1255" s="11" t="s">
        <v>2171</v>
      </c>
      <c r="I1255" s="12" t="s">
        <v>380</v>
      </c>
      <c r="J1255" s="11" t="s">
        <v>2805</v>
      </c>
      <c r="K1255" s="10"/>
      <c r="L1255" s="10"/>
    </row>
    <row r="1256" spans="1:12" x14ac:dyDescent="0.25">
      <c r="A1256" s="21" t="s">
        <v>52</v>
      </c>
      <c r="B1256" s="12" t="s">
        <v>53</v>
      </c>
      <c r="C1256" s="11" t="s">
        <v>2805</v>
      </c>
      <c r="D1256" s="13" t="s">
        <v>54</v>
      </c>
      <c r="E1256" s="11" t="s">
        <v>2163</v>
      </c>
      <c r="F1256" s="21" t="s">
        <v>768</v>
      </c>
      <c r="G1256" s="11" t="s">
        <v>53</v>
      </c>
      <c r="H1256" s="11" t="s">
        <v>2171</v>
      </c>
      <c r="I1256" s="12" t="s">
        <v>53</v>
      </c>
      <c r="J1256" s="11" t="s">
        <v>2805</v>
      </c>
      <c r="K1256" s="10"/>
      <c r="L1256" s="10"/>
    </row>
    <row r="1257" spans="1:12" x14ac:dyDescent="0.25">
      <c r="A1257" s="21" t="s">
        <v>769</v>
      </c>
      <c r="B1257" s="12" t="s">
        <v>4744</v>
      </c>
      <c r="C1257" s="11" t="s">
        <v>2805</v>
      </c>
      <c r="D1257" s="13" t="s">
        <v>247</v>
      </c>
      <c r="E1257" s="11">
        <v>1839</v>
      </c>
      <c r="F1257" s="21" t="s">
        <v>770</v>
      </c>
      <c r="G1257" s="11" t="s">
        <v>4744</v>
      </c>
      <c r="H1257" s="11" t="s">
        <v>2171</v>
      </c>
      <c r="I1257" s="12" t="s">
        <v>4744</v>
      </c>
      <c r="J1257" s="11" t="s">
        <v>2805</v>
      </c>
      <c r="K1257" s="10"/>
      <c r="L1257" s="10"/>
    </row>
    <row r="1258" spans="1:12" x14ac:dyDescent="0.25">
      <c r="A1258" s="21" t="s">
        <v>771</v>
      </c>
      <c r="B1258" s="12" t="s">
        <v>772</v>
      </c>
      <c r="C1258" s="11" t="s">
        <v>2805</v>
      </c>
      <c r="D1258" s="13" t="s">
        <v>4655</v>
      </c>
      <c r="E1258" s="11">
        <v>577</v>
      </c>
      <c r="F1258" s="21" t="s">
        <v>773</v>
      </c>
      <c r="G1258" s="11" t="s">
        <v>772</v>
      </c>
      <c r="H1258" s="11" t="s">
        <v>2171</v>
      </c>
      <c r="I1258" s="12" t="s">
        <v>772</v>
      </c>
      <c r="J1258" s="11" t="s">
        <v>2805</v>
      </c>
      <c r="K1258" s="10"/>
      <c r="L1258" s="10"/>
    </row>
    <row r="1259" spans="1:12" x14ac:dyDescent="0.25">
      <c r="A1259" s="21" t="s">
        <v>383</v>
      </c>
      <c r="B1259" s="12" t="s">
        <v>384</v>
      </c>
      <c r="C1259" s="11" t="s">
        <v>2805</v>
      </c>
      <c r="D1259" s="13" t="s">
        <v>247</v>
      </c>
      <c r="E1259" s="11">
        <v>416</v>
      </c>
      <c r="F1259" s="21" t="s">
        <v>385</v>
      </c>
      <c r="G1259" s="11" t="s">
        <v>384</v>
      </c>
      <c r="H1259" s="11" t="s">
        <v>2171</v>
      </c>
      <c r="I1259" s="12" t="s">
        <v>384</v>
      </c>
      <c r="J1259" s="11" t="s">
        <v>2805</v>
      </c>
      <c r="K1259" s="10"/>
      <c r="L1259" s="10"/>
    </row>
    <row r="1260" spans="1:12" x14ac:dyDescent="0.25">
      <c r="A1260" s="21" t="s">
        <v>774</v>
      </c>
      <c r="B1260" s="12" t="s">
        <v>775</v>
      </c>
      <c r="C1260" s="11" t="s">
        <v>2805</v>
      </c>
      <c r="D1260" s="13" t="s">
        <v>84</v>
      </c>
      <c r="E1260" s="11">
        <v>1298</v>
      </c>
      <c r="F1260" s="21" t="s">
        <v>776</v>
      </c>
      <c r="G1260" s="11" t="s">
        <v>775</v>
      </c>
      <c r="H1260" s="11" t="s">
        <v>2171</v>
      </c>
      <c r="I1260" s="12" t="s">
        <v>775</v>
      </c>
      <c r="J1260" s="11" t="s">
        <v>2805</v>
      </c>
      <c r="K1260" s="10"/>
      <c r="L1260" s="10"/>
    </row>
    <row r="1261" spans="1:12" x14ac:dyDescent="0.25">
      <c r="A1261" s="21" t="s">
        <v>386</v>
      </c>
      <c r="B1261" s="12" t="s">
        <v>387</v>
      </c>
      <c r="C1261" s="11" t="s">
        <v>2805</v>
      </c>
      <c r="D1261" s="13" t="s">
        <v>981</v>
      </c>
      <c r="E1261" s="11">
        <v>1081</v>
      </c>
      <c r="F1261" s="21" t="s">
        <v>388</v>
      </c>
      <c r="G1261" s="11" t="s">
        <v>387</v>
      </c>
      <c r="H1261" s="11" t="s">
        <v>2171</v>
      </c>
      <c r="I1261" s="12" t="s">
        <v>387</v>
      </c>
      <c r="J1261" s="11" t="s">
        <v>2805</v>
      </c>
      <c r="K1261" s="10"/>
      <c r="L1261" s="10"/>
    </row>
    <row r="1262" spans="1:12" x14ac:dyDescent="0.25">
      <c r="A1262" s="21" t="s">
        <v>777</v>
      </c>
      <c r="B1262" s="12" t="s">
        <v>778</v>
      </c>
      <c r="C1262" s="11" t="s">
        <v>2805</v>
      </c>
      <c r="D1262" s="13" t="s">
        <v>779</v>
      </c>
      <c r="E1262" s="11">
        <v>1401</v>
      </c>
      <c r="F1262" s="21" t="s">
        <v>780</v>
      </c>
      <c r="G1262" s="11" t="s">
        <v>778</v>
      </c>
      <c r="H1262" s="11" t="s">
        <v>2171</v>
      </c>
      <c r="I1262" s="12" t="s">
        <v>778</v>
      </c>
      <c r="J1262" s="11" t="s">
        <v>2805</v>
      </c>
      <c r="K1262" s="10"/>
      <c r="L1262" s="10"/>
    </row>
    <row r="1263" spans="1:12" x14ac:dyDescent="0.25">
      <c r="A1263" s="21" t="s">
        <v>3365</v>
      </c>
      <c r="B1263" s="12" t="s">
        <v>2289</v>
      </c>
      <c r="C1263" s="11" t="s">
        <v>2805</v>
      </c>
      <c r="D1263" s="13" t="s">
        <v>3366</v>
      </c>
      <c r="E1263" s="11">
        <v>2340</v>
      </c>
      <c r="F1263" s="21" t="s">
        <v>3367</v>
      </c>
      <c r="G1263" s="11" t="s">
        <v>2289</v>
      </c>
      <c r="H1263" s="11" t="s">
        <v>2171</v>
      </c>
      <c r="I1263" s="12" t="s">
        <v>2289</v>
      </c>
      <c r="J1263" s="11" t="s">
        <v>2805</v>
      </c>
      <c r="K1263" s="10"/>
      <c r="L1263" s="10"/>
    </row>
    <row r="1264" spans="1:12" x14ac:dyDescent="0.25">
      <c r="A1264" s="21" t="s">
        <v>389</v>
      </c>
      <c r="B1264" s="12" t="s">
        <v>2749</v>
      </c>
      <c r="C1264" s="11" t="s">
        <v>2800</v>
      </c>
      <c r="D1264" s="13" t="s">
        <v>255</v>
      </c>
      <c r="E1264" s="11">
        <v>1202</v>
      </c>
      <c r="F1264" s="21" t="s">
        <v>390</v>
      </c>
      <c r="G1264" s="11" t="s">
        <v>2749</v>
      </c>
      <c r="H1264" s="11" t="s">
        <v>2171</v>
      </c>
      <c r="I1264" s="12" t="s">
        <v>2749</v>
      </c>
      <c r="J1264" s="11" t="s">
        <v>2800</v>
      </c>
      <c r="K1264" s="10"/>
      <c r="L1264" s="10"/>
    </row>
    <row r="1265" spans="1:12" x14ac:dyDescent="0.25">
      <c r="A1265" s="21" t="s">
        <v>3368</v>
      </c>
      <c r="B1265" s="12" t="s">
        <v>3369</v>
      </c>
      <c r="C1265" s="11" t="s">
        <v>2805</v>
      </c>
      <c r="D1265" s="13" t="s">
        <v>816</v>
      </c>
      <c r="E1265" s="11">
        <v>785</v>
      </c>
      <c r="F1265" s="21" t="s">
        <v>817</v>
      </c>
      <c r="G1265" s="11" t="s">
        <v>3369</v>
      </c>
      <c r="H1265" s="11" t="s">
        <v>2171</v>
      </c>
      <c r="I1265" s="12" t="s">
        <v>3369</v>
      </c>
      <c r="J1265" s="11" t="s">
        <v>2805</v>
      </c>
      <c r="K1265" s="10"/>
      <c r="L1265" s="10"/>
    </row>
    <row r="1266" spans="1:12" x14ac:dyDescent="0.25">
      <c r="A1266" s="21" t="s">
        <v>818</v>
      </c>
      <c r="B1266" s="12" t="s">
        <v>794</v>
      </c>
      <c r="C1266" s="11" t="s">
        <v>2805</v>
      </c>
      <c r="D1266" s="13" t="s">
        <v>2889</v>
      </c>
      <c r="E1266" s="11">
        <v>144</v>
      </c>
      <c r="F1266" s="21" t="s">
        <v>819</v>
      </c>
      <c r="G1266" s="11" t="s">
        <v>794</v>
      </c>
      <c r="H1266" s="11" t="s">
        <v>2171</v>
      </c>
      <c r="I1266" s="12" t="s">
        <v>794</v>
      </c>
      <c r="J1266" s="11" t="s">
        <v>2805</v>
      </c>
      <c r="K1266" s="10"/>
      <c r="L1266" s="10"/>
    </row>
    <row r="1267" spans="1:12" x14ac:dyDescent="0.25">
      <c r="A1267" s="21" t="s">
        <v>391</v>
      </c>
      <c r="B1267" s="12" t="s">
        <v>392</v>
      </c>
      <c r="C1267" s="11" t="s">
        <v>2805</v>
      </c>
      <c r="D1267" s="13" t="s">
        <v>2492</v>
      </c>
      <c r="E1267" s="11">
        <v>394</v>
      </c>
      <c r="F1267" s="21" t="s">
        <v>393</v>
      </c>
      <c r="G1267" s="11" t="s">
        <v>392</v>
      </c>
      <c r="H1267" s="11" t="s">
        <v>2171</v>
      </c>
      <c r="I1267" s="12" t="s">
        <v>392</v>
      </c>
      <c r="J1267" s="11" t="s">
        <v>2805</v>
      </c>
      <c r="K1267" s="10"/>
      <c r="L1267" s="10"/>
    </row>
    <row r="1268" spans="1:12" x14ac:dyDescent="0.25">
      <c r="A1268" s="21" t="s">
        <v>376</v>
      </c>
      <c r="B1268" s="12" t="s">
        <v>377</v>
      </c>
      <c r="C1268" s="11" t="s">
        <v>2805</v>
      </c>
      <c r="D1268" s="13" t="s">
        <v>4399</v>
      </c>
      <c r="E1268" s="11">
        <v>575</v>
      </c>
      <c r="F1268" s="21" t="s">
        <v>378</v>
      </c>
      <c r="G1268" s="11" t="s">
        <v>377</v>
      </c>
      <c r="H1268" s="11" t="s">
        <v>2171</v>
      </c>
      <c r="I1268" s="12" t="s">
        <v>377</v>
      </c>
      <c r="J1268" s="11" t="s">
        <v>2805</v>
      </c>
      <c r="K1268" s="10"/>
      <c r="L1268" s="10"/>
    </row>
    <row r="1269" spans="1:12" x14ac:dyDescent="0.25">
      <c r="A1269" s="21" t="s">
        <v>820</v>
      </c>
      <c r="B1269" s="12" t="s">
        <v>821</v>
      </c>
      <c r="C1269" s="11" t="s">
        <v>2805</v>
      </c>
      <c r="D1269" s="13" t="s">
        <v>822</v>
      </c>
      <c r="E1269" s="11">
        <v>645</v>
      </c>
      <c r="F1269" s="21" t="s">
        <v>823</v>
      </c>
      <c r="G1269" s="11" t="s">
        <v>824</v>
      </c>
      <c r="H1269" s="11" t="s">
        <v>2171</v>
      </c>
      <c r="I1269" s="12" t="s">
        <v>821</v>
      </c>
      <c r="J1269" s="11" t="s">
        <v>2805</v>
      </c>
      <c r="K1269" s="10"/>
      <c r="L1269" s="10"/>
    </row>
    <row r="1270" spans="1:12" x14ac:dyDescent="0.25">
      <c r="A1270" s="21" t="s">
        <v>825</v>
      </c>
      <c r="B1270" s="12" t="s">
        <v>826</v>
      </c>
      <c r="C1270" s="11" t="s">
        <v>2805</v>
      </c>
      <c r="D1270" s="13" t="s">
        <v>827</v>
      </c>
      <c r="E1270" s="11">
        <v>88</v>
      </c>
      <c r="F1270" s="21" t="s">
        <v>828</v>
      </c>
      <c r="G1270" s="11" t="s">
        <v>826</v>
      </c>
      <c r="H1270" s="11" t="s">
        <v>2171</v>
      </c>
      <c r="I1270" s="12" t="s">
        <v>826</v>
      </c>
      <c r="J1270" s="11" t="s">
        <v>2805</v>
      </c>
      <c r="K1270" s="10"/>
      <c r="L1270" s="10"/>
    </row>
    <row r="1271" spans="1:12" x14ac:dyDescent="0.25">
      <c r="A1271" s="21" t="s">
        <v>3041</v>
      </c>
      <c r="B1271" s="12" t="s">
        <v>3042</v>
      </c>
      <c r="C1271" s="11" t="s">
        <v>2805</v>
      </c>
      <c r="D1271" s="13" t="s">
        <v>2778</v>
      </c>
      <c r="E1271" s="11">
        <v>3320</v>
      </c>
      <c r="F1271" s="21" t="s">
        <v>3043</v>
      </c>
      <c r="G1271" s="11" t="s">
        <v>2171</v>
      </c>
      <c r="H1271" s="11" t="s">
        <v>2171</v>
      </c>
      <c r="I1271" s="12" t="s">
        <v>3042</v>
      </c>
      <c r="J1271" s="11" t="s">
        <v>2805</v>
      </c>
      <c r="K1271" s="10"/>
      <c r="L1271" s="10"/>
    </row>
    <row r="1272" spans="1:12" x14ac:dyDescent="0.25">
      <c r="A1272" s="21" t="s">
        <v>2638</v>
      </c>
      <c r="B1272" s="12" t="s">
        <v>2639</v>
      </c>
      <c r="C1272" s="11" t="s">
        <v>2800</v>
      </c>
      <c r="D1272" s="13" t="s">
        <v>1006</v>
      </c>
      <c r="E1272" s="11">
        <v>2558</v>
      </c>
      <c r="F1272" s="21" t="s">
        <v>2640</v>
      </c>
      <c r="G1272" s="11" t="s">
        <v>2171</v>
      </c>
      <c r="H1272" s="11" t="s">
        <v>2171</v>
      </c>
      <c r="I1272" s="12" t="s">
        <v>2639</v>
      </c>
      <c r="J1272" s="11" t="s">
        <v>2800</v>
      </c>
      <c r="K1272" s="10"/>
      <c r="L1272" s="10"/>
    </row>
    <row r="1273" spans="1:12" x14ac:dyDescent="0.25">
      <c r="A1273" s="21" t="s">
        <v>4237</v>
      </c>
      <c r="B1273" s="12" t="s">
        <v>2171</v>
      </c>
      <c r="C1273" s="11" t="s">
        <v>2800</v>
      </c>
      <c r="D1273" s="13" t="s">
        <v>2778</v>
      </c>
      <c r="E1273" s="11">
        <v>2430</v>
      </c>
      <c r="F1273" s="21" t="s">
        <v>4238</v>
      </c>
      <c r="G1273" s="11" t="s">
        <v>2171</v>
      </c>
      <c r="H1273" s="11" t="s">
        <v>2171</v>
      </c>
      <c r="I1273" s="12" t="s">
        <v>2171</v>
      </c>
      <c r="J1273" s="11" t="s">
        <v>2800</v>
      </c>
      <c r="K1273" s="10"/>
      <c r="L1273" s="10"/>
    </row>
    <row r="1274" spans="1:12" x14ac:dyDescent="0.25">
      <c r="A1274" s="21" t="s">
        <v>4239</v>
      </c>
      <c r="B1274" s="12" t="s">
        <v>3741</v>
      </c>
      <c r="C1274" s="11" t="s">
        <v>2805</v>
      </c>
      <c r="D1274" s="13" t="s">
        <v>255</v>
      </c>
      <c r="E1274" s="11">
        <v>1863</v>
      </c>
      <c r="F1274" s="21" t="s">
        <v>4240</v>
      </c>
      <c r="G1274" s="11" t="s">
        <v>2171</v>
      </c>
      <c r="H1274" s="11" t="s">
        <v>2171</v>
      </c>
      <c r="I1274" s="12" t="s">
        <v>3741</v>
      </c>
      <c r="J1274" s="11" t="s">
        <v>2805</v>
      </c>
      <c r="K1274" s="10"/>
      <c r="L1274" s="10"/>
    </row>
    <row r="1275" spans="1:12" x14ac:dyDescent="0.25">
      <c r="A1275" s="21" t="s">
        <v>4241</v>
      </c>
      <c r="B1275" s="12" t="s">
        <v>3744</v>
      </c>
      <c r="C1275" s="11" t="s">
        <v>2805</v>
      </c>
      <c r="D1275" s="13" t="s">
        <v>4242</v>
      </c>
      <c r="E1275" s="11">
        <v>1408</v>
      </c>
      <c r="F1275" s="21" t="s">
        <v>4243</v>
      </c>
      <c r="G1275" s="11" t="s">
        <v>2171</v>
      </c>
      <c r="H1275" s="11" t="s">
        <v>2171</v>
      </c>
      <c r="I1275" s="12" t="s">
        <v>3744</v>
      </c>
      <c r="J1275" s="11" t="s">
        <v>2805</v>
      </c>
      <c r="K1275" s="10"/>
      <c r="L1275" s="10"/>
    </row>
    <row r="1276" spans="1:12" x14ac:dyDescent="0.25">
      <c r="A1276" s="21" t="s">
        <v>4244</v>
      </c>
      <c r="B1276" s="12" t="s">
        <v>3748</v>
      </c>
      <c r="C1276" s="11" t="s">
        <v>2800</v>
      </c>
      <c r="D1276" s="13" t="s">
        <v>234</v>
      </c>
      <c r="E1276" s="11">
        <v>3501</v>
      </c>
      <c r="F1276" s="21" t="s">
        <v>4245</v>
      </c>
      <c r="G1276" s="11" t="s">
        <v>2171</v>
      </c>
      <c r="H1276" s="11" t="s">
        <v>2171</v>
      </c>
      <c r="I1276" s="12" t="s">
        <v>3748</v>
      </c>
      <c r="J1276" s="11" t="s">
        <v>2800</v>
      </c>
      <c r="K1276" s="10"/>
      <c r="L1276" s="10"/>
    </row>
    <row r="1277" spans="1:12" x14ac:dyDescent="0.25">
      <c r="A1277" s="21" t="s">
        <v>4246</v>
      </c>
      <c r="B1277" s="12" t="s">
        <v>1168</v>
      </c>
      <c r="C1277" s="11" t="s">
        <v>2805</v>
      </c>
      <c r="D1277" s="13" t="s">
        <v>270</v>
      </c>
      <c r="E1277" s="11">
        <v>2999</v>
      </c>
      <c r="F1277" s="21" t="s">
        <v>4247</v>
      </c>
      <c r="G1277" s="11" t="s">
        <v>2171</v>
      </c>
      <c r="H1277" s="11" t="s">
        <v>2171</v>
      </c>
      <c r="I1277" s="12" t="s">
        <v>1168</v>
      </c>
      <c r="J1277" s="11" t="s">
        <v>2805</v>
      </c>
      <c r="K1277" s="10"/>
      <c r="L1277" s="10"/>
    </row>
    <row r="1278" spans="1:12" x14ac:dyDescent="0.25">
      <c r="A1278" s="21" t="s">
        <v>4248</v>
      </c>
      <c r="B1278" s="12" t="s">
        <v>4284</v>
      </c>
      <c r="C1278" s="11" t="s">
        <v>2805</v>
      </c>
      <c r="D1278" s="13" t="s">
        <v>415</v>
      </c>
      <c r="E1278" s="11">
        <v>7276</v>
      </c>
      <c r="F1278" s="21" t="s">
        <v>4285</v>
      </c>
      <c r="G1278" s="11" t="s">
        <v>2171</v>
      </c>
      <c r="H1278" s="11" t="s">
        <v>2171</v>
      </c>
      <c r="I1278" s="12" t="s">
        <v>4284</v>
      </c>
      <c r="J1278" s="11" t="s">
        <v>2805</v>
      </c>
      <c r="K1278" s="10"/>
      <c r="L1278" s="10"/>
    </row>
    <row r="1279" spans="1:12" x14ac:dyDescent="0.25">
      <c r="A1279" s="21" t="s">
        <v>4286</v>
      </c>
      <c r="B1279" s="12" t="s">
        <v>4287</v>
      </c>
      <c r="C1279" s="11" t="s">
        <v>2805</v>
      </c>
      <c r="D1279" s="13" t="s">
        <v>415</v>
      </c>
      <c r="E1279" s="11">
        <v>5347</v>
      </c>
      <c r="F1279" s="21" t="s">
        <v>4288</v>
      </c>
      <c r="G1279" s="11" t="s">
        <v>2171</v>
      </c>
      <c r="H1279" s="11" t="s">
        <v>2171</v>
      </c>
      <c r="I1279" s="12" t="s">
        <v>4287</v>
      </c>
      <c r="J1279" s="11" t="s">
        <v>2805</v>
      </c>
      <c r="K1279" s="10"/>
      <c r="L1279" s="10"/>
    </row>
    <row r="1280" spans="1:12" x14ac:dyDescent="0.25">
      <c r="A1280" s="21" t="s">
        <v>4289</v>
      </c>
      <c r="B1280" s="12" t="s">
        <v>4290</v>
      </c>
      <c r="C1280" s="11" t="s">
        <v>2805</v>
      </c>
      <c r="D1280" s="13" t="s">
        <v>4291</v>
      </c>
      <c r="E1280" s="11">
        <v>6855</v>
      </c>
      <c r="F1280" s="21" t="s">
        <v>4292</v>
      </c>
      <c r="G1280" s="11" t="s">
        <v>2171</v>
      </c>
      <c r="H1280" s="11" t="s">
        <v>2171</v>
      </c>
      <c r="I1280" s="12" t="s">
        <v>4290</v>
      </c>
      <c r="J1280" s="11" t="s">
        <v>2805</v>
      </c>
      <c r="K1280" s="10"/>
      <c r="L1280" s="10"/>
    </row>
    <row r="1281" spans="1:12" x14ac:dyDescent="0.25">
      <c r="A1281" s="21" t="s">
        <v>4293</v>
      </c>
      <c r="B1281" s="12" t="s">
        <v>4294</v>
      </c>
      <c r="C1281" s="11" t="s">
        <v>2805</v>
      </c>
      <c r="D1281" s="13" t="s">
        <v>4295</v>
      </c>
      <c r="E1281" s="11">
        <v>7699</v>
      </c>
      <c r="F1281" s="21" t="s">
        <v>4296</v>
      </c>
      <c r="G1281" s="11" t="s">
        <v>2171</v>
      </c>
      <c r="H1281" s="11" t="s">
        <v>2171</v>
      </c>
      <c r="I1281" s="12" t="s">
        <v>4294</v>
      </c>
      <c r="J1281" s="11" t="s">
        <v>2805</v>
      </c>
      <c r="K1281" s="10"/>
      <c r="L1281" s="10"/>
    </row>
    <row r="1282" spans="1:12" x14ac:dyDescent="0.25">
      <c r="A1282" s="21" t="s">
        <v>394</v>
      </c>
      <c r="B1282" s="12" t="s">
        <v>395</v>
      </c>
      <c r="C1282" s="11" t="s">
        <v>2805</v>
      </c>
      <c r="D1282" s="13" t="s">
        <v>1668</v>
      </c>
      <c r="E1282" s="11">
        <v>1071</v>
      </c>
      <c r="F1282" s="21" t="s">
        <v>396</v>
      </c>
      <c r="G1282" s="11" t="s">
        <v>395</v>
      </c>
      <c r="H1282" s="11" t="s">
        <v>2171</v>
      </c>
      <c r="I1282" s="12" t="s">
        <v>395</v>
      </c>
      <c r="J1282" s="11" t="s">
        <v>2805</v>
      </c>
      <c r="K1282" s="10"/>
      <c r="L1282" s="10"/>
    </row>
    <row r="1283" spans="1:12" x14ac:dyDescent="0.25">
      <c r="A1283" s="21" t="s">
        <v>829</v>
      </c>
      <c r="B1283" s="12" t="s">
        <v>1894</v>
      </c>
      <c r="C1283" s="11" t="s">
        <v>2805</v>
      </c>
      <c r="D1283" s="13" t="s">
        <v>4220</v>
      </c>
      <c r="E1283" s="11">
        <v>331</v>
      </c>
      <c r="F1283" s="21" t="s">
        <v>830</v>
      </c>
      <c r="G1283" s="11" t="s">
        <v>831</v>
      </c>
      <c r="H1283" s="11" t="s">
        <v>2171</v>
      </c>
      <c r="I1283" s="12" t="s">
        <v>1894</v>
      </c>
      <c r="J1283" s="11" t="s">
        <v>2805</v>
      </c>
      <c r="K1283" s="10"/>
      <c r="L1283" s="10"/>
    </row>
    <row r="1284" spans="1:12" x14ac:dyDescent="0.25">
      <c r="A1284" s="21" t="s">
        <v>397</v>
      </c>
      <c r="B1284" s="12" t="s">
        <v>398</v>
      </c>
      <c r="C1284" s="11" t="s">
        <v>2805</v>
      </c>
      <c r="D1284" s="13" t="s">
        <v>399</v>
      </c>
      <c r="E1284" s="11">
        <v>468</v>
      </c>
      <c r="F1284" s="21" t="s">
        <v>400</v>
      </c>
      <c r="G1284" s="11" t="s">
        <v>398</v>
      </c>
      <c r="H1284" s="11" t="s">
        <v>2171</v>
      </c>
      <c r="I1284" s="12" t="s">
        <v>398</v>
      </c>
      <c r="J1284" s="11" t="s">
        <v>2805</v>
      </c>
      <c r="K1284" s="10"/>
      <c r="L1284" s="10"/>
    </row>
    <row r="1285" spans="1:12" x14ac:dyDescent="0.25">
      <c r="A1285" s="21" t="s">
        <v>832</v>
      </c>
      <c r="B1285" s="12" t="s">
        <v>833</v>
      </c>
      <c r="C1285" s="11" t="s">
        <v>2800</v>
      </c>
      <c r="D1285" s="13" t="s">
        <v>3324</v>
      </c>
      <c r="E1285" s="11">
        <v>2517</v>
      </c>
      <c r="F1285" s="21" t="s">
        <v>834</v>
      </c>
      <c r="G1285" s="11" t="s">
        <v>833</v>
      </c>
      <c r="H1285" s="11" t="s">
        <v>2171</v>
      </c>
      <c r="I1285" s="12" t="s">
        <v>833</v>
      </c>
      <c r="J1285" s="11" t="s">
        <v>2800</v>
      </c>
      <c r="K1285" s="10"/>
      <c r="L1285" s="10"/>
    </row>
    <row r="1286" spans="1:12" x14ac:dyDescent="0.25">
      <c r="A1286" s="21" t="s">
        <v>835</v>
      </c>
      <c r="B1286" s="12" t="s">
        <v>4655</v>
      </c>
      <c r="C1286" s="11" t="s">
        <v>2805</v>
      </c>
      <c r="D1286" s="13" t="s">
        <v>2648</v>
      </c>
      <c r="E1286" s="11">
        <v>1287</v>
      </c>
      <c r="F1286" s="21" t="s">
        <v>836</v>
      </c>
      <c r="G1286" s="11" t="s">
        <v>4655</v>
      </c>
      <c r="H1286" s="11" t="s">
        <v>2171</v>
      </c>
      <c r="I1286" s="12" t="s">
        <v>4655</v>
      </c>
      <c r="J1286" s="11" t="s">
        <v>2805</v>
      </c>
      <c r="K1286" s="10"/>
      <c r="L1286" s="10"/>
    </row>
    <row r="1287" spans="1:12" x14ac:dyDescent="0.25">
      <c r="A1287" s="21" t="s">
        <v>837</v>
      </c>
      <c r="B1287" s="12" t="s">
        <v>838</v>
      </c>
      <c r="C1287" s="11" t="s">
        <v>2805</v>
      </c>
      <c r="D1287" s="13" t="s">
        <v>839</v>
      </c>
      <c r="E1287" s="11">
        <v>1635</v>
      </c>
      <c r="F1287" s="21" t="s">
        <v>840</v>
      </c>
      <c r="G1287" s="11" t="s">
        <v>838</v>
      </c>
      <c r="H1287" s="11" t="s">
        <v>2171</v>
      </c>
      <c r="I1287" s="12" t="s">
        <v>838</v>
      </c>
      <c r="J1287" s="11" t="s">
        <v>2805</v>
      </c>
      <c r="K1287" s="10"/>
      <c r="L1287" s="10"/>
    </row>
    <row r="1288" spans="1:12" x14ac:dyDescent="0.25">
      <c r="A1288" s="21" t="s">
        <v>401</v>
      </c>
      <c r="B1288" s="12" t="s">
        <v>402</v>
      </c>
      <c r="C1288" s="11" t="s">
        <v>2805</v>
      </c>
      <c r="D1288" s="13" t="s">
        <v>247</v>
      </c>
      <c r="E1288" s="11">
        <v>560</v>
      </c>
      <c r="F1288" s="21" t="s">
        <v>403</v>
      </c>
      <c r="G1288" s="11" t="s">
        <v>402</v>
      </c>
      <c r="H1288" s="11" t="s">
        <v>2171</v>
      </c>
      <c r="I1288" s="12" t="s">
        <v>402</v>
      </c>
      <c r="J1288" s="11" t="s">
        <v>2805</v>
      </c>
      <c r="K1288" s="10"/>
      <c r="L1288" s="10"/>
    </row>
    <row r="1289" spans="1:12" x14ac:dyDescent="0.25">
      <c r="A1289" s="21" t="s">
        <v>841</v>
      </c>
      <c r="B1289" s="12" t="s">
        <v>842</v>
      </c>
      <c r="C1289" s="11" t="s">
        <v>2805</v>
      </c>
      <c r="D1289" s="13" t="s">
        <v>2226</v>
      </c>
      <c r="E1289" s="11">
        <v>598</v>
      </c>
      <c r="F1289" s="21" t="s">
        <v>843</v>
      </c>
      <c r="G1289" s="11" t="s">
        <v>842</v>
      </c>
      <c r="H1289" s="11" t="s">
        <v>2171</v>
      </c>
      <c r="I1289" s="12" t="s">
        <v>842</v>
      </c>
      <c r="J1289" s="11" t="s">
        <v>2805</v>
      </c>
      <c r="K1289" s="10"/>
      <c r="L1289" s="10"/>
    </row>
    <row r="1290" spans="1:12" x14ac:dyDescent="0.25">
      <c r="A1290" s="21" t="s">
        <v>844</v>
      </c>
      <c r="B1290" s="12" t="s">
        <v>845</v>
      </c>
      <c r="C1290" s="11" t="s">
        <v>2800</v>
      </c>
      <c r="D1290" s="13" t="s">
        <v>2190</v>
      </c>
      <c r="E1290" s="11">
        <v>192</v>
      </c>
      <c r="F1290" s="21" t="s">
        <v>846</v>
      </c>
      <c r="G1290" s="11" t="s">
        <v>845</v>
      </c>
      <c r="H1290" s="11" t="s">
        <v>2171</v>
      </c>
      <c r="I1290" s="12" t="s">
        <v>845</v>
      </c>
      <c r="J1290" s="11" t="s">
        <v>2800</v>
      </c>
      <c r="K1290" s="10"/>
      <c r="L1290" s="10"/>
    </row>
    <row r="1291" spans="1:12" x14ac:dyDescent="0.25">
      <c r="A1291" s="21" t="s">
        <v>2599</v>
      </c>
      <c r="B1291" s="12" t="s">
        <v>2600</v>
      </c>
      <c r="C1291" s="11" t="s">
        <v>2805</v>
      </c>
      <c r="D1291" s="13" t="s">
        <v>2248</v>
      </c>
      <c r="E1291" s="11">
        <v>512</v>
      </c>
      <c r="F1291" s="21" t="s">
        <v>2601</v>
      </c>
      <c r="G1291" s="11" t="s">
        <v>2600</v>
      </c>
      <c r="H1291" s="11" t="s">
        <v>2171</v>
      </c>
      <c r="I1291" s="12" t="s">
        <v>2600</v>
      </c>
      <c r="J1291" s="11" t="s">
        <v>2805</v>
      </c>
      <c r="K1291" s="10"/>
      <c r="L1291" s="10"/>
    </row>
    <row r="1292" spans="1:12" x14ac:dyDescent="0.25">
      <c r="A1292" s="21" t="s">
        <v>404</v>
      </c>
      <c r="B1292" s="12" t="s">
        <v>405</v>
      </c>
      <c r="C1292" s="11" t="s">
        <v>2805</v>
      </c>
      <c r="D1292" s="13" t="s">
        <v>234</v>
      </c>
      <c r="E1292" s="11">
        <v>344</v>
      </c>
      <c r="F1292" s="21" t="s">
        <v>406</v>
      </c>
      <c r="G1292" s="11" t="s">
        <v>405</v>
      </c>
      <c r="H1292" s="11" t="s">
        <v>2171</v>
      </c>
      <c r="I1292" s="12" t="s">
        <v>405</v>
      </c>
      <c r="J1292" s="11" t="s">
        <v>2805</v>
      </c>
      <c r="K1292" s="10"/>
      <c r="L1292" s="10"/>
    </row>
    <row r="1293" spans="1:12" x14ac:dyDescent="0.25">
      <c r="A1293" s="21" t="s">
        <v>407</v>
      </c>
      <c r="B1293" s="12" t="s">
        <v>408</v>
      </c>
      <c r="C1293" s="11" t="s">
        <v>2805</v>
      </c>
      <c r="D1293" s="13" t="s">
        <v>409</v>
      </c>
      <c r="E1293" s="11">
        <v>573</v>
      </c>
      <c r="F1293" s="21" t="s">
        <v>410</v>
      </c>
      <c r="G1293" s="11" t="s">
        <v>408</v>
      </c>
      <c r="H1293" s="11" t="s">
        <v>2171</v>
      </c>
      <c r="I1293" s="12" t="s">
        <v>408</v>
      </c>
      <c r="J1293" s="11" t="s">
        <v>2805</v>
      </c>
      <c r="K1293" s="10"/>
      <c r="L1293" s="10"/>
    </row>
    <row r="1294" spans="1:12" x14ac:dyDescent="0.25">
      <c r="A1294" s="21" t="s">
        <v>411</v>
      </c>
      <c r="B1294" s="12" t="s">
        <v>412</v>
      </c>
      <c r="C1294" s="11" t="s">
        <v>2805</v>
      </c>
      <c r="D1294" s="13" t="s">
        <v>247</v>
      </c>
      <c r="E1294" s="11">
        <v>180</v>
      </c>
      <c r="F1294" s="21" t="s">
        <v>413</v>
      </c>
      <c r="G1294" s="11" t="s">
        <v>412</v>
      </c>
      <c r="H1294" s="11" t="s">
        <v>2171</v>
      </c>
      <c r="I1294" s="12" t="s">
        <v>412</v>
      </c>
      <c r="J1294" s="11" t="s">
        <v>2805</v>
      </c>
      <c r="K1294" s="10"/>
      <c r="L1294" s="10"/>
    </row>
    <row r="1295" spans="1:12" x14ac:dyDescent="0.25">
      <c r="A1295" s="21" t="s">
        <v>2602</v>
      </c>
      <c r="B1295" s="12" t="s">
        <v>2603</v>
      </c>
      <c r="C1295" s="11" t="s">
        <v>2805</v>
      </c>
      <c r="D1295" s="13" t="s">
        <v>2674</v>
      </c>
      <c r="E1295" s="11">
        <v>1118</v>
      </c>
      <c r="F1295" s="21" t="s">
        <v>2604</v>
      </c>
      <c r="G1295" s="11" t="s">
        <v>2603</v>
      </c>
      <c r="H1295" s="11" t="s">
        <v>2171</v>
      </c>
      <c r="I1295" s="12" t="s">
        <v>2603</v>
      </c>
      <c r="J1295" s="11" t="s">
        <v>2805</v>
      </c>
      <c r="K1295" s="10"/>
      <c r="L1295" s="10"/>
    </row>
    <row r="1296" spans="1:12" x14ac:dyDescent="0.25">
      <c r="A1296" s="21" t="s">
        <v>414</v>
      </c>
      <c r="B1296" s="12" t="s">
        <v>3012</v>
      </c>
      <c r="C1296" s="11" t="s">
        <v>2805</v>
      </c>
      <c r="D1296" s="13" t="s">
        <v>2270</v>
      </c>
      <c r="E1296" s="11">
        <v>1096</v>
      </c>
      <c r="F1296" s="21" t="s">
        <v>3013</v>
      </c>
      <c r="G1296" s="11" t="s">
        <v>3012</v>
      </c>
      <c r="H1296" s="11" t="s">
        <v>2171</v>
      </c>
      <c r="I1296" s="12" t="s">
        <v>3012</v>
      </c>
      <c r="J1296" s="11" t="s">
        <v>2805</v>
      </c>
      <c r="K1296" s="10"/>
      <c r="L1296" s="10"/>
    </row>
    <row r="1297" spans="1:12" x14ac:dyDescent="0.25">
      <c r="A1297" s="21" t="s">
        <v>3014</v>
      </c>
      <c r="B1297" s="12" t="s">
        <v>3015</v>
      </c>
      <c r="C1297" s="11" t="s">
        <v>2800</v>
      </c>
      <c r="D1297" s="13" t="s">
        <v>2343</v>
      </c>
      <c r="E1297" s="11">
        <v>497</v>
      </c>
      <c r="F1297" s="21" t="s">
        <v>3016</v>
      </c>
      <c r="G1297" s="11" t="s">
        <v>3015</v>
      </c>
      <c r="H1297" s="11" t="s">
        <v>2171</v>
      </c>
      <c r="I1297" s="12" t="s">
        <v>3015</v>
      </c>
      <c r="J1297" s="11" t="s">
        <v>2800</v>
      </c>
      <c r="K1297" s="10"/>
      <c r="L1297" s="10"/>
    </row>
    <row r="1298" spans="1:12" x14ac:dyDescent="0.25">
      <c r="A1298" s="21" t="s">
        <v>2605</v>
      </c>
      <c r="B1298" s="12" t="s">
        <v>2606</v>
      </c>
      <c r="C1298" s="11" t="s">
        <v>2805</v>
      </c>
      <c r="D1298" s="13" t="s">
        <v>2226</v>
      </c>
      <c r="E1298" s="11">
        <v>1905</v>
      </c>
      <c r="F1298" s="21" t="s">
        <v>2607</v>
      </c>
      <c r="G1298" s="11" t="s">
        <v>2606</v>
      </c>
      <c r="H1298" s="11" t="s">
        <v>2171</v>
      </c>
      <c r="I1298" s="12" t="s">
        <v>2606</v>
      </c>
      <c r="J1298" s="11" t="s">
        <v>2805</v>
      </c>
      <c r="K1298" s="10"/>
      <c r="L1298" s="10"/>
    </row>
    <row r="1299" spans="1:12" x14ac:dyDescent="0.25">
      <c r="A1299" s="21" t="s">
        <v>2608</v>
      </c>
      <c r="B1299" s="12" t="s">
        <v>2609</v>
      </c>
      <c r="C1299" s="11" t="s">
        <v>2805</v>
      </c>
      <c r="D1299" s="13" t="s">
        <v>2610</v>
      </c>
      <c r="E1299" s="11" t="s">
        <v>2163</v>
      </c>
      <c r="F1299" s="21" t="s">
        <v>2611</v>
      </c>
      <c r="G1299" s="11" t="s">
        <v>2609</v>
      </c>
      <c r="H1299" s="11" t="s">
        <v>2171</v>
      </c>
      <c r="I1299" s="12" t="s">
        <v>2609</v>
      </c>
      <c r="J1299" s="11" t="s">
        <v>2805</v>
      </c>
      <c r="K1299" s="10"/>
      <c r="L1299" s="10"/>
    </row>
    <row r="1300" spans="1:12" x14ac:dyDescent="0.25">
      <c r="A1300" s="21" t="s">
        <v>2612</v>
      </c>
      <c r="B1300" s="12" t="s">
        <v>2613</v>
      </c>
      <c r="C1300" s="11" t="s">
        <v>2805</v>
      </c>
      <c r="D1300" s="13" t="s">
        <v>1291</v>
      </c>
      <c r="E1300" s="11">
        <v>602</v>
      </c>
      <c r="F1300" s="21" t="s">
        <v>2614</v>
      </c>
      <c r="G1300" s="11" t="s">
        <v>2613</v>
      </c>
      <c r="H1300" s="11" t="s">
        <v>2171</v>
      </c>
      <c r="I1300" s="12" t="s">
        <v>2613</v>
      </c>
      <c r="J1300" s="11" t="s">
        <v>2805</v>
      </c>
      <c r="K1300" s="10"/>
      <c r="L1300" s="10"/>
    </row>
    <row r="1301" spans="1:12" x14ac:dyDescent="0.25">
      <c r="A1301" s="21" t="s">
        <v>2615</v>
      </c>
      <c r="B1301" s="12" t="s">
        <v>2616</v>
      </c>
      <c r="C1301" s="11" t="s">
        <v>2805</v>
      </c>
      <c r="D1301" s="13" t="s">
        <v>1300</v>
      </c>
      <c r="E1301" s="11">
        <v>100</v>
      </c>
      <c r="F1301" s="21" t="s">
        <v>2617</v>
      </c>
      <c r="G1301" s="11" t="s">
        <v>2616</v>
      </c>
      <c r="H1301" s="11" t="s">
        <v>2171</v>
      </c>
      <c r="I1301" s="12" t="s">
        <v>2616</v>
      </c>
      <c r="J1301" s="11" t="s">
        <v>2805</v>
      </c>
      <c r="K1301" s="10"/>
      <c r="L1301" s="10"/>
    </row>
    <row r="1302" spans="1:12" x14ac:dyDescent="0.25">
      <c r="A1302" s="21" t="s">
        <v>2618</v>
      </c>
      <c r="B1302" s="12" t="s">
        <v>2619</v>
      </c>
      <c r="C1302" s="11" t="s">
        <v>2805</v>
      </c>
      <c r="D1302" s="13" t="s">
        <v>2226</v>
      </c>
      <c r="E1302" s="11">
        <v>200</v>
      </c>
      <c r="F1302" s="21" t="s">
        <v>2620</v>
      </c>
      <c r="G1302" s="11" t="s">
        <v>2619</v>
      </c>
      <c r="H1302" s="11" t="s">
        <v>2171</v>
      </c>
      <c r="I1302" s="12" t="s">
        <v>2619</v>
      </c>
      <c r="J1302" s="11" t="s">
        <v>2805</v>
      </c>
      <c r="K1302" s="10"/>
      <c r="L1302" s="10"/>
    </row>
    <row r="1303" spans="1:12" x14ac:dyDescent="0.25">
      <c r="A1303" s="21" t="s">
        <v>3017</v>
      </c>
      <c r="B1303" s="12" t="s">
        <v>3018</v>
      </c>
      <c r="C1303" s="11" t="s">
        <v>2805</v>
      </c>
      <c r="D1303" s="13">
        <v>59</v>
      </c>
      <c r="E1303" s="11">
        <v>446</v>
      </c>
      <c r="F1303" s="21" t="s">
        <v>3019</v>
      </c>
      <c r="G1303" s="11" t="s">
        <v>3018</v>
      </c>
      <c r="H1303" s="11" t="s">
        <v>2171</v>
      </c>
      <c r="I1303" s="12" t="s">
        <v>3018</v>
      </c>
      <c r="J1303" s="11" t="s">
        <v>2805</v>
      </c>
      <c r="K1303" s="10"/>
      <c r="L1303" s="10"/>
    </row>
    <row r="1304" spans="1:12" x14ac:dyDescent="0.25">
      <c r="A1304" s="21" t="s">
        <v>3020</v>
      </c>
      <c r="B1304" s="12" t="s">
        <v>3021</v>
      </c>
      <c r="C1304" s="11" t="s">
        <v>2800</v>
      </c>
      <c r="D1304" s="13" t="s">
        <v>255</v>
      </c>
      <c r="E1304" s="11">
        <v>802</v>
      </c>
      <c r="F1304" s="21" t="s">
        <v>3022</v>
      </c>
      <c r="G1304" s="11" t="s">
        <v>3021</v>
      </c>
      <c r="H1304" s="11" t="s">
        <v>2171</v>
      </c>
      <c r="I1304" s="12" t="s">
        <v>3021</v>
      </c>
      <c r="J1304" s="11" t="s">
        <v>2800</v>
      </c>
      <c r="K1304" s="10"/>
      <c r="L1304" s="10"/>
    </row>
    <row r="1305" spans="1:12" x14ac:dyDescent="0.25">
      <c r="A1305" s="21" t="s">
        <v>3023</v>
      </c>
      <c r="B1305" s="12" t="s">
        <v>3024</v>
      </c>
      <c r="C1305" s="11" t="s">
        <v>2805</v>
      </c>
      <c r="D1305" s="13" t="s">
        <v>3025</v>
      </c>
      <c r="E1305" s="11">
        <v>401</v>
      </c>
      <c r="F1305" s="21" t="s">
        <v>3026</v>
      </c>
      <c r="G1305" s="11" t="s">
        <v>3024</v>
      </c>
      <c r="H1305" s="11" t="s">
        <v>2171</v>
      </c>
      <c r="I1305" s="12" t="s">
        <v>3024</v>
      </c>
      <c r="J1305" s="11" t="s">
        <v>2805</v>
      </c>
      <c r="K1305" s="10"/>
      <c r="L1305" s="10"/>
    </row>
    <row r="1306" spans="1:12" x14ac:dyDescent="0.25">
      <c r="A1306" s="21" t="s">
        <v>3027</v>
      </c>
      <c r="B1306" s="12" t="s">
        <v>3028</v>
      </c>
      <c r="C1306" s="11" t="s">
        <v>2805</v>
      </c>
      <c r="D1306" s="13" t="s">
        <v>3029</v>
      </c>
      <c r="E1306" s="11">
        <v>1972</v>
      </c>
      <c r="F1306" s="21" t="s">
        <v>3030</v>
      </c>
      <c r="G1306" s="11" t="s">
        <v>3031</v>
      </c>
      <c r="H1306" s="11" t="s">
        <v>2171</v>
      </c>
      <c r="I1306" s="12" t="s">
        <v>3028</v>
      </c>
      <c r="J1306" s="11" t="s">
        <v>2805</v>
      </c>
      <c r="K1306" s="10"/>
      <c r="L1306" s="10"/>
    </row>
    <row r="1307" spans="1:12" x14ac:dyDescent="0.25">
      <c r="A1307" s="21" t="s">
        <v>2621</v>
      </c>
      <c r="B1307" s="12" t="s">
        <v>2622</v>
      </c>
      <c r="C1307" s="11" t="s">
        <v>2805</v>
      </c>
      <c r="D1307" s="13" t="s">
        <v>2623</v>
      </c>
      <c r="E1307" s="11">
        <v>0</v>
      </c>
      <c r="F1307" s="21" t="s">
        <v>2624</v>
      </c>
      <c r="G1307" s="11" t="s">
        <v>2622</v>
      </c>
      <c r="H1307" s="11" t="s">
        <v>2171</v>
      </c>
      <c r="I1307" s="12" t="s">
        <v>2622</v>
      </c>
      <c r="J1307" s="11" t="s">
        <v>2805</v>
      </c>
      <c r="K1307" s="10"/>
      <c r="L1307" s="10"/>
    </row>
    <row r="1308" spans="1:12" x14ac:dyDescent="0.25">
      <c r="A1308" s="21" t="s">
        <v>2632</v>
      </c>
      <c r="B1308" s="12" t="s">
        <v>2633</v>
      </c>
      <c r="C1308" s="11" t="s">
        <v>2805</v>
      </c>
      <c r="D1308" s="13" t="s">
        <v>234</v>
      </c>
      <c r="E1308" s="11">
        <v>735</v>
      </c>
      <c r="F1308" s="21" t="s">
        <v>2634</v>
      </c>
      <c r="G1308" s="11" t="s">
        <v>2633</v>
      </c>
      <c r="H1308" s="11" t="s">
        <v>2171</v>
      </c>
      <c r="I1308" s="12" t="s">
        <v>2633</v>
      </c>
      <c r="J1308" s="11" t="s">
        <v>2805</v>
      </c>
      <c r="K1308" s="10"/>
      <c r="L1308" s="10"/>
    </row>
    <row r="1309" spans="1:12" x14ac:dyDescent="0.25">
      <c r="A1309" s="21" t="s">
        <v>3032</v>
      </c>
      <c r="B1309" s="12" t="s">
        <v>3033</v>
      </c>
      <c r="C1309" s="11" t="s">
        <v>2805</v>
      </c>
      <c r="D1309" s="13" t="s">
        <v>2674</v>
      </c>
      <c r="E1309" s="11">
        <v>799</v>
      </c>
      <c r="F1309" s="21" t="s">
        <v>3034</v>
      </c>
      <c r="G1309" s="11" t="s">
        <v>3033</v>
      </c>
      <c r="H1309" s="11" t="s">
        <v>2171</v>
      </c>
      <c r="I1309" s="12" t="s">
        <v>3033</v>
      </c>
      <c r="J1309" s="11" t="s">
        <v>2805</v>
      </c>
      <c r="K1309" s="10"/>
      <c r="L1309" s="10"/>
    </row>
    <row r="1310" spans="1:12" x14ac:dyDescent="0.25">
      <c r="A1310" s="21" t="s">
        <v>2625</v>
      </c>
      <c r="B1310" s="12" t="s">
        <v>2626</v>
      </c>
      <c r="C1310" s="11" t="s">
        <v>2805</v>
      </c>
      <c r="D1310" s="13" t="s">
        <v>2190</v>
      </c>
      <c r="E1310" s="11">
        <v>1290</v>
      </c>
      <c r="F1310" s="21" t="s">
        <v>2627</v>
      </c>
      <c r="G1310" s="11" t="s">
        <v>2626</v>
      </c>
      <c r="H1310" s="11" t="s">
        <v>2171</v>
      </c>
      <c r="I1310" s="12" t="s">
        <v>2626</v>
      </c>
      <c r="J1310" s="11" t="s">
        <v>2805</v>
      </c>
      <c r="K1310" s="10"/>
      <c r="L1310" s="10"/>
    </row>
    <row r="1311" spans="1:12" x14ac:dyDescent="0.25">
      <c r="A1311" s="21" t="s">
        <v>2628</v>
      </c>
      <c r="B1311" s="12" t="s">
        <v>2629</v>
      </c>
      <c r="C1311" s="11" t="s">
        <v>2805</v>
      </c>
      <c r="D1311" s="13" t="s">
        <v>2630</v>
      </c>
      <c r="E1311" s="11">
        <v>362</v>
      </c>
      <c r="F1311" s="21" t="s">
        <v>2631</v>
      </c>
      <c r="G1311" s="11" t="s">
        <v>2629</v>
      </c>
      <c r="H1311" s="11" t="s">
        <v>2171</v>
      </c>
      <c r="I1311" s="12" t="s">
        <v>2629</v>
      </c>
      <c r="J1311" s="11" t="s">
        <v>2805</v>
      </c>
      <c r="K1311" s="10"/>
      <c r="L1311" s="10"/>
    </row>
    <row r="1312" spans="1:12" x14ac:dyDescent="0.25">
      <c r="A1312" s="21" t="s">
        <v>3035</v>
      </c>
      <c r="B1312" s="12" t="s">
        <v>3036</v>
      </c>
      <c r="C1312" s="11" t="s">
        <v>2805</v>
      </c>
      <c r="D1312" s="13" t="s">
        <v>2648</v>
      </c>
      <c r="E1312" s="11">
        <v>680</v>
      </c>
      <c r="F1312" s="21" t="s">
        <v>3037</v>
      </c>
      <c r="G1312" s="11" t="s">
        <v>3036</v>
      </c>
      <c r="H1312" s="11" t="s">
        <v>2171</v>
      </c>
      <c r="I1312" s="12" t="s">
        <v>3036</v>
      </c>
      <c r="J1312" s="11" t="s">
        <v>2805</v>
      </c>
      <c r="K1312" s="10"/>
      <c r="L1312" s="10"/>
    </row>
    <row r="1313" spans="1:12" x14ac:dyDescent="0.25">
      <c r="A1313" s="21" t="s">
        <v>3038</v>
      </c>
      <c r="B1313" s="12" t="s">
        <v>3039</v>
      </c>
      <c r="C1313" s="11" t="s">
        <v>2805</v>
      </c>
      <c r="D1313" s="13" t="s">
        <v>2226</v>
      </c>
      <c r="E1313" s="11">
        <v>2124</v>
      </c>
      <c r="F1313" s="21" t="s">
        <v>3040</v>
      </c>
      <c r="G1313" s="11" t="s">
        <v>3039</v>
      </c>
      <c r="H1313" s="11" t="s">
        <v>2171</v>
      </c>
      <c r="I1313" s="12" t="s">
        <v>3039</v>
      </c>
      <c r="J1313" s="11" t="s">
        <v>2805</v>
      </c>
      <c r="K1313" s="10"/>
      <c r="L1313" s="10"/>
    </row>
    <row r="1314" spans="1:12" x14ac:dyDescent="0.25">
      <c r="A1314" s="21" t="s">
        <v>2635</v>
      </c>
      <c r="B1314" s="12" t="s">
        <v>2636</v>
      </c>
      <c r="C1314" s="11" t="s">
        <v>2805</v>
      </c>
      <c r="D1314" s="13" t="s">
        <v>2262</v>
      </c>
      <c r="E1314" s="11">
        <v>755</v>
      </c>
      <c r="F1314" s="21" t="s">
        <v>2637</v>
      </c>
      <c r="G1314" s="11" t="s">
        <v>2636</v>
      </c>
      <c r="H1314" s="11" t="s">
        <v>2171</v>
      </c>
      <c r="I1314" s="12" t="s">
        <v>2636</v>
      </c>
      <c r="J1314" s="11" t="s">
        <v>2805</v>
      </c>
      <c r="K1314" s="10"/>
      <c r="L1314" s="10"/>
    </row>
    <row r="1315" spans="1:12" x14ac:dyDescent="0.25">
      <c r="A1315" s="21" t="s">
        <v>3868</v>
      </c>
      <c r="B1315" s="12" t="s">
        <v>3869</v>
      </c>
      <c r="C1315" s="11" t="s">
        <v>2805</v>
      </c>
      <c r="D1315" s="13" t="s">
        <v>4646</v>
      </c>
      <c r="E1315" s="11">
        <v>19</v>
      </c>
      <c r="F1315" s="21" t="s">
        <v>3870</v>
      </c>
      <c r="G1315" s="11" t="s">
        <v>3869</v>
      </c>
      <c r="H1315" s="11" t="s">
        <v>3867</v>
      </c>
      <c r="I1315" s="12" t="s">
        <v>3869</v>
      </c>
      <c r="J1315" s="11" t="s">
        <v>2805</v>
      </c>
      <c r="K1315" s="10"/>
      <c r="L1315" s="10"/>
    </row>
    <row r="1316" spans="1:12" x14ac:dyDescent="0.25">
      <c r="A1316" s="21" t="s">
        <v>3871</v>
      </c>
      <c r="B1316" s="12" t="s">
        <v>3872</v>
      </c>
      <c r="C1316" s="11" t="s">
        <v>2805</v>
      </c>
      <c r="D1316" s="13" t="s">
        <v>2190</v>
      </c>
      <c r="E1316" s="11">
        <v>20</v>
      </c>
      <c r="F1316" s="21" t="s">
        <v>3873</v>
      </c>
      <c r="G1316" s="11" t="s">
        <v>3872</v>
      </c>
      <c r="H1316" s="11" t="s">
        <v>3867</v>
      </c>
      <c r="I1316" s="12" t="s">
        <v>3872</v>
      </c>
      <c r="J1316" s="11" t="s">
        <v>2805</v>
      </c>
      <c r="K1316" s="10"/>
      <c r="L1316" s="10"/>
    </row>
    <row r="1317" spans="1:12" x14ac:dyDescent="0.25">
      <c r="A1317" s="21" t="s">
        <v>3874</v>
      </c>
      <c r="B1317" s="12" t="s">
        <v>1395</v>
      </c>
      <c r="C1317" s="11" t="s">
        <v>2805</v>
      </c>
      <c r="D1317" s="13" t="s">
        <v>2258</v>
      </c>
      <c r="E1317" s="11">
        <v>60</v>
      </c>
      <c r="F1317" s="21" t="s">
        <v>1396</v>
      </c>
      <c r="G1317" s="11" t="s">
        <v>1395</v>
      </c>
      <c r="H1317" s="11" t="s">
        <v>3867</v>
      </c>
      <c r="I1317" s="12" t="s">
        <v>1395</v>
      </c>
      <c r="J1317" s="11" t="s">
        <v>2805</v>
      </c>
      <c r="K1317" s="10"/>
      <c r="L1317" s="10"/>
    </row>
    <row r="1318" spans="1:12" x14ac:dyDescent="0.25">
      <c r="A1318" s="21" t="s">
        <v>1397</v>
      </c>
      <c r="B1318" s="12" t="s">
        <v>3146</v>
      </c>
      <c r="C1318" s="11" t="s">
        <v>2805</v>
      </c>
      <c r="D1318" s="13" t="s">
        <v>3147</v>
      </c>
      <c r="E1318" s="11">
        <v>100</v>
      </c>
      <c r="F1318" s="21" t="s">
        <v>3148</v>
      </c>
      <c r="G1318" s="11" t="s">
        <v>3146</v>
      </c>
      <c r="H1318" s="11" t="s">
        <v>3867</v>
      </c>
      <c r="I1318" s="12" t="s">
        <v>3146</v>
      </c>
      <c r="J1318" s="11" t="s">
        <v>2805</v>
      </c>
      <c r="K1318" s="10"/>
      <c r="L1318" s="10"/>
    </row>
    <row r="1319" spans="1:12" x14ac:dyDescent="0.25">
      <c r="A1319" s="21" t="s">
        <v>3149</v>
      </c>
      <c r="B1319" s="12" t="s">
        <v>3150</v>
      </c>
      <c r="C1319" s="11" t="s">
        <v>2805</v>
      </c>
      <c r="D1319" s="13" t="s">
        <v>4646</v>
      </c>
      <c r="E1319" s="11">
        <v>54</v>
      </c>
      <c r="F1319" s="21" t="s">
        <v>3151</v>
      </c>
      <c r="G1319" s="11" t="s">
        <v>3150</v>
      </c>
      <c r="H1319" s="11" t="s">
        <v>3867</v>
      </c>
      <c r="I1319" s="12" t="s">
        <v>3150</v>
      </c>
      <c r="J1319" s="11" t="s">
        <v>2805</v>
      </c>
      <c r="K1319" s="10"/>
      <c r="L1319" s="10"/>
    </row>
    <row r="1320" spans="1:12" x14ac:dyDescent="0.25">
      <c r="A1320" s="21" t="s">
        <v>3152</v>
      </c>
      <c r="B1320" s="12" t="s">
        <v>3153</v>
      </c>
      <c r="C1320" s="11" t="s">
        <v>2805</v>
      </c>
      <c r="D1320" s="13" t="s">
        <v>3154</v>
      </c>
      <c r="E1320" s="11" t="s">
        <v>2163</v>
      </c>
      <c r="F1320" s="21" t="s">
        <v>3155</v>
      </c>
      <c r="G1320" s="11" t="s">
        <v>3153</v>
      </c>
      <c r="H1320" s="11" t="s">
        <v>3867</v>
      </c>
      <c r="I1320" s="12" t="s">
        <v>3153</v>
      </c>
      <c r="J1320" s="11" t="s">
        <v>2805</v>
      </c>
      <c r="K1320" s="10"/>
      <c r="L1320" s="10"/>
    </row>
    <row r="1321" spans="1:12" x14ac:dyDescent="0.25">
      <c r="A1321" s="21" t="s">
        <v>3156</v>
      </c>
      <c r="B1321" s="12" t="s">
        <v>3157</v>
      </c>
      <c r="C1321" s="11" t="s">
        <v>2805</v>
      </c>
      <c r="D1321" s="13" t="s">
        <v>3158</v>
      </c>
      <c r="E1321" s="11">
        <v>0</v>
      </c>
      <c r="F1321" s="21" t="s">
        <v>3159</v>
      </c>
      <c r="G1321" s="11" t="s">
        <v>3157</v>
      </c>
      <c r="H1321" s="11" t="s">
        <v>3867</v>
      </c>
      <c r="I1321" s="12" t="s">
        <v>3157</v>
      </c>
      <c r="J1321" s="11" t="s">
        <v>2805</v>
      </c>
      <c r="K1321" s="10"/>
      <c r="L1321" s="10"/>
    </row>
    <row r="1322" spans="1:12" x14ac:dyDescent="0.25">
      <c r="A1322" s="21" t="s">
        <v>3160</v>
      </c>
      <c r="B1322" s="12" t="s">
        <v>3161</v>
      </c>
      <c r="C1322" s="11" t="s">
        <v>2805</v>
      </c>
      <c r="D1322" s="13" t="s">
        <v>4731</v>
      </c>
      <c r="E1322" s="11">
        <v>0</v>
      </c>
      <c r="F1322" s="21" t="s">
        <v>3162</v>
      </c>
      <c r="G1322" s="11" t="s">
        <v>3161</v>
      </c>
      <c r="H1322" s="11" t="s">
        <v>3867</v>
      </c>
      <c r="I1322" s="12" t="s">
        <v>3161</v>
      </c>
      <c r="J1322" s="11" t="s">
        <v>2805</v>
      </c>
      <c r="K1322" s="10"/>
      <c r="L1322" s="10"/>
    </row>
    <row r="1323" spans="1:12" x14ac:dyDescent="0.25">
      <c r="A1323" s="21" t="s">
        <v>3163</v>
      </c>
      <c r="B1323" s="12" t="s">
        <v>3164</v>
      </c>
      <c r="C1323" s="11" t="s">
        <v>2805</v>
      </c>
      <c r="D1323" s="13" t="s">
        <v>4300</v>
      </c>
      <c r="E1323" s="11">
        <v>195</v>
      </c>
      <c r="F1323" s="21" t="s">
        <v>3165</v>
      </c>
      <c r="G1323" s="11" t="s">
        <v>3164</v>
      </c>
      <c r="H1323" s="11" t="s">
        <v>3867</v>
      </c>
      <c r="I1323" s="12" t="s">
        <v>3164</v>
      </c>
      <c r="J1323" s="11" t="s">
        <v>2805</v>
      </c>
      <c r="K1323" s="10"/>
      <c r="L1323" s="10"/>
    </row>
    <row r="1324" spans="1:12" x14ac:dyDescent="0.25">
      <c r="A1324" s="21" t="s">
        <v>3166</v>
      </c>
      <c r="B1324" s="12" t="s">
        <v>3167</v>
      </c>
      <c r="C1324" s="11" t="s">
        <v>2805</v>
      </c>
      <c r="D1324" s="13" t="s">
        <v>3168</v>
      </c>
      <c r="E1324" s="11">
        <v>50</v>
      </c>
      <c r="F1324" s="21" t="s">
        <v>3169</v>
      </c>
      <c r="G1324" s="11" t="s">
        <v>3167</v>
      </c>
      <c r="H1324" s="11" t="s">
        <v>3867</v>
      </c>
      <c r="I1324" s="12" t="s">
        <v>3167</v>
      </c>
      <c r="J1324" s="11" t="s">
        <v>2805</v>
      </c>
      <c r="K1324" s="10"/>
      <c r="L1324" s="10"/>
    </row>
    <row r="1325" spans="1:12" x14ac:dyDescent="0.25">
      <c r="A1325" s="21" t="s">
        <v>3174</v>
      </c>
      <c r="B1325" s="12" t="s">
        <v>3175</v>
      </c>
      <c r="C1325" s="11" t="s">
        <v>2805</v>
      </c>
      <c r="D1325" s="13">
        <v>14</v>
      </c>
      <c r="E1325" s="11">
        <v>100</v>
      </c>
      <c r="F1325" s="21" t="s">
        <v>3176</v>
      </c>
      <c r="G1325" s="11" t="s">
        <v>3175</v>
      </c>
      <c r="H1325" s="11" t="s">
        <v>3867</v>
      </c>
      <c r="I1325" s="12" t="s">
        <v>3175</v>
      </c>
      <c r="J1325" s="11" t="s">
        <v>2805</v>
      </c>
      <c r="K1325" s="10"/>
      <c r="L1325" s="10"/>
    </row>
    <row r="1326" spans="1:12" x14ac:dyDescent="0.25">
      <c r="A1326" s="21" t="s">
        <v>3177</v>
      </c>
      <c r="B1326" s="12" t="s">
        <v>3178</v>
      </c>
      <c r="C1326" s="11" t="s">
        <v>2805</v>
      </c>
      <c r="D1326" s="13" t="s">
        <v>897</v>
      </c>
      <c r="E1326" s="11">
        <v>0</v>
      </c>
      <c r="F1326" s="21" t="s">
        <v>575</v>
      </c>
      <c r="G1326" s="11" t="s">
        <v>3178</v>
      </c>
      <c r="H1326" s="11" t="s">
        <v>3867</v>
      </c>
      <c r="I1326" s="12" t="s">
        <v>3178</v>
      </c>
      <c r="J1326" s="11" t="s">
        <v>2805</v>
      </c>
      <c r="K1326" s="10"/>
      <c r="L1326" s="10"/>
    </row>
    <row r="1327" spans="1:12" x14ac:dyDescent="0.25">
      <c r="A1327" s="21" t="s">
        <v>3170</v>
      </c>
      <c r="B1327" s="12" t="s">
        <v>3171</v>
      </c>
      <c r="C1327" s="11" t="s">
        <v>2805</v>
      </c>
      <c r="D1327" s="13" t="s">
        <v>2190</v>
      </c>
      <c r="E1327" s="11">
        <v>0</v>
      </c>
      <c r="F1327" s="21" t="s">
        <v>3172</v>
      </c>
      <c r="G1327" s="11" t="s">
        <v>3173</v>
      </c>
      <c r="H1327" s="11" t="s">
        <v>3867</v>
      </c>
      <c r="I1327" s="12" t="s">
        <v>3171</v>
      </c>
      <c r="J1327" s="11" t="s">
        <v>2805</v>
      </c>
      <c r="K1327" s="10"/>
      <c r="L1327" s="10"/>
    </row>
    <row r="1328" spans="1:12" x14ac:dyDescent="0.25">
      <c r="A1328" s="21" t="s">
        <v>576</v>
      </c>
      <c r="B1328" s="12" t="s">
        <v>577</v>
      </c>
      <c r="C1328" s="11" t="s">
        <v>2800</v>
      </c>
      <c r="D1328" s="13" t="s">
        <v>2190</v>
      </c>
      <c r="E1328" s="11">
        <v>261</v>
      </c>
      <c r="F1328" s="21" t="s">
        <v>578</v>
      </c>
      <c r="G1328" s="11" t="s">
        <v>577</v>
      </c>
      <c r="H1328" s="11" t="s">
        <v>3867</v>
      </c>
      <c r="I1328" s="12" t="s">
        <v>577</v>
      </c>
      <c r="J1328" s="11" t="s">
        <v>2800</v>
      </c>
      <c r="K1328" s="10"/>
      <c r="L1328" s="10"/>
    </row>
    <row r="1329" spans="1:12" x14ac:dyDescent="0.25">
      <c r="A1329" s="21" t="s">
        <v>579</v>
      </c>
      <c r="B1329" s="12" t="s">
        <v>580</v>
      </c>
      <c r="C1329" s="11" t="s">
        <v>2805</v>
      </c>
      <c r="D1329" s="13" t="s">
        <v>4718</v>
      </c>
      <c r="E1329" s="11">
        <v>0</v>
      </c>
      <c r="F1329" s="21" t="s">
        <v>581</v>
      </c>
      <c r="G1329" s="11" t="s">
        <v>580</v>
      </c>
      <c r="H1329" s="11" t="s">
        <v>3867</v>
      </c>
      <c r="I1329" s="12" t="s">
        <v>580</v>
      </c>
      <c r="J1329" s="11" t="s">
        <v>2805</v>
      </c>
      <c r="K1329" s="10"/>
      <c r="L1329" s="10"/>
    </row>
    <row r="1330" spans="1:12" x14ac:dyDescent="0.25">
      <c r="A1330" s="21" t="s">
        <v>582</v>
      </c>
      <c r="B1330" s="12" t="s">
        <v>583</v>
      </c>
      <c r="C1330" s="11" t="s">
        <v>2805</v>
      </c>
      <c r="D1330" s="13" t="s">
        <v>584</v>
      </c>
      <c r="E1330" s="11" t="s">
        <v>2163</v>
      </c>
      <c r="F1330" s="21" t="s">
        <v>585</v>
      </c>
      <c r="G1330" s="11" t="s">
        <v>583</v>
      </c>
      <c r="H1330" s="11" t="s">
        <v>3867</v>
      </c>
      <c r="I1330" s="12" t="s">
        <v>583</v>
      </c>
      <c r="J1330" s="11" t="s">
        <v>2805</v>
      </c>
      <c r="K1330" s="10"/>
      <c r="L1330" s="10"/>
    </row>
    <row r="1331" spans="1:12" x14ac:dyDescent="0.25">
      <c r="A1331" s="21" t="s">
        <v>586</v>
      </c>
      <c r="B1331" s="12" t="s">
        <v>587</v>
      </c>
      <c r="C1331" s="11" t="s">
        <v>2805</v>
      </c>
      <c r="D1331" s="13" t="s">
        <v>467</v>
      </c>
      <c r="E1331" s="11">
        <v>1</v>
      </c>
      <c r="F1331" s="21" t="s">
        <v>588</v>
      </c>
      <c r="G1331" s="11" t="s">
        <v>587</v>
      </c>
      <c r="H1331" s="11" t="s">
        <v>3867</v>
      </c>
      <c r="I1331" s="12" t="s">
        <v>587</v>
      </c>
      <c r="J1331" s="11" t="s">
        <v>2805</v>
      </c>
      <c r="K1331" s="10"/>
      <c r="L1331" s="10"/>
    </row>
    <row r="1332" spans="1:12" x14ac:dyDescent="0.25">
      <c r="A1332" s="21" t="s">
        <v>589</v>
      </c>
      <c r="B1332" s="12" t="s">
        <v>590</v>
      </c>
      <c r="C1332" s="11" t="s">
        <v>2805</v>
      </c>
      <c r="D1332" s="13" t="s">
        <v>1431</v>
      </c>
      <c r="E1332" s="11">
        <v>1</v>
      </c>
      <c r="F1332" s="21" t="s">
        <v>1432</v>
      </c>
      <c r="G1332" s="11" t="s">
        <v>590</v>
      </c>
      <c r="H1332" s="11" t="s">
        <v>3867</v>
      </c>
      <c r="I1332" s="12" t="s">
        <v>590</v>
      </c>
      <c r="J1332" s="11" t="s">
        <v>2805</v>
      </c>
      <c r="K1332" s="10"/>
      <c r="L1332" s="10"/>
    </row>
    <row r="1333" spans="1:12" x14ac:dyDescent="0.25">
      <c r="A1333" s="21" t="s">
        <v>1433</v>
      </c>
      <c r="B1333" s="12" t="s">
        <v>1434</v>
      </c>
      <c r="C1333" s="11" t="s">
        <v>2805</v>
      </c>
      <c r="D1333" s="13" t="s">
        <v>1394</v>
      </c>
      <c r="E1333" s="11" t="s">
        <v>2163</v>
      </c>
      <c r="F1333" s="21" t="s">
        <v>3187</v>
      </c>
      <c r="G1333" s="11" t="s">
        <v>1434</v>
      </c>
      <c r="H1333" s="11" t="s">
        <v>3867</v>
      </c>
      <c r="I1333" s="12" t="s">
        <v>1434</v>
      </c>
      <c r="J1333" s="11" t="s">
        <v>2805</v>
      </c>
      <c r="K1333" s="10"/>
      <c r="L1333" s="10"/>
    </row>
    <row r="1334" spans="1:12" x14ac:dyDescent="0.25">
      <c r="A1334" s="21" t="s">
        <v>3188</v>
      </c>
      <c r="B1334" s="12" t="s">
        <v>3189</v>
      </c>
      <c r="C1334" s="11" t="s">
        <v>2805</v>
      </c>
      <c r="D1334" s="13" t="s">
        <v>3867</v>
      </c>
      <c r="E1334" s="11">
        <v>350</v>
      </c>
      <c r="F1334" s="21" t="s">
        <v>3190</v>
      </c>
      <c r="G1334" s="11" t="s">
        <v>3189</v>
      </c>
      <c r="H1334" s="11" t="s">
        <v>3867</v>
      </c>
      <c r="I1334" s="12" t="s">
        <v>3189</v>
      </c>
      <c r="J1334" s="11" t="s">
        <v>2805</v>
      </c>
      <c r="K1334" s="10"/>
      <c r="L1334" s="10"/>
    </row>
    <row r="1335" spans="1:12" x14ac:dyDescent="0.25">
      <c r="A1335" s="21" t="s">
        <v>3191</v>
      </c>
      <c r="B1335" s="12" t="s">
        <v>3192</v>
      </c>
      <c r="C1335" s="11" t="s">
        <v>2805</v>
      </c>
      <c r="D1335" s="13" t="s">
        <v>2248</v>
      </c>
      <c r="E1335" s="11">
        <v>99</v>
      </c>
      <c r="F1335" s="21" t="s">
        <v>3193</v>
      </c>
      <c r="G1335" s="11" t="s">
        <v>3194</v>
      </c>
      <c r="H1335" s="11" t="s">
        <v>3867</v>
      </c>
      <c r="I1335" s="12" t="s">
        <v>3192</v>
      </c>
      <c r="J1335" s="11" t="s">
        <v>2805</v>
      </c>
      <c r="K1335" s="10"/>
      <c r="L1335" s="10"/>
    </row>
    <row r="1336" spans="1:12" x14ac:dyDescent="0.25">
      <c r="A1336" s="21" t="s">
        <v>3195</v>
      </c>
      <c r="B1336" s="12" t="s">
        <v>3196</v>
      </c>
      <c r="C1336" s="11" t="s">
        <v>2805</v>
      </c>
      <c r="D1336" s="13" t="s">
        <v>2226</v>
      </c>
      <c r="E1336" s="11">
        <v>1</v>
      </c>
      <c r="F1336" s="21" t="s">
        <v>3197</v>
      </c>
      <c r="G1336" s="11" t="s">
        <v>3198</v>
      </c>
      <c r="H1336" s="11" t="s">
        <v>3867</v>
      </c>
      <c r="I1336" s="12" t="s">
        <v>3196</v>
      </c>
      <c r="J1336" s="11" t="s">
        <v>2805</v>
      </c>
      <c r="K1336" s="10"/>
      <c r="L1336" s="10"/>
    </row>
    <row r="1337" spans="1:12" x14ac:dyDescent="0.25">
      <c r="A1337" s="21" t="s">
        <v>1391</v>
      </c>
      <c r="B1337" s="12" t="s">
        <v>1392</v>
      </c>
      <c r="C1337" s="11" t="s">
        <v>2800</v>
      </c>
      <c r="D1337" s="13" t="s">
        <v>2783</v>
      </c>
      <c r="E1337" s="11">
        <v>252</v>
      </c>
      <c r="F1337" s="21" t="s">
        <v>1393</v>
      </c>
      <c r="G1337" s="11" t="s">
        <v>3867</v>
      </c>
      <c r="H1337" s="11" t="s">
        <v>3867</v>
      </c>
      <c r="I1337" s="12" t="s">
        <v>1392</v>
      </c>
      <c r="J1337" s="11" t="s">
        <v>2800</v>
      </c>
      <c r="K1337" s="10"/>
      <c r="L1337" s="10"/>
    </row>
    <row r="1338" spans="1:12" x14ac:dyDescent="0.25">
      <c r="A1338" s="21" t="s">
        <v>3199</v>
      </c>
      <c r="B1338" s="12" t="s">
        <v>3200</v>
      </c>
      <c r="C1338" s="11" t="s">
        <v>2805</v>
      </c>
      <c r="D1338" s="13" t="s">
        <v>3201</v>
      </c>
      <c r="E1338" s="11">
        <v>105</v>
      </c>
      <c r="F1338" s="21" t="s">
        <v>3202</v>
      </c>
      <c r="G1338" s="11" t="s">
        <v>3200</v>
      </c>
      <c r="H1338" s="11" t="s">
        <v>3867</v>
      </c>
      <c r="I1338" s="12" t="s">
        <v>3200</v>
      </c>
      <c r="J1338" s="11" t="s">
        <v>2805</v>
      </c>
      <c r="K1338" s="10"/>
      <c r="L1338" s="10"/>
    </row>
    <row r="1339" spans="1:12" x14ac:dyDescent="0.25">
      <c r="A1339" s="21" t="s">
        <v>3203</v>
      </c>
      <c r="B1339" s="12" t="s">
        <v>3204</v>
      </c>
      <c r="C1339" s="11" t="s">
        <v>2805</v>
      </c>
      <c r="D1339" s="13" t="s">
        <v>4703</v>
      </c>
      <c r="E1339" s="11">
        <v>164</v>
      </c>
      <c r="F1339" s="21" t="s">
        <v>3205</v>
      </c>
      <c r="G1339" s="11" t="s">
        <v>3204</v>
      </c>
      <c r="H1339" s="11" t="s">
        <v>3867</v>
      </c>
      <c r="I1339" s="12" t="s">
        <v>3204</v>
      </c>
      <c r="J1339" s="11" t="s">
        <v>2805</v>
      </c>
      <c r="K1339" s="10"/>
      <c r="L1339" s="10"/>
    </row>
    <row r="1340" spans="1:12" x14ac:dyDescent="0.25">
      <c r="A1340" s="21" t="s">
        <v>3206</v>
      </c>
      <c r="B1340" s="12" t="s">
        <v>3207</v>
      </c>
      <c r="C1340" s="11" t="s">
        <v>2805</v>
      </c>
      <c r="D1340" s="13" t="s">
        <v>4311</v>
      </c>
      <c r="E1340" s="11">
        <v>0</v>
      </c>
      <c r="F1340" s="21" t="s">
        <v>3208</v>
      </c>
      <c r="G1340" s="11" t="s">
        <v>3207</v>
      </c>
      <c r="H1340" s="11" t="s">
        <v>3867</v>
      </c>
      <c r="I1340" s="12" t="s">
        <v>3207</v>
      </c>
      <c r="J1340" s="11" t="s">
        <v>2805</v>
      </c>
      <c r="K1340" s="10"/>
      <c r="L1340" s="10"/>
    </row>
    <row r="1341" spans="1:12" x14ac:dyDescent="0.25">
      <c r="A1341" s="21" t="s">
        <v>3209</v>
      </c>
      <c r="B1341" s="12" t="s">
        <v>3210</v>
      </c>
      <c r="C1341" s="11" t="s">
        <v>2805</v>
      </c>
      <c r="D1341" s="13" t="s">
        <v>84</v>
      </c>
      <c r="E1341" s="11">
        <v>766</v>
      </c>
      <c r="F1341" s="21" t="s">
        <v>3211</v>
      </c>
      <c r="G1341" s="11" t="s">
        <v>3210</v>
      </c>
      <c r="H1341" s="11" t="s">
        <v>3867</v>
      </c>
      <c r="I1341" s="12" t="s">
        <v>3210</v>
      </c>
      <c r="J1341" s="11" t="s">
        <v>2805</v>
      </c>
      <c r="K1341" s="10"/>
      <c r="L1341" s="10"/>
    </row>
    <row r="1342" spans="1:12" x14ac:dyDescent="0.25">
      <c r="A1342" s="21" t="s">
        <v>3212</v>
      </c>
      <c r="B1342" s="12" t="s">
        <v>3213</v>
      </c>
      <c r="C1342" s="11" t="s">
        <v>2805</v>
      </c>
      <c r="D1342" s="13" t="s">
        <v>2155</v>
      </c>
      <c r="E1342" s="11">
        <v>1</v>
      </c>
      <c r="F1342" s="21" t="s">
        <v>3214</v>
      </c>
      <c r="G1342" s="11" t="s">
        <v>3213</v>
      </c>
      <c r="H1342" s="11" t="s">
        <v>3867</v>
      </c>
      <c r="I1342" s="12" t="s">
        <v>3213</v>
      </c>
      <c r="J1342" s="11" t="s">
        <v>2805</v>
      </c>
      <c r="K1342" s="10"/>
      <c r="L1342" s="10"/>
    </row>
    <row r="1343" spans="1:12" x14ac:dyDescent="0.25">
      <c r="A1343" s="21" t="s">
        <v>3215</v>
      </c>
      <c r="B1343" s="12" t="s">
        <v>3216</v>
      </c>
      <c r="C1343" s="11" t="s">
        <v>2805</v>
      </c>
      <c r="D1343" s="13" t="s">
        <v>2226</v>
      </c>
      <c r="E1343" s="11">
        <v>0</v>
      </c>
      <c r="F1343" s="21" t="s">
        <v>3217</v>
      </c>
      <c r="G1343" s="11" t="s">
        <v>3216</v>
      </c>
      <c r="H1343" s="11" t="s">
        <v>3867</v>
      </c>
      <c r="I1343" s="12" t="s">
        <v>3216</v>
      </c>
      <c r="J1343" s="11" t="s">
        <v>2805</v>
      </c>
      <c r="K1343" s="10"/>
      <c r="L1343" s="10"/>
    </row>
    <row r="1344" spans="1:12" x14ac:dyDescent="0.25">
      <c r="A1344" s="21" t="s">
        <v>621</v>
      </c>
      <c r="B1344" s="12" t="s">
        <v>622</v>
      </c>
      <c r="C1344" s="11" t="s">
        <v>2800</v>
      </c>
      <c r="D1344" s="13" t="s">
        <v>2674</v>
      </c>
      <c r="E1344" s="11">
        <v>968</v>
      </c>
      <c r="F1344" s="21" t="s">
        <v>623</v>
      </c>
      <c r="G1344" s="11" t="s">
        <v>622</v>
      </c>
      <c r="H1344" s="11" t="s">
        <v>624</v>
      </c>
      <c r="I1344" s="12" t="s">
        <v>622</v>
      </c>
      <c r="J1344" s="11" t="s">
        <v>2800</v>
      </c>
      <c r="K1344" s="10"/>
      <c r="L1344" s="10"/>
    </row>
    <row r="1345" spans="1:12" x14ac:dyDescent="0.25">
      <c r="A1345" s="21" t="s">
        <v>628</v>
      </c>
      <c r="B1345" s="12" t="s">
        <v>629</v>
      </c>
      <c r="C1345" s="11" t="s">
        <v>2805</v>
      </c>
      <c r="D1345" s="13" t="s">
        <v>630</v>
      </c>
      <c r="E1345" s="11">
        <v>360</v>
      </c>
      <c r="F1345" s="21" t="s">
        <v>631</v>
      </c>
      <c r="G1345" s="11" t="s">
        <v>629</v>
      </c>
      <c r="H1345" s="11" t="s">
        <v>624</v>
      </c>
      <c r="I1345" s="12" t="s">
        <v>629</v>
      </c>
      <c r="J1345" s="11" t="s">
        <v>2805</v>
      </c>
      <c r="K1345" s="10"/>
      <c r="L1345" s="10"/>
    </row>
    <row r="1346" spans="1:12" x14ac:dyDescent="0.25">
      <c r="A1346" s="21" t="s">
        <v>625</v>
      </c>
      <c r="B1346" s="12" t="s">
        <v>626</v>
      </c>
      <c r="C1346" s="11" t="s">
        <v>2800</v>
      </c>
      <c r="D1346" s="13" t="s">
        <v>255</v>
      </c>
      <c r="E1346" s="11">
        <v>309</v>
      </c>
      <c r="F1346" s="21" t="s">
        <v>627</v>
      </c>
      <c r="G1346" s="11" t="s">
        <v>626</v>
      </c>
      <c r="H1346" s="11" t="s">
        <v>624</v>
      </c>
      <c r="I1346" s="12" t="s">
        <v>626</v>
      </c>
      <c r="J1346" s="11" t="s">
        <v>2800</v>
      </c>
      <c r="K1346" s="10"/>
      <c r="L1346" s="10"/>
    </row>
    <row r="1347" spans="1:12" x14ac:dyDescent="0.25">
      <c r="A1347" s="21" t="s">
        <v>1313</v>
      </c>
      <c r="B1347" s="12" t="s">
        <v>1314</v>
      </c>
      <c r="C1347" s="11" t="s">
        <v>2805</v>
      </c>
      <c r="D1347" s="13" t="s">
        <v>1315</v>
      </c>
      <c r="E1347" s="11">
        <v>1</v>
      </c>
      <c r="F1347" s="21" t="s">
        <v>1316</v>
      </c>
      <c r="G1347" s="11" t="s">
        <v>1314</v>
      </c>
      <c r="H1347" s="11" t="s">
        <v>4510</v>
      </c>
      <c r="I1347" s="12" t="s">
        <v>1314</v>
      </c>
      <c r="J1347" s="11" t="s">
        <v>2805</v>
      </c>
      <c r="K1347" s="10"/>
      <c r="L1347" s="10"/>
    </row>
    <row r="1348" spans="1:12" x14ac:dyDescent="0.25">
      <c r="A1348" s="21" t="s">
        <v>1317</v>
      </c>
      <c r="B1348" s="12" t="s">
        <v>1318</v>
      </c>
      <c r="C1348" s="11" t="s">
        <v>2805</v>
      </c>
      <c r="D1348" s="13" t="s">
        <v>1668</v>
      </c>
      <c r="E1348" s="11">
        <v>930</v>
      </c>
      <c r="F1348" s="21" t="s">
        <v>1319</v>
      </c>
      <c r="G1348" s="11" t="s">
        <v>1318</v>
      </c>
      <c r="H1348" s="11" t="s">
        <v>4510</v>
      </c>
      <c r="I1348" s="12" t="s">
        <v>1318</v>
      </c>
      <c r="J1348" s="11" t="s">
        <v>2805</v>
      </c>
      <c r="K1348" s="10"/>
      <c r="L1348" s="10"/>
    </row>
    <row r="1349" spans="1:12" x14ac:dyDescent="0.25">
      <c r="A1349" s="21" t="s">
        <v>1320</v>
      </c>
      <c r="B1349" s="12" t="s">
        <v>1072</v>
      </c>
      <c r="C1349" s="11" t="s">
        <v>2805</v>
      </c>
      <c r="D1349" s="13" t="s">
        <v>1321</v>
      </c>
      <c r="E1349" s="11">
        <v>100</v>
      </c>
      <c r="F1349" s="21" t="s">
        <v>1322</v>
      </c>
      <c r="G1349" s="11" t="s">
        <v>1323</v>
      </c>
      <c r="H1349" s="11" t="s">
        <v>4510</v>
      </c>
      <c r="I1349" s="12" t="s">
        <v>1072</v>
      </c>
      <c r="J1349" s="11" t="s">
        <v>2805</v>
      </c>
      <c r="K1349" s="10"/>
      <c r="L1349" s="10"/>
    </row>
    <row r="1350" spans="1:12" x14ac:dyDescent="0.25">
      <c r="A1350" s="21" t="s">
        <v>1324</v>
      </c>
      <c r="B1350" s="12" t="s">
        <v>1325</v>
      </c>
      <c r="C1350" s="11" t="s">
        <v>2805</v>
      </c>
      <c r="D1350" s="13" t="s">
        <v>255</v>
      </c>
      <c r="E1350" s="11">
        <v>200</v>
      </c>
      <c r="F1350" s="21" t="s">
        <v>1326</v>
      </c>
      <c r="G1350" s="11" t="s">
        <v>1327</v>
      </c>
      <c r="H1350" s="11" t="s">
        <v>4510</v>
      </c>
      <c r="I1350" s="12" t="s">
        <v>1325</v>
      </c>
      <c r="J1350" s="11" t="s">
        <v>2805</v>
      </c>
      <c r="K1350" s="10"/>
      <c r="L1350" s="10"/>
    </row>
    <row r="1351" spans="1:12" x14ac:dyDescent="0.25">
      <c r="A1351" s="21" t="s">
        <v>1328</v>
      </c>
      <c r="B1351" s="12" t="s">
        <v>2193</v>
      </c>
      <c r="C1351" s="11" t="s">
        <v>2805</v>
      </c>
      <c r="D1351" s="13" t="s">
        <v>1329</v>
      </c>
      <c r="E1351" s="11">
        <v>398</v>
      </c>
      <c r="F1351" s="21" t="s">
        <v>1330</v>
      </c>
      <c r="G1351" s="11" t="s">
        <v>2193</v>
      </c>
      <c r="H1351" s="11" t="s">
        <v>4510</v>
      </c>
      <c r="I1351" s="12" t="s">
        <v>2193</v>
      </c>
      <c r="J1351" s="11" t="s">
        <v>2805</v>
      </c>
      <c r="K1351" s="10"/>
      <c r="L1351" s="10"/>
    </row>
    <row r="1352" spans="1:12" x14ac:dyDescent="0.25">
      <c r="A1352" s="21" t="s">
        <v>1331</v>
      </c>
      <c r="B1352" s="12" t="s">
        <v>1332</v>
      </c>
      <c r="C1352" s="11" t="s">
        <v>2805</v>
      </c>
      <c r="D1352" s="13" t="s">
        <v>1333</v>
      </c>
      <c r="E1352" s="11" t="s">
        <v>2163</v>
      </c>
      <c r="F1352" s="21" t="s">
        <v>1334</v>
      </c>
      <c r="G1352" s="11" t="s">
        <v>1332</v>
      </c>
      <c r="H1352" s="11" t="s">
        <v>4510</v>
      </c>
      <c r="I1352" s="12" t="s">
        <v>1332</v>
      </c>
      <c r="J1352" s="11" t="s">
        <v>2805</v>
      </c>
      <c r="K1352" s="10"/>
      <c r="L1352" s="10"/>
    </row>
    <row r="1353" spans="1:12" x14ac:dyDescent="0.25">
      <c r="A1353" s="21" t="s">
        <v>1335</v>
      </c>
      <c r="B1353" s="12" t="s">
        <v>1336</v>
      </c>
      <c r="C1353" s="11" t="s">
        <v>2800</v>
      </c>
      <c r="D1353" s="13" t="s">
        <v>2247</v>
      </c>
      <c r="E1353" s="11">
        <v>305</v>
      </c>
      <c r="F1353" s="21" t="s">
        <v>1337</v>
      </c>
      <c r="G1353" s="11" t="s">
        <v>1336</v>
      </c>
      <c r="H1353" s="11" t="s">
        <v>4510</v>
      </c>
      <c r="I1353" s="12" t="s">
        <v>1336</v>
      </c>
      <c r="J1353" s="11" t="s">
        <v>2800</v>
      </c>
      <c r="K1353" s="10"/>
      <c r="L1353" s="10"/>
    </row>
    <row r="1354" spans="1:12" x14ac:dyDescent="0.25">
      <c r="A1354" s="21" t="s">
        <v>3105</v>
      </c>
      <c r="B1354" s="12" t="s">
        <v>3106</v>
      </c>
      <c r="C1354" s="11" t="s">
        <v>2805</v>
      </c>
      <c r="D1354" s="13" t="s">
        <v>3107</v>
      </c>
      <c r="E1354" s="11">
        <v>199</v>
      </c>
      <c r="F1354" s="21" t="s">
        <v>3108</v>
      </c>
      <c r="G1354" s="11" t="s">
        <v>3109</v>
      </c>
      <c r="H1354" s="11" t="s">
        <v>4510</v>
      </c>
      <c r="I1354" s="12" t="s">
        <v>3106</v>
      </c>
      <c r="J1354" s="11" t="s">
        <v>2805</v>
      </c>
      <c r="K1354" s="10"/>
      <c r="L1354" s="10"/>
    </row>
    <row r="1355" spans="1:12" x14ac:dyDescent="0.25">
      <c r="A1355" s="21" t="s">
        <v>1338</v>
      </c>
      <c r="B1355" s="12" t="s">
        <v>1339</v>
      </c>
      <c r="C1355" s="11" t="s">
        <v>2805</v>
      </c>
      <c r="D1355" s="13" t="s">
        <v>2190</v>
      </c>
      <c r="E1355" s="11">
        <v>380</v>
      </c>
      <c r="F1355" s="21" t="s">
        <v>1340</v>
      </c>
      <c r="G1355" s="11" t="s">
        <v>1339</v>
      </c>
      <c r="H1355" s="11" t="s">
        <v>4510</v>
      </c>
      <c r="I1355" s="12" t="s">
        <v>1339</v>
      </c>
      <c r="J1355" s="11" t="s">
        <v>2805</v>
      </c>
      <c r="K1355" s="10"/>
      <c r="L1355" s="10"/>
    </row>
    <row r="1356" spans="1:12" x14ac:dyDescent="0.25">
      <c r="A1356" s="21" t="s">
        <v>1341</v>
      </c>
      <c r="B1356" s="12" t="s">
        <v>1342</v>
      </c>
      <c r="C1356" s="11" t="s">
        <v>2805</v>
      </c>
      <c r="D1356" s="13" t="s">
        <v>255</v>
      </c>
      <c r="E1356" s="11">
        <v>12</v>
      </c>
      <c r="F1356" s="21" t="s">
        <v>1343</v>
      </c>
      <c r="G1356" s="11" t="s">
        <v>1342</v>
      </c>
      <c r="H1356" s="11" t="s">
        <v>4510</v>
      </c>
      <c r="I1356" s="12" t="s">
        <v>1342</v>
      </c>
      <c r="J1356" s="11" t="s">
        <v>2805</v>
      </c>
      <c r="K1356" s="10"/>
      <c r="L1356" s="10"/>
    </row>
    <row r="1357" spans="1:12" x14ac:dyDescent="0.25">
      <c r="A1357" s="21" t="s">
        <v>1351</v>
      </c>
      <c r="B1357" s="12" t="s">
        <v>1352</v>
      </c>
      <c r="C1357" s="11" t="s">
        <v>2805</v>
      </c>
      <c r="D1357" s="13" t="s">
        <v>2206</v>
      </c>
      <c r="E1357" s="11">
        <v>402</v>
      </c>
      <c r="F1357" s="21" t="s">
        <v>1353</v>
      </c>
      <c r="G1357" s="11" t="s">
        <v>2676</v>
      </c>
      <c r="H1357" s="11" t="s">
        <v>4510</v>
      </c>
      <c r="I1357" s="12" t="s">
        <v>1352</v>
      </c>
      <c r="J1357" s="11" t="s">
        <v>2805</v>
      </c>
      <c r="K1357" s="10"/>
      <c r="L1357" s="10"/>
    </row>
    <row r="1358" spans="1:12" x14ac:dyDescent="0.25">
      <c r="A1358" s="21" t="s">
        <v>1354</v>
      </c>
      <c r="B1358" s="12" t="s">
        <v>1355</v>
      </c>
      <c r="C1358" s="11" t="s">
        <v>2805</v>
      </c>
      <c r="D1358" s="13" t="s">
        <v>1668</v>
      </c>
      <c r="E1358" s="11">
        <v>142</v>
      </c>
      <c r="F1358" s="21" t="s">
        <v>1356</v>
      </c>
      <c r="G1358" s="11" t="s">
        <v>1355</v>
      </c>
      <c r="H1358" s="11" t="s">
        <v>4510</v>
      </c>
      <c r="I1358" s="12" t="s">
        <v>1355</v>
      </c>
      <c r="J1358" s="11" t="s">
        <v>2805</v>
      </c>
      <c r="K1358" s="10"/>
      <c r="L1358" s="10"/>
    </row>
    <row r="1359" spans="1:12" x14ac:dyDescent="0.25">
      <c r="A1359" s="21" t="s">
        <v>3113</v>
      </c>
      <c r="B1359" s="12" t="s">
        <v>3114</v>
      </c>
      <c r="C1359" s="11" t="s">
        <v>2805</v>
      </c>
      <c r="D1359" s="13" t="s">
        <v>2799</v>
      </c>
      <c r="E1359" s="11">
        <v>101</v>
      </c>
      <c r="F1359" s="21" t="s">
        <v>3115</v>
      </c>
      <c r="G1359" s="11" t="s">
        <v>3114</v>
      </c>
      <c r="H1359" s="11" t="s">
        <v>4510</v>
      </c>
      <c r="I1359" s="12" t="s">
        <v>3114</v>
      </c>
      <c r="J1359" s="11" t="s">
        <v>2805</v>
      </c>
      <c r="K1359" s="10"/>
      <c r="L1359" s="10"/>
    </row>
    <row r="1360" spans="1:12" x14ac:dyDescent="0.25">
      <c r="A1360" s="21" t="s">
        <v>3088</v>
      </c>
      <c r="B1360" s="12" t="s">
        <v>3089</v>
      </c>
      <c r="C1360" s="11" t="s">
        <v>2805</v>
      </c>
      <c r="D1360" s="13" t="s">
        <v>259</v>
      </c>
      <c r="E1360" s="11">
        <v>1</v>
      </c>
      <c r="F1360" s="21" t="s">
        <v>3090</v>
      </c>
      <c r="G1360" s="11" t="s">
        <v>3089</v>
      </c>
      <c r="H1360" s="11" t="s">
        <v>4510</v>
      </c>
      <c r="I1360" s="12" t="s">
        <v>3089</v>
      </c>
      <c r="J1360" s="11" t="s">
        <v>2805</v>
      </c>
      <c r="K1360" s="10"/>
      <c r="L1360" s="10"/>
    </row>
    <row r="1361" spans="1:12" x14ac:dyDescent="0.25">
      <c r="A1361" s="21" t="s">
        <v>3085</v>
      </c>
      <c r="B1361" s="12" t="s">
        <v>3086</v>
      </c>
      <c r="C1361" s="11" t="s">
        <v>2805</v>
      </c>
      <c r="D1361" s="13" t="s">
        <v>2226</v>
      </c>
      <c r="E1361" s="11">
        <v>0</v>
      </c>
      <c r="F1361" s="21" t="s">
        <v>3087</v>
      </c>
      <c r="G1361" s="11" t="s">
        <v>3086</v>
      </c>
      <c r="H1361" s="11" t="s">
        <v>4510</v>
      </c>
      <c r="I1361" s="12" t="s">
        <v>3086</v>
      </c>
      <c r="J1361" s="11" t="s">
        <v>2805</v>
      </c>
      <c r="K1361" s="10"/>
      <c r="L1361" s="10"/>
    </row>
    <row r="1362" spans="1:12" x14ac:dyDescent="0.25">
      <c r="A1362" s="21" t="s">
        <v>3101</v>
      </c>
      <c r="B1362" s="12" t="s">
        <v>3102</v>
      </c>
      <c r="C1362" s="11" t="s">
        <v>2805</v>
      </c>
      <c r="D1362" s="13" t="s">
        <v>3103</v>
      </c>
      <c r="E1362" s="11">
        <v>15</v>
      </c>
      <c r="F1362" s="21" t="s">
        <v>3104</v>
      </c>
      <c r="G1362" s="11" t="s">
        <v>3102</v>
      </c>
      <c r="H1362" s="11" t="s">
        <v>4510</v>
      </c>
      <c r="I1362" s="12" t="s">
        <v>3102</v>
      </c>
      <c r="J1362" s="11" t="s">
        <v>2805</v>
      </c>
      <c r="K1362" s="10"/>
      <c r="L1362" s="10"/>
    </row>
    <row r="1363" spans="1:12" x14ac:dyDescent="0.25">
      <c r="A1363" s="21" t="s">
        <v>3091</v>
      </c>
      <c r="B1363" s="12" t="s">
        <v>3092</v>
      </c>
      <c r="C1363" s="11" t="s">
        <v>2805</v>
      </c>
      <c r="D1363" s="13">
        <v>1</v>
      </c>
      <c r="E1363" s="11" t="s">
        <v>2163</v>
      </c>
      <c r="F1363" s="21" t="s">
        <v>3093</v>
      </c>
      <c r="G1363" s="11" t="s">
        <v>3092</v>
      </c>
      <c r="H1363" s="11" t="s">
        <v>4510</v>
      </c>
      <c r="I1363" s="12" t="s">
        <v>3092</v>
      </c>
      <c r="J1363" s="11" t="s">
        <v>2805</v>
      </c>
      <c r="K1363" s="10"/>
      <c r="L1363" s="10"/>
    </row>
    <row r="1364" spans="1:12" x14ac:dyDescent="0.25">
      <c r="A1364" s="21" t="s">
        <v>3094</v>
      </c>
      <c r="B1364" s="12" t="s">
        <v>3095</v>
      </c>
      <c r="C1364" s="11" t="s">
        <v>2805</v>
      </c>
      <c r="D1364" s="13" t="s">
        <v>3096</v>
      </c>
      <c r="E1364" s="11">
        <v>0</v>
      </c>
      <c r="F1364" s="21" t="s">
        <v>3097</v>
      </c>
      <c r="G1364" s="11" t="s">
        <v>3095</v>
      </c>
      <c r="H1364" s="11" t="s">
        <v>4510</v>
      </c>
      <c r="I1364" s="12" t="s">
        <v>3095</v>
      </c>
      <c r="J1364" s="11" t="s">
        <v>2805</v>
      </c>
      <c r="K1364" s="10"/>
      <c r="L1364" s="10"/>
    </row>
    <row r="1365" spans="1:12" x14ac:dyDescent="0.25">
      <c r="A1365" s="21" t="s">
        <v>3098</v>
      </c>
      <c r="B1365" s="12" t="s">
        <v>3099</v>
      </c>
      <c r="C1365" s="11" t="s">
        <v>2805</v>
      </c>
      <c r="D1365" s="13" t="s">
        <v>255</v>
      </c>
      <c r="E1365" s="11">
        <v>125</v>
      </c>
      <c r="F1365" s="21" t="s">
        <v>3100</v>
      </c>
      <c r="G1365" s="11" t="s">
        <v>3099</v>
      </c>
      <c r="H1365" s="11" t="s">
        <v>4510</v>
      </c>
      <c r="I1365" s="12" t="s">
        <v>3099</v>
      </c>
      <c r="J1365" s="11" t="s">
        <v>2805</v>
      </c>
      <c r="K1365" s="10"/>
      <c r="L1365" s="10"/>
    </row>
    <row r="1366" spans="1:12" x14ac:dyDescent="0.25">
      <c r="A1366" s="21" t="s">
        <v>3110</v>
      </c>
      <c r="B1366" s="12" t="s">
        <v>3111</v>
      </c>
      <c r="C1366" s="11" t="s">
        <v>2805</v>
      </c>
      <c r="D1366" s="13" t="s">
        <v>1479</v>
      </c>
      <c r="E1366" s="11">
        <v>247</v>
      </c>
      <c r="F1366" s="21" t="s">
        <v>3112</v>
      </c>
      <c r="G1366" s="11" t="s">
        <v>3111</v>
      </c>
      <c r="H1366" s="11" t="s">
        <v>4510</v>
      </c>
      <c r="I1366" s="12" t="s">
        <v>3111</v>
      </c>
      <c r="J1366" s="11" t="s">
        <v>2805</v>
      </c>
      <c r="K1366" s="10"/>
      <c r="L1366" s="10"/>
    </row>
    <row r="1367" spans="1:12" x14ac:dyDescent="0.25">
      <c r="A1367" s="21" t="s">
        <v>517</v>
      </c>
      <c r="B1367" s="12" t="s">
        <v>518</v>
      </c>
      <c r="C1367" s="11" t="s">
        <v>2805</v>
      </c>
      <c r="D1367" s="13" t="s">
        <v>247</v>
      </c>
      <c r="E1367" s="11">
        <v>64</v>
      </c>
      <c r="F1367" s="21" t="s">
        <v>519</v>
      </c>
      <c r="G1367" s="11" t="s">
        <v>518</v>
      </c>
      <c r="H1367" s="11" t="s">
        <v>4510</v>
      </c>
      <c r="I1367" s="12" t="s">
        <v>518</v>
      </c>
      <c r="J1367" s="11" t="s">
        <v>2805</v>
      </c>
      <c r="K1367" s="10"/>
      <c r="L1367" s="10"/>
    </row>
    <row r="1368" spans="1:12" x14ac:dyDescent="0.25">
      <c r="A1368" s="21" t="s">
        <v>1304</v>
      </c>
      <c r="B1368" s="12" t="s">
        <v>1305</v>
      </c>
      <c r="C1368" s="11" t="s">
        <v>2800</v>
      </c>
      <c r="D1368" s="13" t="s">
        <v>4311</v>
      </c>
      <c r="E1368" s="11">
        <v>815</v>
      </c>
      <c r="F1368" s="21" t="s">
        <v>1306</v>
      </c>
      <c r="G1368" s="11" t="s">
        <v>1303</v>
      </c>
      <c r="H1368" s="11" t="s">
        <v>4510</v>
      </c>
      <c r="I1368" s="12" t="s">
        <v>1305</v>
      </c>
      <c r="J1368" s="11" t="s">
        <v>2800</v>
      </c>
      <c r="K1368" s="10"/>
      <c r="L1368" s="10"/>
    </row>
    <row r="1369" spans="1:12" x14ac:dyDescent="0.25">
      <c r="A1369" s="21" t="s">
        <v>1307</v>
      </c>
      <c r="B1369" s="12" t="s">
        <v>1308</v>
      </c>
      <c r="C1369" s="11" t="s">
        <v>2800</v>
      </c>
      <c r="D1369" s="13" t="s">
        <v>1045</v>
      </c>
      <c r="E1369" s="11">
        <v>340</v>
      </c>
      <c r="F1369" s="21" t="s">
        <v>1309</v>
      </c>
      <c r="G1369" s="11" t="s">
        <v>1303</v>
      </c>
      <c r="H1369" s="11" t="s">
        <v>4510</v>
      </c>
      <c r="I1369" s="12" t="s">
        <v>1308</v>
      </c>
      <c r="J1369" s="11" t="s">
        <v>2800</v>
      </c>
      <c r="K1369" s="10"/>
      <c r="L1369" s="10"/>
    </row>
    <row r="1370" spans="1:12" x14ac:dyDescent="0.25">
      <c r="A1370" s="21" t="s">
        <v>1310</v>
      </c>
      <c r="B1370" s="12" t="s">
        <v>1311</v>
      </c>
      <c r="C1370" s="11" t="s">
        <v>2805</v>
      </c>
      <c r="D1370" s="13" t="s">
        <v>1106</v>
      </c>
      <c r="E1370" s="11">
        <v>477</v>
      </c>
      <c r="F1370" s="21" t="s">
        <v>1312</v>
      </c>
      <c r="G1370" s="11" t="s">
        <v>1303</v>
      </c>
      <c r="H1370" s="11" t="s">
        <v>4510</v>
      </c>
      <c r="I1370" s="12" t="s">
        <v>1311</v>
      </c>
      <c r="J1370" s="11" t="s">
        <v>2805</v>
      </c>
      <c r="K1370" s="10"/>
      <c r="L1370" s="10"/>
    </row>
    <row r="1371" spans="1:12" x14ac:dyDescent="0.25">
      <c r="A1371" s="21" t="s">
        <v>3044</v>
      </c>
      <c r="B1371" s="12" t="s">
        <v>4510</v>
      </c>
      <c r="C1371" s="11" t="s">
        <v>2800</v>
      </c>
      <c r="D1371" s="13" t="s">
        <v>1301</v>
      </c>
      <c r="E1371" s="11">
        <v>540</v>
      </c>
      <c r="F1371" s="21" t="s">
        <v>1302</v>
      </c>
      <c r="G1371" s="11" t="s">
        <v>1303</v>
      </c>
      <c r="H1371" s="11" t="s">
        <v>4510</v>
      </c>
      <c r="I1371" s="12" t="s">
        <v>4510</v>
      </c>
      <c r="J1371" s="11" t="s">
        <v>2800</v>
      </c>
      <c r="K1371" s="10"/>
      <c r="L1371" s="10"/>
    </row>
    <row r="1372" spans="1:12" x14ac:dyDescent="0.25">
      <c r="A1372" s="21" t="s">
        <v>3116</v>
      </c>
      <c r="B1372" s="12" t="s">
        <v>3117</v>
      </c>
      <c r="C1372" s="11" t="s">
        <v>2805</v>
      </c>
      <c r="D1372" s="13" t="s">
        <v>247</v>
      </c>
      <c r="E1372" s="11">
        <v>240</v>
      </c>
      <c r="F1372" s="21" t="s">
        <v>3118</v>
      </c>
      <c r="G1372" s="11" t="s">
        <v>3117</v>
      </c>
      <c r="H1372" s="11" t="s">
        <v>4510</v>
      </c>
      <c r="I1372" s="12" t="s">
        <v>3117</v>
      </c>
      <c r="J1372" s="11" t="s">
        <v>2805</v>
      </c>
      <c r="K1372" s="10"/>
      <c r="L1372" s="10"/>
    </row>
    <row r="1373" spans="1:12" x14ac:dyDescent="0.25">
      <c r="A1373" s="21" t="s">
        <v>3119</v>
      </c>
      <c r="B1373" s="12" t="s">
        <v>3120</v>
      </c>
      <c r="C1373" s="11" t="s">
        <v>2805</v>
      </c>
      <c r="D1373" s="13" t="s">
        <v>861</v>
      </c>
      <c r="E1373" s="11">
        <v>1</v>
      </c>
      <c r="F1373" s="21" t="s">
        <v>3121</v>
      </c>
      <c r="G1373" s="11" t="s">
        <v>3122</v>
      </c>
      <c r="H1373" s="11" t="s">
        <v>4510</v>
      </c>
      <c r="I1373" s="12" t="s">
        <v>3120</v>
      </c>
      <c r="J1373" s="11" t="s">
        <v>2805</v>
      </c>
      <c r="K1373" s="10"/>
      <c r="L1373" s="10"/>
    </row>
    <row r="1374" spans="1:12" x14ac:dyDescent="0.25">
      <c r="A1374" s="21" t="s">
        <v>1344</v>
      </c>
      <c r="B1374" s="12" t="s">
        <v>1345</v>
      </c>
      <c r="C1374" s="11" t="s">
        <v>2805</v>
      </c>
      <c r="D1374" s="13" t="s">
        <v>2132</v>
      </c>
      <c r="E1374" s="11">
        <v>0</v>
      </c>
      <c r="F1374" s="21" t="s">
        <v>1346</v>
      </c>
      <c r="G1374" s="11" t="s">
        <v>4762</v>
      </c>
      <c r="H1374" s="11" t="s">
        <v>4510</v>
      </c>
      <c r="I1374" s="12" t="s">
        <v>1345</v>
      </c>
      <c r="J1374" s="11" t="s">
        <v>2805</v>
      </c>
      <c r="K1374" s="10"/>
      <c r="L1374" s="10"/>
    </row>
    <row r="1375" spans="1:12" x14ac:dyDescent="0.25">
      <c r="A1375" s="21" t="s">
        <v>1347</v>
      </c>
      <c r="B1375" s="12" t="s">
        <v>1348</v>
      </c>
      <c r="C1375" s="11" t="s">
        <v>2805</v>
      </c>
      <c r="D1375" s="13" t="s">
        <v>1349</v>
      </c>
      <c r="E1375" s="11">
        <v>170</v>
      </c>
      <c r="F1375" s="21" t="s">
        <v>1350</v>
      </c>
      <c r="G1375" s="11" t="s">
        <v>353</v>
      </c>
      <c r="H1375" s="11" t="s">
        <v>4510</v>
      </c>
      <c r="I1375" s="12" t="s">
        <v>1348</v>
      </c>
      <c r="J1375" s="11" t="s">
        <v>2805</v>
      </c>
      <c r="K1375" s="10"/>
      <c r="L1375" s="10"/>
    </row>
    <row r="1376" spans="1:12" x14ac:dyDescent="0.25">
      <c r="A1376" s="21" t="s">
        <v>3123</v>
      </c>
      <c r="B1376" s="12" t="s">
        <v>3124</v>
      </c>
      <c r="C1376" s="11" t="s">
        <v>2805</v>
      </c>
      <c r="D1376" s="13" t="s">
        <v>84</v>
      </c>
      <c r="E1376" s="11">
        <v>455</v>
      </c>
      <c r="F1376" s="21" t="s">
        <v>3125</v>
      </c>
      <c r="G1376" s="11" t="s">
        <v>3124</v>
      </c>
      <c r="H1376" s="11" t="s">
        <v>4510</v>
      </c>
      <c r="I1376" s="12" t="s">
        <v>3124</v>
      </c>
      <c r="J1376" s="11" t="s">
        <v>2805</v>
      </c>
      <c r="K1376" s="10"/>
      <c r="L1376" s="10"/>
    </row>
    <row r="1377" spans="1:12" x14ac:dyDescent="0.25">
      <c r="A1377" s="21" t="s">
        <v>3126</v>
      </c>
      <c r="B1377" s="12" t="s">
        <v>3127</v>
      </c>
      <c r="C1377" s="11" t="s">
        <v>2805</v>
      </c>
      <c r="D1377" s="13" t="s">
        <v>247</v>
      </c>
      <c r="E1377" s="11">
        <v>1</v>
      </c>
      <c r="F1377" s="21" t="s">
        <v>3128</v>
      </c>
      <c r="G1377" s="11" t="s">
        <v>3127</v>
      </c>
      <c r="H1377" s="11" t="s">
        <v>4510</v>
      </c>
      <c r="I1377" s="12" t="s">
        <v>3127</v>
      </c>
      <c r="J1377" s="11" t="s">
        <v>2805</v>
      </c>
      <c r="K1377" s="10"/>
      <c r="L1377" s="10"/>
    </row>
    <row r="1378" spans="1:12" x14ac:dyDescent="0.25">
      <c r="A1378" s="21" t="s">
        <v>3129</v>
      </c>
      <c r="B1378" s="12" t="s">
        <v>3130</v>
      </c>
      <c r="C1378" s="11" t="s">
        <v>2805</v>
      </c>
      <c r="D1378" s="13" t="s">
        <v>3131</v>
      </c>
      <c r="E1378" s="11">
        <v>15</v>
      </c>
      <c r="F1378" s="21" t="s">
        <v>3132</v>
      </c>
      <c r="G1378" s="11" t="s">
        <v>3130</v>
      </c>
      <c r="H1378" s="11" t="s">
        <v>4510</v>
      </c>
      <c r="I1378" s="12" t="s">
        <v>3130</v>
      </c>
      <c r="J1378" s="11" t="s">
        <v>2805</v>
      </c>
      <c r="K1378" s="10"/>
      <c r="L1378" s="10"/>
    </row>
    <row r="1379" spans="1:12" x14ac:dyDescent="0.25">
      <c r="A1379" s="21" t="s">
        <v>3133</v>
      </c>
      <c r="B1379" s="12" t="s">
        <v>3134</v>
      </c>
      <c r="C1379" s="11" t="s">
        <v>2805</v>
      </c>
      <c r="D1379" s="13" t="s">
        <v>3135</v>
      </c>
      <c r="E1379" s="11" t="s">
        <v>2163</v>
      </c>
      <c r="F1379" s="21" t="s">
        <v>3136</v>
      </c>
      <c r="G1379" s="11" t="s">
        <v>3134</v>
      </c>
      <c r="H1379" s="11" t="s">
        <v>4510</v>
      </c>
      <c r="I1379" s="12" t="s">
        <v>3134</v>
      </c>
      <c r="J1379" s="11" t="s">
        <v>2805</v>
      </c>
      <c r="K1379" s="10"/>
      <c r="L1379" s="10"/>
    </row>
    <row r="1380" spans="1:12" x14ac:dyDescent="0.25">
      <c r="A1380" s="21" t="s">
        <v>3137</v>
      </c>
      <c r="B1380" s="12" t="s">
        <v>3138</v>
      </c>
      <c r="C1380" s="11" t="s">
        <v>2805</v>
      </c>
      <c r="D1380" s="13" t="s">
        <v>3139</v>
      </c>
      <c r="E1380" s="11">
        <v>1</v>
      </c>
      <c r="F1380" s="21" t="s">
        <v>3140</v>
      </c>
      <c r="G1380" s="11" t="s">
        <v>3141</v>
      </c>
      <c r="H1380" s="11" t="s">
        <v>4510</v>
      </c>
      <c r="I1380" s="12" t="s">
        <v>3138</v>
      </c>
      <c r="J1380" s="11" t="s">
        <v>2805</v>
      </c>
      <c r="K1380" s="10"/>
      <c r="L1380" s="10"/>
    </row>
    <row r="1381" spans="1:12" x14ac:dyDescent="0.25">
      <c r="A1381" s="21" t="s">
        <v>3142</v>
      </c>
      <c r="B1381" s="12" t="s">
        <v>3143</v>
      </c>
      <c r="C1381" s="11" t="s">
        <v>2805</v>
      </c>
      <c r="D1381" s="13" t="s">
        <v>2782</v>
      </c>
      <c r="E1381" s="11">
        <v>101</v>
      </c>
      <c r="F1381" s="21" t="s">
        <v>3144</v>
      </c>
      <c r="G1381" s="11" t="s">
        <v>3145</v>
      </c>
      <c r="H1381" s="11" t="s">
        <v>4510</v>
      </c>
      <c r="I1381" s="12" t="s">
        <v>3143</v>
      </c>
      <c r="J1381" s="11" t="s">
        <v>2805</v>
      </c>
      <c r="K1381" s="10"/>
      <c r="L1381" s="10"/>
    </row>
    <row r="1382" spans="1:12" x14ac:dyDescent="0.25">
      <c r="A1382" s="21" t="s">
        <v>513</v>
      </c>
      <c r="B1382" s="12" t="s">
        <v>514</v>
      </c>
      <c r="C1382" s="11" t="s">
        <v>2805</v>
      </c>
      <c r="D1382" s="13" t="s">
        <v>515</v>
      </c>
      <c r="E1382" s="11">
        <v>2021</v>
      </c>
      <c r="F1382" s="21" t="s">
        <v>516</v>
      </c>
      <c r="G1382" s="11" t="s">
        <v>514</v>
      </c>
      <c r="H1382" s="11" t="s">
        <v>4510</v>
      </c>
      <c r="I1382" s="12" t="s">
        <v>514</v>
      </c>
      <c r="J1382" s="11" t="s">
        <v>2805</v>
      </c>
      <c r="K1382" s="10"/>
      <c r="L1382" s="10"/>
    </row>
    <row r="1383" spans="1:12" s="10" customFormat="1" x14ac:dyDescent="0.25">
      <c r="A1383" s="20" t="s">
        <v>2823</v>
      </c>
      <c r="D1383" s="25"/>
      <c r="E1383" s="7"/>
      <c r="F1383" s="26">
        <v>6660</v>
      </c>
      <c r="G1383" s="7" t="s">
        <v>2226</v>
      </c>
      <c r="H1383" s="7" t="s">
        <v>2783</v>
      </c>
      <c r="I1383" s="8" t="s">
        <v>2226</v>
      </c>
      <c r="J1383" s="7" t="s">
        <v>2805</v>
      </c>
    </row>
    <row r="1384" spans="1:12" s="10" customFormat="1" x14ac:dyDescent="0.25">
      <c r="A1384" s="21" t="s">
        <v>1100</v>
      </c>
      <c r="D1384" s="25"/>
      <c r="E1384" s="11"/>
      <c r="F1384" s="26">
        <v>6405</v>
      </c>
      <c r="G1384" s="11" t="s">
        <v>1101</v>
      </c>
      <c r="H1384" s="11" t="s">
        <v>2783</v>
      </c>
      <c r="I1384" s="12" t="s">
        <v>1101</v>
      </c>
      <c r="J1384" s="11" t="s">
        <v>2805</v>
      </c>
    </row>
    <row r="1385" spans="1:12" s="10" customFormat="1" x14ac:dyDescent="0.25">
      <c r="A1385" s="21" t="s">
        <v>961</v>
      </c>
      <c r="D1385" s="25"/>
      <c r="E1385" s="11"/>
      <c r="F1385" s="26">
        <v>6500</v>
      </c>
      <c r="G1385" s="11" t="s">
        <v>234</v>
      </c>
      <c r="H1385" s="11" t="s">
        <v>2783</v>
      </c>
      <c r="I1385" s="12" t="s">
        <v>234</v>
      </c>
      <c r="J1385" s="11" t="s">
        <v>2800</v>
      </c>
    </row>
    <row r="1386" spans="1:12" s="10" customFormat="1" x14ac:dyDescent="0.25">
      <c r="A1386" s="21" t="s">
        <v>4705</v>
      </c>
      <c r="D1386" s="25"/>
      <c r="E1386" s="11"/>
      <c r="F1386" s="26">
        <v>1641</v>
      </c>
      <c r="G1386" s="11" t="s">
        <v>4706</v>
      </c>
      <c r="H1386" s="11" t="s">
        <v>2783</v>
      </c>
      <c r="I1386" s="12" t="s">
        <v>4706</v>
      </c>
      <c r="J1386" s="11" t="s">
        <v>2800</v>
      </c>
    </row>
    <row r="1387" spans="1:12" s="10" customFormat="1" x14ac:dyDescent="0.25">
      <c r="A1387" s="21" t="s">
        <v>2833</v>
      </c>
      <c r="D1387" s="25"/>
      <c r="E1387" s="11"/>
      <c r="F1387" s="26">
        <v>2717</v>
      </c>
      <c r="G1387" s="11" t="s">
        <v>2834</v>
      </c>
      <c r="H1387" s="11" t="s">
        <v>2783</v>
      </c>
      <c r="I1387" s="12" t="s">
        <v>2834</v>
      </c>
      <c r="J1387" s="11" t="s">
        <v>2805</v>
      </c>
    </row>
    <row r="1388" spans="1:12" s="10" customFormat="1" x14ac:dyDescent="0.25">
      <c r="A1388" s="21" t="s">
        <v>428</v>
      </c>
      <c r="D1388" s="25"/>
      <c r="E1388" s="11"/>
      <c r="F1388" s="26">
        <v>7513</v>
      </c>
      <c r="G1388" s="11" t="s">
        <v>429</v>
      </c>
      <c r="H1388" s="11" t="s">
        <v>2783</v>
      </c>
      <c r="I1388" s="12" t="s">
        <v>429</v>
      </c>
      <c r="J1388" s="11" t="s">
        <v>2805</v>
      </c>
    </row>
    <row r="1389" spans="1:12" s="10" customFormat="1" x14ac:dyDescent="0.25">
      <c r="A1389" s="21" t="s">
        <v>2241</v>
      </c>
      <c r="D1389" s="25"/>
      <c r="E1389" s="11"/>
      <c r="F1389" s="26">
        <v>1846</v>
      </c>
      <c r="G1389" s="11" t="s">
        <v>2245</v>
      </c>
      <c r="H1389" s="11" t="s">
        <v>2783</v>
      </c>
      <c r="I1389" s="12" t="s">
        <v>2242</v>
      </c>
      <c r="J1389" s="11" t="s">
        <v>2800</v>
      </c>
    </row>
    <row r="1390" spans="1:12" s="10" customFormat="1" x14ac:dyDescent="0.25">
      <c r="A1390" s="21" t="s">
        <v>4421</v>
      </c>
      <c r="D1390" s="25"/>
      <c r="E1390" s="11"/>
      <c r="F1390" s="26">
        <v>6634</v>
      </c>
      <c r="G1390" s="11" t="s">
        <v>4422</v>
      </c>
      <c r="H1390" s="11" t="s">
        <v>2783</v>
      </c>
      <c r="I1390" s="12" t="s">
        <v>4422</v>
      </c>
      <c r="J1390" s="11" t="s">
        <v>2805</v>
      </c>
    </row>
    <row r="1391" spans="1:12" s="10" customFormat="1" x14ac:dyDescent="0.25">
      <c r="A1391" s="21" t="s">
        <v>1767</v>
      </c>
      <c r="D1391" s="25"/>
      <c r="E1391" s="11"/>
      <c r="F1391" s="26">
        <v>1864</v>
      </c>
      <c r="G1391" s="11" t="s">
        <v>1768</v>
      </c>
      <c r="H1391" s="11" t="s">
        <v>2783</v>
      </c>
      <c r="I1391" s="12" t="s">
        <v>1768</v>
      </c>
      <c r="J1391" s="11" t="s">
        <v>2805</v>
      </c>
    </row>
    <row r="1392" spans="1:12" s="10" customFormat="1" x14ac:dyDescent="0.25">
      <c r="A1392" s="21" t="s">
        <v>2837</v>
      </c>
      <c r="D1392" s="25"/>
      <c r="E1392" s="11"/>
      <c r="F1392" s="26">
        <v>2938</v>
      </c>
      <c r="G1392" s="11" t="s">
        <v>2186</v>
      </c>
      <c r="H1392" s="11" t="s">
        <v>2783</v>
      </c>
      <c r="I1392" s="12" t="s">
        <v>2186</v>
      </c>
      <c r="J1392" s="11" t="s">
        <v>2805</v>
      </c>
    </row>
    <row r="1393" spans="1:10" s="10" customFormat="1" x14ac:dyDescent="0.25">
      <c r="A1393" s="21" t="s">
        <v>4428</v>
      </c>
      <c r="D1393" s="25"/>
      <c r="E1393" s="11"/>
      <c r="F1393" s="26">
        <v>6237</v>
      </c>
      <c r="G1393" s="11" t="s">
        <v>4429</v>
      </c>
      <c r="H1393" s="11" t="s">
        <v>2783</v>
      </c>
      <c r="I1393" s="12" t="s">
        <v>4429</v>
      </c>
      <c r="J1393" s="11" t="s">
        <v>2805</v>
      </c>
    </row>
    <row r="1394" spans="1:10" s="10" customFormat="1" x14ac:dyDescent="0.25">
      <c r="A1394" s="21" t="s">
        <v>4432</v>
      </c>
      <c r="D1394" s="25"/>
      <c r="E1394" s="11"/>
      <c r="F1394" s="26">
        <v>6075</v>
      </c>
      <c r="G1394" s="11" t="s">
        <v>4433</v>
      </c>
      <c r="H1394" s="11" t="s">
        <v>2783</v>
      </c>
      <c r="I1394" s="12" t="s">
        <v>4433</v>
      </c>
      <c r="J1394" s="11" t="s">
        <v>2805</v>
      </c>
    </row>
    <row r="1395" spans="1:10" s="10" customFormat="1" x14ac:dyDescent="0.25">
      <c r="A1395" s="21" t="s">
        <v>2839</v>
      </c>
      <c r="D1395" s="25"/>
      <c r="E1395" s="11"/>
      <c r="F1395" s="26">
        <v>2740</v>
      </c>
      <c r="G1395" s="11" t="s">
        <v>2840</v>
      </c>
      <c r="H1395" s="11" t="s">
        <v>2783</v>
      </c>
      <c r="I1395" s="12" t="s">
        <v>2840</v>
      </c>
      <c r="J1395" s="11" t="s">
        <v>2805</v>
      </c>
    </row>
    <row r="1396" spans="1:10" s="10" customFormat="1" x14ac:dyDescent="0.25">
      <c r="A1396" s="21" t="s">
        <v>4436</v>
      </c>
      <c r="D1396" s="25"/>
      <c r="E1396" s="11"/>
      <c r="F1396" s="26">
        <v>6007</v>
      </c>
      <c r="G1396" s="11" t="s">
        <v>4437</v>
      </c>
      <c r="H1396" s="11" t="s">
        <v>2783</v>
      </c>
      <c r="I1396" s="12" t="s">
        <v>4437</v>
      </c>
      <c r="J1396" s="11" t="s">
        <v>2805</v>
      </c>
    </row>
    <row r="1397" spans="1:10" s="10" customFormat="1" x14ac:dyDescent="0.25">
      <c r="A1397" s="21" t="s">
        <v>436</v>
      </c>
      <c r="D1397" s="25"/>
      <c r="E1397" s="11"/>
      <c r="F1397" s="26">
        <v>8172</v>
      </c>
      <c r="G1397" s="11" t="s">
        <v>437</v>
      </c>
      <c r="H1397" s="11" t="s">
        <v>2783</v>
      </c>
      <c r="I1397" s="12" t="s">
        <v>437</v>
      </c>
      <c r="J1397" s="11" t="s">
        <v>2805</v>
      </c>
    </row>
    <row r="1398" spans="1:10" s="10" customFormat="1" x14ac:dyDescent="0.25">
      <c r="A1398" s="21" t="s">
        <v>4440</v>
      </c>
      <c r="D1398" s="25"/>
      <c r="E1398" s="11"/>
      <c r="F1398" s="26">
        <v>2743</v>
      </c>
      <c r="G1398" s="11" t="s">
        <v>4441</v>
      </c>
      <c r="H1398" s="11" t="s">
        <v>2783</v>
      </c>
      <c r="I1398" s="12" t="s">
        <v>4441</v>
      </c>
      <c r="J1398" s="11" t="s">
        <v>2805</v>
      </c>
    </row>
    <row r="1399" spans="1:10" s="10" customFormat="1" x14ac:dyDescent="0.25">
      <c r="A1399" s="21" t="s">
        <v>4443</v>
      </c>
      <c r="D1399" s="25"/>
      <c r="E1399" s="11"/>
      <c r="F1399" s="26">
        <v>6003</v>
      </c>
      <c r="G1399" s="11" t="s">
        <v>4446</v>
      </c>
      <c r="H1399" s="11" t="s">
        <v>2783</v>
      </c>
      <c r="I1399" s="12" t="s">
        <v>4444</v>
      </c>
      <c r="J1399" s="11" t="s">
        <v>2805</v>
      </c>
    </row>
    <row r="1400" spans="1:10" s="10" customFormat="1" x14ac:dyDescent="0.25">
      <c r="A1400" s="21" t="s">
        <v>2246</v>
      </c>
      <c r="D1400" s="25"/>
      <c r="E1400" s="11"/>
      <c r="F1400" s="26">
        <v>1870</v>
      </c>
      <c r="G1400" s="11" t="s">
        <v>2247</v>
      </c>
      <c r="H1400" s="11" t="s">
        <v>2783</v>
      </c>
      <c r="I1400" s="12" t="s">
        <v>2247</v>
      </c>
      <c r="J1400" s="11" t="s">
        <v>2800</v>
      </c>
    </row>
    <row r="1401" spans="1:10" s="10" customFormat="1" x14ac:dyDescent="0.25">
      <c r="A1401" s="21" t="s">
        <v>1770</v>
      </c>
      <c r="D1401" s="25"/>
      <c r="E1401" s="11"/>
      <c r="F1401" s="26">
        <v>7150</v>
      </c>
      <c r="G1401" s="11" t="s">
        <v>1771</v>
      </c>
      <c r="H1401" s="11" t="s">
        <v>2783</v>
      </c>
      <c r="I1401" s="12" t="s">
        <v>1771</v>
      </c>
      <c r="J1401" s="11" t="s">
        <v>2805</v>
      </c>
    </row>
    <row r="1402" spans="1:10" s="10" customFormat="1" x14ac:dyDescent="0.25">
      <c r="A1402" s="21" t="s">
        <v>440</v>
      </c>
      <c r="D1402" s="25"/>
      <c r="E1402" s="11"/>
      <c r="F1402" s="26">
        <v>7300</v>
      </c>
      <c r="G1402" s="11" t="s">
        <v>441</v>
      </c>
      <c r="H1402" s="11" t="s">
        <v>2783</v>
      </c>
      <c r="I1402" s="12" t="s">
        <v>441</v>
      </c>
      <c r="J1402" s="11" t="s">
        <v>2800</v>
      </c>
    </row>
    <row r="1403" spans="1:10" s="10" customFormat="1" x14ac:dyDescent="0.25">
      <c r="A1403" s="21" t="s">
        <v>2948</v>
      </c>
      <c r="D1403" s="25"/>
      <c r="E1403" s="11"/>
      <c r="F1403" s="26">
        <v>8000</v>
      </c>
      <c r="G1403" s="11" t="s">
        <v>2943</v>
      </c>
      <c r="H1403" s="11" t="s">
        <v>2783</v>
      </c>
      <c r="I1403" s="12" t="s">
        <v>2949</v>
      </c>
      <c r="J1403" s="11" t="s">
        <v>2805</v>
      </c>
    </row>
    <row r="1404" spans="1:10" s="10" customFormat="1" x14ac:dyDescent="0.25">
      <c r="A1404" s="21" t="s">
        <v>364</v>
      </c>
      <c r="D1404" s="25"/>
      <c r="E1404" s="11"/>
      <c r="F1404" s="26">
        <v>8000</v>
      </c>
      <c r="G1404" s="11" t="s">
        <v>2943</v>
      </c>
      <c r="H1404" s="11" t="s">
        <v>2783</v>
      </c>
      <c r="I1404" s="12" t="s">
        <v>2943</v>
      </c>
      <c r="J1404" s="11" t="s">
        <v>2800</v>
      </c>
    </row>
    <row r="1405" spans="1:10" s="10" customFormat="1" x14ac:dyDescent="0.25">
      <c r="A1405" s="21" t="s">
        <v>3434</v>
      </c>
      <c r="D1405" s="25"/>
      <c r="E1405" s="11"/>
      <c r="F1405" s="26">
        <v>8003</v>
      </c>
      <c r="G1405" s="11" t="s">
        <v>2943</v>
      </c>
      <c r="H1405" s="11" t="s">
        <v>2783</v>
      </c>
      <c r="I1405" s="12" t="s">
        <v>3435</v>
      </c>
      <c r="J1405" s="11" t="s">
        <v>2805</v>
      </c>
    </row>
    <row r="1406" spans="1:10" s="10" customFormat="1" x14ac:dyDescent="0.25">
      <c r="A1406" s="21" t="s">
        <v>2945</v>
      </c>
      <c r="D1406" s="25"/>
      <c r="E1406" s="11"/>
      <c r="F1406" s="26">
        <v>8001</v>
      </c>
      <c r="G1406" s="11" t="s">
        <v>2943</v>
      </c>
      <c r="H1406" s="11" t="s">
        <v>2783</v>
      </c>
      <c r="I1406" s="12" t="s">
        <v>2946</v>
      </c>
      <c r="J1406" s="11" t="s">
        <v>2805</v>
      </c>
    </row>
    <row r="1407" spans="1:10" s="10" customFormat="1" x14ac:dyDescent="0.25">
      <c r="A1407" s="21" t="s">
        <v>4261</v>
      </c>
      <c r="D1407" s="25"/>
      <c r="E1407" s="11"/>
      <c r="F1407" s="26">
        <v>7620</v>
      </c>
      <c r="G1407" s="11" t="s">
        <v>4262</v>
      </c>
      <c r="H1407" s="11" t="s">
        <v>2783</v>
      </c>
      <c r="I1407" s="12" t="s">
        <v>4262</v>
      </c>
      <c r="J1407" s="11" t="s">
        <v>2800</v>
      </c>
    </row>
    <row r="1408" spans="1:10" s="10" customFormat="1" x14ac:dyDescent="0.25">
      <c r="A1408" s="21" t="s">
        <v>444</v>
      </c>
      <c r="D1408" s="25"/>
      <c r="E1408" s="11"/>
      <c r="F1408" s="26">
        <v>7505</v>
      </c>
      <c r="G1408" s="11" t="s">
        <v>445</v>
      </c>
      <c r="H1408" s="11" t="s">
        <v>2783</v>
      </c>
      <c r="I1408" s="12" t="s">
        <v>445</v>
      </c>
      <c r="J1408" s="11" t="s">
        <v>2805</v>
      </c>
    </row>
    <row r="1409" spans="1:10" s="10" customFormat="1" x14ac:dyDescent="0.25">
      <c r="A1409" s="21" t="s">
        <v>4447</v>
      </c>
      <c r="D1409" s="25"/>
      <c r="E1409" s="11"/>
      <c r="F1409" s="26">
        <v>6244</v>
      </c>
      <c r="G1409" s="11" t="s">
        <v>4448</v>
      </c>
      <c r="H1409" s="11" t="s">
        <v>2783</v>
      </c>
      <c r="I1409" s="12" t="s">
        <v>4448</v>
      </c>
      <c r="J1409" s="11" t="s">
        <v>2805</v>
      </c>
    </row>
    <row r="1410" spans="1:10" s="10" customFormat="1" x14ac:dyDescent="0.25">
      <c r="A1410" s="21" t="s">
        <v>4154</v>
      </c>
      <c r="D1410" s="25"/>
      <c r="E1410" s="11"/>
      <c r="F1410" s="26">
        <v>1828</v>
      </c>
      <c r="G1410" s="11" t="s">
        <v>4155</v>
      </c>
      <c r="H1410" s="11" t="s">
        <v>2783</v>
      </c>
      <c r="I1410" s="12" t="s">
        <v>4155</v>
      </c>
      <c r="J1410" s="11" t="s">
        <v>2800</v>
      </c>
    </row>
    <row r="1411" spans="1:10" s="10" customFormat="1" x14ac:dyDescent="0.25">
      <c r="A1411" s="21" t="s">
        <v>2842</v>
      </c>
      <c r="D1411" s="25"/>
      <c r="E1411" s="11"/>
      <c r="F1411" s="26">
        <v>2942</v>
      </c>
      <c r="G1411" s="11" t="s">
        <v>2843</v>
      </c>
      <c r="H1411" s="11" t="s">
        <v>2783</v>
      </c>
      <c r="I1411" s="12" t="s">
        <v>2843</v>
      </c>
      <c r="J1411" s="11" t="s">
        <v>2805</v>
      </c>
    </row>
    <row r="1412" spans="1:10" s="10" customFormat="1" x14ac:dyDescent="0.25">
      <c r="A1412" s="21" t="s">
        <v>2393</v>
      </c>
      <c r="D1412" s="25"/>
      <c r="E1412" s="11"/>
      <c r="F1412" s="26">
        <v>7601</v>
      </c>
      <c r="G1412" s="11" t="s">
        <v>2394</v>
      </c>
      <c r="H1412" s="11" t="s">
        <v>2783</v>
      </c>
      <c r="I1412" s="12" t="s">
        <v>2394</v>
      </c>
      <c r="J1412" s="11" t="s">
        <v>2805</v>
      </c>
    </row>
    <row r="1413" spans="1:10" s="10" customFormat="1" x14ac:dyDescent="0.25">
      <c r="A1413" s="21" t="s">
        <v>451</v>
      </c>
      <c r="D1413" s="25"/>
      <c r="E1413" s="11"/>
      <c r="F1413" s="26">
        <v>8113</v>
      </c>
      <c r="G1413" s="11" t="s">
        <v>452</v>
      </c>
      <c r="H1413" s="11" t="s">
        <v>2783</v>
      </c>
      <c r="I1413" s="12" t="s">
        <v>452</v>
      </c>
      <c r="J1413" s="11" t="s">
        <v>2805</v>
      </c>
    </row>
    <row r="1414" spans="1:10" s="10" customFormat="1" x14ac:dyDescent="0.25">
      <c r="A1414" s="21" t="s">
        <v>1132</v>
      </c>
      <c r="D1414" s="25"/>
      <c r="E1414" s="11"/>
      <c r="F1414" s="26">
        <v>1625</v>
      </c>
      <c r="G1414" s="11" t="s">
        <v>1135</v>
      </c>
      <c r="H1414" s="11" t="s">
        <v>2783</v>
      </c>
      <c r="I1414" s="12" t="s">
        <v>1133</v>
      </c>
      <c r="J1414" s="11" t="s">
        <v>2800</v>
      </c>
    </row>
    <row r="1415" spans="1:10" s="10" customFormat="1" x14ac:dyDescent="0.25">
      <c r="A1415" s="21" t="s">
        <v>2192</v>
      </c>
      <c r="D1415" s="25"/>
      <c r="E1415" s="11"/>
      <c r="F1415" s="26">
        <v>1661</v>
      </c>
      <c r="G1415" s="11" t="s">
        <v>2193</v>
      </c>
      <c r="H1415" s="11" t="s">
        <v>2783</v>
      </c>
      <c r="I1415" s="12" t="s">
        <v>2193</v>
      </c>
      <c r="J1415" s="11" t="s">
        <v>2800</v>
      </c>
    </row>
    <row r="1416" spans="1:10" s="10" customFormat="1" x14ac:dyDescent="0.25">
      <c r="A1416" s="21" t="s">
        <v>2232</v>
      </c>
      <c r="D1416" s="25"/>
      <c r="E1416" s="11"/>
      <c r="F1416" s="26">
        <v>2701</v>
      </c>
      <c r="G1416" s="11" t="s">
        <v>2233</v>
      </c>
      <c r="H1416" s="11" t="s">
        <v>2783</v>
      </c>
      <c r="I1416" s="12" t="s">
        <v>2233</v>
      </c>
      <c r="J1416" s="11" t="s">
        <v>2805</v>
      </c>
    </row>
    <row r="1417" spans="1:10" s="10" customFormat="1" x14ac:dyDescent="0.25">
      <c r="A1417" s="21" t="s">
        <v>455</v>
      </c>
      <c r="D1417" s="25"/>
      <c r="E1417" s="11"/>
      <c r="F1417" s="26">
        <v>7020</v>
      </c>
      <c r="G1417" s="11" t="s">
        <v>456</v>
      </c>
      <c r="H1417" s="11" t="s">
        <v>2783</v>
      </c>
      <c r="I1417" s="12" t="s">
        <v>456</v>
      </c>
      <c r="J1417" s="11" t="s">
        <v>2805</v>
      </c>
    </row>
    <row r="1418" spans="1:10" s="10" customFormat="1" x14ac:dyDescent="0.25">
      <c r="A1418" s="21" t="s">
        <v>2250</v>
      </c>
      <c r="D1418" s="25"/>
      <c r="E1418" s="11"/>
      <c r="F1418" s="26">
        <v>1880</v>
      </c>
      <c r="G1418" s="11" t="s">
        <v>2251</v>
      </c>
      <c r="H1418" s="11" t="s">
        <v>2783</v>
      </c>
      <c r="I1418" s="12" t="s">
        <v>2251</v>
      </c>
      <c r="J1418" s="11" t="s">
        <v>2800</v>
      </c>
    </row>
    <row r="1419" spans="1:10" s="10" customFormat="1" x14ac:dyDescent="0.25">
      <c r="A1419" s="21" t="s">
        <v>1773</v>
      </c>
      <c r="D1419" s="25"/>
      <c r="E1419" s="11"/>
      <c r="F1419" s="26">
        <v>1923</v>
      </c>
      <c r="G1419" s="11" t="s">
        <v>1774</v>
      </c>
      <c r="H1419" s="11" t="s">
        <v>2783</v>
      </c>
      <c r="I1419" s="12" t="s">
        <v>1774</v>
      </c>
      <c r="J1419" s="11" t="s">
        <v>2805</v>
      </c>
    </row>
    <row r="1420" spans="1:10" s="10" customFormat="1" x14ac:dyDescent="0.25">
      <c r="A1420" s="21" t="s">
        <v>4712</v>
      </c>
      <c r="D1420" s="25"/>
      <c r="E1420" s="11"/>
      <c r="F1420" s="26">
        <v>1876</v>
      </c>
      <c r="G1420" s="11" t="s">
        <v>4715</v>
      </c>
      <c r="H1420" s="11" t="s">
        <v>2783</v>
      </c>
      <c r="I1420" s="12" t="s">
        <v>4713</v>
      </c>
      <c r="J1420" s="11" t="s">
        <v>2800</v>
      </c>
    </row>
    <row r="1421" spans="1:10" s="10" customFormat="1" x14ac:dyDescent="0.25">
      <c r="A1421" s="21" t="s">
        <v>4451</v>
      </c>
      <c r="D1421" s="25"/>
      <c r="E1421" s="11"/>
      <c r="F1421" s="26">
        <v>6424</v>
      </c>
      <c r="G1421" s="11" t="s">
        <v>4455</v>
      </c>
      <c r="H1421" s="11" t="s">
        <v>2783</v>
      </c>
      <c r="I1421" s="12" t="s">
        <v>4452</v>
      </c>
      <c r="J1421" s="11" t="s">
        <v>2805</v>
      </c>
    </row>
    <row r="1422" spans="1:10" s="10" customFormat="1" x14ac:dyDescent="0.25">
      <c r="A1422" s="21" t="s">
        <v>4456</v>
      </c>
      <c r="D1422" s="25"/>
      <c r="E1422" s="11"/>
      <c r="F1422" s="26">
        <v>6550</v>
      </c>
      <c r="G1422" s="11" t="s">
        <v>4457</v>
      </c>
      <c r="H1422" s="11" t="s">
        <v>2783</v>
      </c>
      <c r="I1422" s="12" t="s">
        <v>4457</v>
      </c>
      <c r="J1422" s="11" t="s">
        <v>2805</v>
      </c>
    </row>
    <row r="1423" spans="1:10" s="10" customFormat="1" x14ac:dyDescent="0.25">
      <c r="A1423" s="21" t="s">
        <v>458</v>
      </c>
      <c r="D1423" s="25"/>
      <c r="E1423" s="11"/>
      <c r="F1423" s="26">
        <v>6439</v>
      </c>
      <c r="G1423" s="11" t="s">
        <v>459</v>
      </c>
      <c r="H1423" s="11" t="s">
        <v>2783</v>
      </c>
      <c r="I1423" s="12" t="s">
        <v>459</v>
      </c>
      <c r="J1423" s="11" t="s">
        <v>2805</v>
      </c>
    </row>
    <row r="1424" spans="1:10" s="10" customFormat="1" x14ac:dyDescent="0.25">
      <c r="A1424" s="21" t="s">
        <v>462</v>
      </c>
      <c r="D1424" s="25"/>
      <c r="E1424" s="11"/>
      <c r="F1424" s="26">
        <v>8187</v>
      </c>
      <c r="G1424" s="11" t="s">
        <v>463</v>
      </c>
      <c r="H1424" s="11" t="s">
        <v>2783</v>
      </c>
      <c r="I1424" s="12" t="s">
        <v>463</v>
      </c>
      <c r="J1424" s="11" t="s">
        <v>2805</v>
      </c>
    </row>
    <row r="1425" spans="1:10" s="10" customFormat="1" x14ac:dyDescent="0.25">
      <c r="A1425" s="21" t="s">
        <v>2196</v>
      </c>
      <c r="D1425" s="25"/>
      <c r="E1425" s="11"/>
      <c r="F1425" s="26">
        <v>1609</v>
      </c>
      <c r="G1425" s="11" t="s">
        <v>2197</v>
      </c>
      <c r="H1425" s="11" t="s">
        <v>2783</v>
      </c>
      <c r="I1425" s="12" t="s">
        <v>2197</v>
      </c>
      <c r="J1425" s="11" t="s">
        <v>2800</v>
      </c>
    </row>
    <row r="1426" spans="1:10" s="10" customFormat="1" x14ac:dyDescent="0.25">
      <c r="A1426" s="21" t="s">
        <v>4460</v>
      </c>
      <c r="D1426" s="25"/>
      <c r="E1426" s="11"/>
      <c r="F1426" s="26">
        <v>6640</v>
      </c>
      <c r="G1426" s="11" t="s">
        <v>1504</v>
      </c>
      <c r="H1426" s="11" t="s">
        <v>2783</v>
      </c>
      <c r="I1426" s="12" t="s">
        <v>1504</v>
      </c>
      <c r="J1426" s="11" t="s">
        <v>2800</v>
      </c>
    </row>
    <row r="1427" spans="1:10" s="10" customFormat="1" x14ac:dyDescent="0.25">
      <c r="A1427" s="21" t="s">
        <v>4356</v>
      </c>
      <c r="D1427" s="25"/>
      <c r="E1427" s="11"/>
      <c r="F1427" s="26">
        <v>1980</v>
      </c>
      <c r="G1427" s="11" t="s">
        <v>4359</v>
      </c>
      <c r="H1427" s="11" t="s">
        <v>2783</v>
      </c>
      <c r="I1427" s="12" t="s">
        <v>4357</v>
      </c>
      <c r="J1427" s="11" t="s">
        <v>2805</v>
      </c>
    </row>
    <row r="1428" spans="1:10" s="10" customFormat="1" x14ac:dyDescent="0.25">
      <c r="A1428" s="21" t="s">
        <v>1455</v>
      </c>
      <c r="D1428" s="25"/>
      <c r="E1428" s="11"/>
      <c r="F1428" s="26">
        <v>1852</v>
      </c>
      <c r="G1428" s="11" t="s">
        <v>1456</v>
      </c>
      <c r="H1428" s="11" t="s">
        <v>2783</v>
      </c>
      <c r="I1428" s="12" t="s">
        <v>1456</v>
      </c>
      <c r="J1428" s="11" t="s">
        <v>2800</v>
      </c>
    </row>
    <row r="1429" spans="1:10" s="10" customFormat="1" x14ac:dyDescent="0.25">
      <c r="A1429" s="21" t="s">
        <v>466</v>
      </c>
      <c r="D1429" s="25"/>
      <c r="E1429" s="11"/>
      <c r="F1429" s="26">
        <v>8118</v>
      </c>
      <c r="G1429" s="11" t="s">
        <v>467</v>
      </c>
      <c r="H1429" s="11" t="s">
        <v>2783</v>
      </c>
      <c r="I1429" s="12" t="s">
        <v>467</v>
      </c>
      <c r="J1429" s="11" t="s">
        <v>2805</v>
      </c>
    </row>
    <row r="1430" spans="1:10" s="10" customFormat="1" x14ac:dyDescent="0.25">
      <c r="A1430" s="21" t="s">
        <v>1784</v>
      </c>
      <c r="D1430" s="25"/>
      <c r="E1430" s="11"/>
      <c r="F1430" s="26">
        <v>7214</v>
      </c>
      <c r="G1430" s="11" t="s">
        <v>1785</v>
      </c>
      <c r="H1430" s="11" t="s">
        <v>2783</v>
      </c>
      <c r="I1430" s="12" t="s">
        <v>1785</v>
      </c>
      <c r="J1430" s="11" t="s">
        <v>2805</v>
      </c>
    </row>
    <row r="1431" spans="1:10" s="10" customFormat="1" x14ac:dyDescent="0.25">
      <c r="A1431" s="21" t="s">
        <v>2846</v>
      </c>
      <c r="D1431" s="25"/>
      <c r="E1431" s="11"/>
      <c r="F1431" s="26">
        <v>2804</v>
      </c>
      <c r="G1431" s="11" t="s">
        <v>2847</v>
      </c>
      <c r="H1431" s="11" t="s">
        <v>2783</v>
      </c>
      <c r="I1431" s="12" t="s">
        <v>2847</v>
      </c>
      <c r="J1431" s="11" t="s">
        <v>2800</v>
      </c>
    </row>
    <row r="1432" spans="1:10" s="10" customFormat="1" x14ac:dyDescent="0.25">
      <c r="A1432" s="21" t="s">
        <v>4462</v>
      </c>
      <c r="D1432" s="25"/>
      <c r="E1432" s="11"/>
      <c r="F1432" s="26">
        <v>6105</v>
      </c>
      <c r="G1432" s="11" t="s">
        <v>83</v>
      </c>
      <c r="H1432" s="11" t="s">
        <v>2783</v>
      </c>
      <c r="I1432" s="12" t="s">
        <v>83</v>
      </c>
      <c r="J1432" s="11" t="s">
        <v>2805</v>
      </c>
    </row>
    <row r="1433" spans="1:10" s="10" customFormat="1" x14ac:dyDescent="0.25">
      <c r="A1433" s="21" t="s">
        <v>1781</v>
      </c>
      <c r="D1433" s="25"/>
      <c r="E1433" s="11"/>
      <c r="F1433" s="26">
        <v>1814</v>
      </c>
      <c r="G1433" s="11" t="s">
        <v>1782</v>
      </c>
      <c r="H1433" s="11" t="s">
        <v>2783</v>
      </c>
      <c r="I1433" s="12" t="s">
        <v>1782</v>
      </c>
      <c r="J1433" s="11" t="s">
        <v>2800</v>
      </c>
    </row>
    <row r="1434" spans="1:10" s="10" customFormat="1" x14ac:dyDescent="0.25">
      <c r="A1434" s="21" t="s">
        <v>1119</v>
      </c>
      <c r="D1434" s="25"/>
      <c r="E1434" s="11"/>
      <c r="F1434" s="26">
        <v>2812</v>
      </c>
      <c r="G1434" s="11" t="s">
        <v>1120</v>
      </c>
      <c r="H1434" s="11" t="s">
        <v>2783</v>
      </c>
      <c r="I1434" s="12" t="s">
        <v>1120</v>
      </c>
      <c r="J1434" s="11" t="s">
        <v>2805</v>
      </c>
    </row>
    <row r="1435" spans="1:10" s="10" customFormat="1" x14ac:dyDescent="0.25">
      <c r="A1435" s="21" t="s">
        <v>1122</v>
      </c>
      <c r="D1435" s="25"/>
      <c r="E1435" s="11"/>
      <c r="F1435" s="26">
        <v>2752</v>
      </c>
      <c r="G1435" s="11" t="s">
        <v>1125</v>
      </c>
      <c r="H1435" s="11" t="s">
        <v>2783</v>
      </c>
      <c r="I1435" s="12" t="s">
        <v>1123</v>
      </c>
      <c r="J1435" s="11" t="s">
        <v>2805</v>
      </c>
    </row>
    <row r="1436" spans="1:10" s="10" customFormat="1" x14ac:dyDescent="0.25">
      <c r="A1436" s="21" t="s">
        <v>470</v>
      </c>
      <c r="D1436" s="25"/>
      <c r="E1436" s="11"/>
      <c r="F1436" s="26">
        <v>6430</v>
      </c>
      <c r="G1436" s="11" t="s">
        <v>471</v>
      </c>
      <c r="H1436" s="11" t="s">
        <v>2783</v>
      </c>
      <c r="I1436" s="12" t="s">
        <v>471</v>
      </c>
      <c r="J1436" s="11" t="s">
        <v>2805</v>
      </c>
    </row>
    <row r="1437" spans="1:10" s="10" customFormat="1" x14ac:dyDescent="0.25">
      <c r="A1437" s="21" t="s">
        <v>86</v>
      </c>
      <c r="D1437" s="25"/>
      <c r="E1437" s="11"/>
      <c r="F1437" s="26">
        <v>6530</v>
      </c>
      <c r="G1437" s="11" t="s">
        <v>87</v>
      </c>
      <c r="H1437" s="11" t="s">
        <v>2783</v>
      </c>
      <c r="I1437" s="12" t="s">
        <v>87</v>
      </c>
      <c r="J1437" s="11" t="s">
        <v>2805</v>
      </c>
    </row>
    <row r="1438" spans="1:10" s="10" customFormat="1" x14ac:dyDescent="0.25">
      <c r="A1438" s="21" t="s">
        <v>90</v>
      </c>
      <c r="D1438" s="25"/>
      <c r="E1438" s="11"/>
      <c r="F1438" s="26">
        <v>6455</v>
      </c>
      <c r="G1438" s="11" t="s">
        <v>91</v>
      </c>
      <c r="H1438" s="11" t="s">
        <v>2783</v>
      </c>
      <c r="I1438" s="12" t="s">
        <v>91</v>
      </c>
      <c r="J1438" s="11" t="s">
        <v>2805</v>
      </c>
    </row>
    <row r="1439" spans="1:10" s="10" customFormat="1" x14ac:dyDescent="0.25">
      <c r="A1439" s="21" t="s">
        <v>94</v>
      </c>
      <c r="D1439" s="25"/>
      <c r="E1439" s="11"/>
      <c r="F1439" s="26">
        <v>6725</v>
      </c>
      <c r="G1439" s="11" t="s">
        <v>95</v>
      </c>
      <c r="H1439" s="11" t="s">
        <v>2783</v>
      </c>
      <c r="I1439" s="12" t="s">
        <v>95</v>
      </c>
      <c r="J1439" s="11" t="s">
        <v>2805</v>
      </c>
    </row>
    <row r="1440" spans="1:10" s="10" customFormat="1" x14ac:dyDescent="0.25">
      <c r="A1440" s="21" t="s">
        <v>473</v>
      </c>
      <c r="D1440" s="25"/>
      <c r="E1440" s="11"/>
      <c r="F1440" s="26">
        <v>8504</v>
      </c>
      <c r="G1440" s="11" t="s">
        <v>477</v>
      </c>
      <c r="H1440" s="11" t="s">
        <v>2783</v>
      </c>
      <c r="I1440" s="12" t="s">
        <v>474</v>
      </c>
      <c r="J1440" s="11" t="s">
        <v>2805</v>
      </c>
    </row>
    <row r="1441" spans="1:10" s="10" customFormat="1" x14ac:dyDescent="0.25">
      <c r="A1441" s="21" t="s">
        <v>478</v>
      </c>
      <c r="D1441" s="25"/>
      <c r="E1441" s="11"/>
      <c r="F1441" s="26">
        <v>6417</v>
      </c>
      <c r="G1441" s="11" t="s">
        <v>479</v>
      </c>
      <c r="H1441" s="11" t="s">
        <v>2783</v>
      </c>
      <c r="I1441" s="12" t="s">
        <v>479</v>
      </c>
      <c r="J1441" s="11" t="s">
        <v>2805</v>
      </c>
    </row>
    <row r="1442" spans="1:10" s="10" customFormat="1" x14ac:dyDescent="0.25">
      <c r="A1442" s="21" t="s">
        <v>1659</v>
      </c>
      <c r="D1442" s="25"/>
      <c r="E1442" s="11"/>
      <c r="F1442" s="26">
        <v>1678</v>
      </c>
      <c r="G1442" s="11" t="s">
        <v>1660</v>
      </c>
      <c r="H1442" s="11" t="s">
        <v>2783</v>
      </c>
      <c r="I1442" s="12" t="s">
        <v>1660</v>
      </c>
      <c r="J1442" s="11" t="s">
        <v>2800</v>
      </c>
    </row>
    <row r="1443" spans="1:10" s="10" customFormat="1" x14ac:dyDescent="0.25">
      <c r="A1443" s="21" t="s">
        <v>1662</v>
      </c>
      <c r="D1443" s="25"/>
      <c r="E1443" s="11"/>
      <c r="F1443" s="26">
        <v>1712</v>
      </c>
      <c r="G1443" s="11" t="s">
        <v>1663</v>
      </c>
      <c r="H1443" s="11" t="s">
        <v>2783</v>
      </c>
      <c r="I1443" s="12" t="s">
        <v>1663</v>
      </c>
      <c r="J1443" s="11" t="s">
        <v>2800</v>
      </c>
    </row>
    <row r="1444" spans="1:10" s="10" customFormat="1" x14ac:dyDescent="0.25">
      <c r="A1444" s="21" t="s">
        <v>4345</v>
      </c>
      <c r="D1444" s="25"/>
      <c r="E1444" s="11"/>
      <c r="F1444" s="26">
        <v>7114</v>
      </c>
      <c r="G1444" s="11" t="s">
        <v>4346</v>
      </c>
      <c r="H1444" s="11" t="s">
        <v>2783</v>
      </c>
      <c r="I1444" s="12" t="s">
        <v>4346</v>
      </c>
      <c r="J1444" s="11" t="s">
        <v>2805</v>
      </c>
    </row>
    <row r="1445" spans="1:10" s="10" customFormat="1" x14ac:dyDescent="0.25">
      <c r="A1445" s="21" t="s">
        <v>97</v>
      </c>
      <c r="D1445" s="25"/>
      <c r="E1445" s="11"/>
      <c r="F1445" s="26">
        <v>6740</v>
      </c>
      <c r="G1445" s="11" t="s">
        <v>4412</v>
      </c>
      <c r="H1445" s="11" t="s">
        <v>2783</v>
      </c>
      <c r="I1445" s="12" t="s">
        <v>4412</v>
      </c>
      <c r="J1445" s="11" t="s">
        <v>2800</v>
      </c>
    </row>
    <row r="1446" spans="1:10" s="10" customFormat="1" x14ac:dyDescent="0.25">
      <c r="A1446" s="21" t="s">
        <v>4348</v>
      </c>
      <c r="D1446" s="25"/>
      <c r="E1446" s="11"/>
      <c r="F1446" s="26">
        <v>7130</v>
      </c>
      <c r="G1446" s="11" t="s">
        <v>4349</v>
      </c>
      <c r="H1446" s="11" t="s">
        <v>2783</v>
      </c>
      <c r="I1446" s="12" t="s">
        <v>4349</v>
      </c>
      <c r="J1446" s="11" t="s">
        <v>2800</v>
      </c>
    </row>
    <row r="1447" spans="1:10" s="10" customFormat="1" x14ac:dyDescent="0.25">
      <c r="A1447" s="21" t="s">
        <v>481</v>
      </c>
      <c r="D1447" s="25"/>
      <c r="E1447" s="11"/>
      <c r="F1447" s="26">
        <v>7311</v>
      </c>
      <c r="G1447" s="11" t="s">
        <v>482</v>
      </c>
      <c r="H1447" s="11" t="s">
        <v>2783</v>
      </c>
      <c r="I1447" s="12" t="s">
        <v>482</v>
      </c>
      <c r="J1447" s="11" t="s">
        <v>2805</v>
      </c>
    </row>
    <row r="1448" spans="1:10" s="10" customFormat="1" x14ac:dyDescent="0.25">
      <c r="A1448" s="21" t="s">
        <v>99</v>
      </c>
      <c r="D1448" s="25"/>
      <c r="E1448" s="11"/>
      <c r="F1448" s="26">
        <v>6620</v>
      </c>
      <c r="G1448" s="11" t="s">
        <v>100</v>
      </c>
      <c r="H1448" s="11" t="s">
        <v>2783</v>
      </c>
      <c r="I1448" s="12" t="s">
        <v>100</v>
      </c>
      <c r="J1448" s="11" t="s">
        <v>2800</v>
      </c>
    </row>
    <row r="1449" spans="1:10" s="10" customFormat="1" x14ac:dyDescent="0.25">
      <c r="A1449" s="21" t="s">
        <v>4352</v>
      </c>
      <c r="D1449" s="25"/>
      <c r="E1449" s="11"/>
      <c r="F1449" s="26">
        <v>1896</v>
      </c>
      <c r="G1449" s="11" t="s">
        <v>4353</v>
      </c>
      <c r="H1449" s="11" t="s">
        <v>2783</v>
      </c>
      <c r="I1449" s="12" t="s">
        <v>4353</v>
      </c>
      <c r="J1449" s="11" t="s">
        <v>2805</v>
      </c>
    </row>
    <row r="1450" spans="1:10" s="10" customFormat="1" x14ac:dyDescent="0.25">
      <c r="A1450" s="21" t="s">
        <v>2253</v>
      </c>
      <c r="D1450" s="25"/>
      <c r="E1450" s="11"/>
      <c r="F1450" s="26">
        <v>1778</v>
      </c>
      <c r="G1450" s="11" t="s">
        <v>2254</v>
      </c>
      <c r="H1450" s="11" t="s">
        <v>2783</v>
      </c>
      <c r="I1450" s="12" t="s">
        <v>2254</v>
      </c>
      <c r="J1450" s="11" t="s">
        <v>2805</v>
      </c>
    </row>
    <row r="1451" spans="1:10" s="10" customFormat="1" x14ac:dyDescent="0.25">
      <c r="A1451" s="21" t="s">
        <v>1670</v>
      </c>
      <c r="D1451" s="25"/>
      <c r="E1451" s="11"/>
      <c r="F1451" s="26">
        <v>1685</v>
      </c>
      <c r="G1451" s="11" t="s">
        <v>1674</v>
      </c>
      <c r="H1451" s="11" t="s">
        <v>2783</v>
      </c>
      <c r="I1451" s="12" t="s">
        <v>1671</v>
      </c>
      <c r="J1451" s="11" t="s">
        <v>2800</v>
      </c>
    </row>
    <row r="1452" spans="1:10" s="10" customFormat="1" x14ac:dyDescent="0.25">
      <c r="A1452" s="21" t="s">
        <v>2296</v>
      </c>
      <c r="D1452" s="25"/>
      <c r="E1452" s="11"/>
      <c r="F1452" s="26">
        <v>1770</v>
      </c>
      <c r="G1452" s="11" t="s">
        <v>2281</v>
      </c>
      <c r="H1452" s="11" t="s">
        <v>2783</v>
      </c>
      <c r="I1452" s="12" t="s">
        <v>2297</v>
      </c>
      <c r="J1452" s="11" t="s">
        <v>2800</v>
      </c>
    </row>
    <row r="1453" spans="1:10" s="10" customFormat="1" x14ac:dyDescent="0.25">
      <c r="A1453" s="21" t="s">
        <v>2277</v>
      </c>
      <c r="D1453" s="25"/>
      <c r="E1453" s="11"/>
      <c r="F1453" s="26">
        <v>2701</v>
      </c>
      <c r="G1453" s="11" t="s">
        <v>2281</v>
      </c>
      <c r="H1453" s="11" t="s">
        <v>2783</v>
      </c>
      <c r="I1453" s="12" t="s">
        <v>2278</v>
      </c>
      <c r="J1453" s="11" t="s">
        <v>2805</v>
      </c>
    </row>
    <row r="1454" spans="1:10" s="10" customFormat="1" x14ac:dyDescent="0.25">
      <c r="A1454" s="21" t="s">
        <v>1666</v>
      </c>
      <c r="D1454" s="25"/>
      <c r="E1454" s="11"/>
      <c r="F1454" s="26">
        <v>1702</v>
      </c>
      <c r="G1454" s="11" t="s">
        <v>1667</v>
      </c>
      <c r="H1454" s="11" t="s">
        <v>2783</v>
      </c>
      <c r="I1454" s="12" t="s">
        <v>1667</v>
      </c>
      <c r="J1454" s="11" t="s">
        <v>2800</v>
      </c>
    </row>
    <row r="1455" spans="1:10" s="10" customFormat="1" x14ac:dyDescent="0.25">
      <c r="A1455" s="21" t="s">
        <v>1126</v>
      </c>
      <c r="D1455" s="25"/>
      <c r="E1455" s="11"/>
      <c r="F1455" s="26">
        <v>2720</v>
      </c>
      <c r="G1455" s="11" t="s">
        <v>1479</v>
      </c>
      <c r="H1455" s="11" t="s">
        <v>2783</v>
      </c>
      <c r="I1455" s="12" t="s">
        <v>1479</v>
      </c>
      <c r="J1455" s="11" t="s">
        <v>2805</v>
      </c>
    </row>
    <row r="1456" spans="1:10" s="10" customFormat="1" x14ac:dyDescent="0.25">
      <c r="A1456" s="21" t="s">
        <v>2396</v>
      </c>
      <c r="D1456" s="25"/>
      <c r="E1456" s="11"/>
      <c r="F1456" s="26">
        <v>7613</v>
      </c>
      <c r="G1456" s="11" t="s">
        <v>2400</v>
      </c>
      <c r="H1456" s="11" t="s">
        <v>2783</v>
      </c>
      <c r="I1456" s="12" t="s">
        <v>2397</v>
      </c>
      <c r="J1456" s="11" t="s">
        <v>2805</v>
      </c>
    </row>
    <row r="1457" spans="1:10" s="10" customFormat="1" x14ac:dyDescent="0.25">
      <c r="A1457" s="21" t="s">
        <v>485</v>
      </c>
      <c r="D1457" s="25"/>
      <c r="E1457" s="11"/>
      <c r="F1457" s="26">
        <v>7511</v>
      </c>
      <c r="G1457" s="11" t="s">
        <v>486</v>
      </c>
      <c r="H1457" s="11" t="s">
        <v>2783</v>
      </c>
      <c r="I1457" s="12" t="s">
        <v>486</v>
      </c>
      <c r="J1457" s="11" t="s">
        <v>2805</v>
      </c>
    </row>
    <row r="1458" spans="1:10" s="10" customFormat="1" x14ac:dyDescent="0.25">
      <c r="A1458" s="21" t="s">
        <v>102</v>
      </c>
      <c r="D1458" s="25"/>
      <c r="E1458" s="11"/>
      <c r="F1458" s="26">
        <v>6223</v>
      </c>
      <c r="G1458" s="11" t="s">
        <v>106</v>
      </c>
      <c r="H1458" s="11" t="s">
        <v>2783</v>
      </c>
      <c r="I1458" s="12" t="s">
        <v>103</v>
      </c>
      <c r="J1458" s="11" t="s">
        <v>2805</v>
      </c>
    </row>
    <row r="1459" spans="1:10" s="10" customFormat="1" x14ac:dyDescent="0.25">
      <c r="A1459" s="21" t="s">
        <v>489</v>
      </c>
      <c r="D1459" s="25"/>
      <c r="E1459" s="11"/>
      <c r="F1459" s="26">
        <v>8150</v>
      </c>
      <c r="G1459" s="11" t="s">
        <v>493</v>
      </c>
      <c r="H1459" s="11" t="s">
        <v>2783</v>
      </c>
      <c r="I1459" s="12" t="s">
        <v>490</v>
      </c>
      <c r="J1459" s="11" t="s">
        <v>2805</v>
      </c>
    </row>
    <row r="1460" spans="1:10" s="10" customFormat="1" x14ac:dyDescent="0.25">
      <c r="A1460" s="21" t="s">
        <v>107</v>
      </c>
      <c r="D1460" s="25"/>
      <c r="E1460" s="11"/>
      <c r="F1460" s="26">
        <v>6062</v>
      </c>
      <c r="G1460" s="11" t="s">
        <v>110</v>
      </c>
      <c r="H1460" s="11" t="s">
        <v>2783</v>
      </c>
      <c r="I1460" s="12" t="s">
        <v>108</v>
      </c>
      <c r="J1460" s="11" t="s">
        <v>2805</v>
      </c>
    </row>
    <row r="1461" spans="1:10" s="10" customFormat="1" x14ac:dyDescent="0.25">
      <c r="A1461" s="21" t="s">
        <v>111</v>
      </c>
      <c r="D1461" s="25"/>
      <c r="E1461" s="11"/>
      <c r="F1461" s="26">
        <v>6628</v>
      </c>
      <c r="G1461" s="11" t="s">
        <v>115</v>
      </c>
      <c r="H1461" s="11" t="s">
        <v>2783</v>
      </c>
      <c r="I1461" s="12" t="s">
        <v>112</v>
      </c>
      <c r="J1461" s="11" t="s">
        <v>2805</v>
      </c>
    </row>
    <row r="1462" spans="1:10" s="10" customFormat="1" x14ac:dyDescent="0.25">
      <c r="A1462" s="21" t="s">
        <v>494</v>
      </c>
      <c r="D1462" s="25"/>
      <c r="E1462" s="11"/>
      <c r="F1462" s="26">
        <v>7530</v>
      </c>
      <c r="G1462" s="11" t="s">
        <v>498</v>
      </c>
      <c r="H1462" s="11" t="s">
        <v>2783</v>
      </c>
      <c r="I1462" s="12" t="s">
        <v>495</v>
      </c>
      <c r="J1462" s="11" t="s">
        <v>2805</v>
      </c>
    </row>
    <row r="1463" spans="1:10" s="10" customFormat="1" x14ac:dyDescent="0.25">
      <c r="A1463" s="21" t="s">
        <v>499</v>
      </c>
      <c r="D1463" s="25"/>
      <c r="E1463" s="11"/>
      <c r="F1463" s="26">
        <v>7540</v>
      </c>
      <c r="G1463" s="11" t="s">
        <v>2307</v>
      </c>
      <c r="H1463" s="11" t="s">
        <v>2783</v>
      </c>
      <c r="I1463" s="12" t="s">
        <v>2307</v>
      </c>
      <c r="J1463" s="11" t="s">
        <v>2805</v>
      </c>
    </row>
    <row r="1464" spans="1:10" s="10" customFormat="1" x14ac:dyDescent="0.25">
      <c r="A1464" s="21" t="s">
        <v>2401</v>
      </c>
      <c r="D1464" s="25"/>
      <c r="E1464" s="11"/>
      <c r="F1464" s="26">
        <v>7174</v>
      </c>
      <c r="G1464" s="11" t="s">
        <v>2402</v>
      </c>
      <c r="H1464" s="11" t="s">
        <v>2783</v>
      </c>
      <c r="I1464" s="12" t="s">
        <v>2402</v>
      </c>
      <c r="J1464" s="11" t="s">
        <v>2805</v>
      </c>
    </row>
    <row r="1465" spans="1:10" s="10" customFormat="1" x14ac:dyDescent="0.25">
      <c r="A1465" s="21" t="s">
        <v>2236</v>
      </c>
      <c r="D1465" s="25"/>
      <c r="E1465" s="11"/>
      <c r="F1465" s="26">
        <v>1872</v>
      </c>
      <c r="G1465" s="11" t="s">
        <v>2240</v>
      </c>
      <c r="H1465" s="11" t="s">
        <v>2783</v>
      </c>
      <c r="I1465" s="12" t="s">
        <v>2237</v>
      </c>
      <c r="J1465" s="11" t="s">
        <v>2800</v>
      </c>
    </row>
    <row r="1466" spans="1:10" s="10" customFormat="1" x14ac:dyDescent="0.25">
      <c r="A1466" s="21" t="s">
        <v>2310</v>
      </c>
      <c r="D1466" s="25"/>
      <c r="E1466" s="11"/>
      <c r="F1466" s="26">
        <v>6555</v>
      </c>
      <c r="G1466" s="11" t="s">
        <v>2311</v>
      </c>
      <c r="H1466" s="11" t="s">
        <v>2783</v>
      </c>
      <c r="I1466" s="12" t="s">
        <v>2311</v>
      </c>
      <c r="J1466" s="11" t="s">
        <v>2805</v>
      </c>
    </row>
    <row r="1467" spans="1:10" s="10" customFormat="1" x14ac:dyDescent="0.25">
      <c r="A1467" s="21" t="s">
        <v>2314</v>
      </c>
      <c r="D1467" s="25"/>
      <c r="E1467" s="11"/>
      <c r="F1467" s="26">
        <v>8183</v>
      </c>
      <c r="G1467" s="11" t="s">
        <v>2315</v>
      </c>
      <c r="H1467" s="11" t="s">
        <v>2783</v>
      </c>
      <c r="I1467" s="12" t="s">
        <v>2315</v>
      </c>
      <c r="J1467" s="11" t="s">
        <v>2805</v>
      </c>
    </row>
    <row r="1468" spans="1:10" s="10" customFormat="1" x14ac:dyDescent="0.25">
      <c r="A1468" s="21" t="s">
        <v>2318</v>
      </c>
      <c r="D1468" s="25"/>
      <c r="E1468" s="11"/>
      <c r="F1468" s="26">
        <v>7515</v>
      </c>
      <c r="G1468" s="11" t="s">
        <v>2319</v>
      </c>
      <c r="H1468" s="11" t="s">
        <v>2783</v>
      </c>
      <c r="I1468" s="12" t="s">
        <v>2319</v>
      </c>
      <c r="J1468" s="11" t="s">
        <v>2805</v>
      </c>
    </row>
    <row r="1469" spans="1:10" s="10" customFormat="1" x14ac:dyDescent="0.25">
      <c r="A1469" s="21" t="s">
        <v>116</v>
      </c>
      <c r="D1469" s="25"/>
      <c r="E1469" s="11"/>
      <c r="F1469" s="26">
        <v>6509</v>
      </c>
      <c r="G1469" s="11" t="s">
        <v>117</v>
      </c>
      <c r="H1469" s="11" t="s">
        <v>2783</v>
      </c>
      <c r="I1469" s="12" t="s">
        <v>117</v>
      </c>
      <c r="J1469" s="11" t="s">
        <v>2805</v>
      </c>
    </row>
    <row r="1470" spans="1:10" s="10" customFormat="1" x14ac:dyDescent="0.25">
      <c r="A1470" s="21" t="s">
        <v>2220</v>
      </c>
      <c r="D1470" s="25"/>
      <c r="E1470" s="11"/>
      <c r="F1470" s="26">
        <v>1669</v>
      </c>
      <c r="G1470" s="11" t="s">
        <v>2221</v>
      </c>
      <c r="H1470" s="11" t="s">
        <v>2783</v>
      </c>
      <c r="I1470" s="12" t="s">
        <v>2221</v>
      </c>
      <c r="J1470" s="11" t="s">
        <v>2800</v>
      </c>
    </row>
    <row r="1471" spans="1:10" s="10" customFormat="1" x14ac:dyDescent="0.25">
      <c r="A1471" s="21" t="s">
        <v>3446</v>
      </c>
      <c r="D1471" s="25"/>
      <c r="E1471" s="11"/>
      <c r="F1471" s="26">
        <v>1871</v>
      </c>
      <c r="G1471" s="11" t="s">
        <v>3447</v>
      </c>
      <c r="H1471" s="11" t="s">
        <v>2783</v>
      </c>
      <c r="I1471" s="12" t="s">
        <v>3447</v>
      </c>
      <c r="J1471" s="11" t="s">
        <v>2805</v>
      </c>
    </row>
    <row r="1472" spans="1:10" s="10" customFormat="1" x14ac:dyDescent="0.25">
      <c r="A1472" s="21" t="s">
        <v>4360</v>
      </c>
      <c r="D1472" s="25"/>
      <c r="E1472" s="11"/>
      <c r="F1472" s="26">
        <v>7100</v>
      </c>
      <c r="G1472" s="11" t="s">
        <v>4361</v>
      </c>
      <c r="H1472" s="11" t="s">
        <v>2783</v>
      </c>
      <c r="I1472" s="12" t="s">
        <v>4361</v>
      </c>
      <c r="J1472" s="11" t="s">
        <v>2805</v>
      </c>
    </row>
    <row r="1473" spans="1:10" s="10" customFormat="1" x14ac:dyDescent="0.25">
      <c r="A1473" s="21" t="s">
        <v>2212</v>
      </c>
      <c r="D1473" s="25"/>
      <c r="E1473" s="11"/>
      <c r="F1473" s="26">
        <v>1611</v>
      </c>
      <c r="G1473" s="11" t="s">
        <v>2213</v>
      </c>
      <c r="H1473" s="11" t="s">
        <v>2783</v>
      </c>
      <c r="I1473" s="12" t="s">
        <v>2213</v>
      </c>
      <c r="J1473" s="11" t="s">
        <v>2800</v>
      </c>
    </row>
    <row r="1474" spans="1:10" s="10" customFormat="1" x14ac:dyDescent="0.25">
      <c r="A1474" s="21" t="s">
        <v>120</v>
      </c>
      <c r="D1474" s="25"/>
      <c r="E1474" s="11"/>
      <c r="F1474" s="26">
        <v>6505</v>
      </c>
      <c r="G1474" s="11" t="s">
        <v>121</v>
      </c>
      <c r="H1474" s="11" t="s">
        <v>2783</v>
      </c>
      <c r="I1474" s="12" t="s">
        <v>121</v>
      </c>
      <c r="J1474" s="11" t="s">
        <v>2805</v>
      </c>
    </row>
    <row r="1475" spans="1:10" s="10" customFormat="1" x14ac:dyDescent="0.25">
      <c r="A1475" s="21" t="s">
        <v>3437</v>
      </c>
      <c r="D1475" s="25"/>
      <c r="E1475" s="11"/>
      <c r="F1475" s="26">
        <v>1805</v>
      </c>
      <c r="G1475" s="11" t="s">
        <v>3438</v>
      </c>
      <c r="H1475" s="11" t="s">
        <v>2783</v>
      </c>
      <c r="I1475" s="12" t="s">
        <v>3438</v>
      </c>
      <c r="J1475" s="11" t="s">
        <v>2805</v>
      </c>
    </row>
    <row r="1476" spans="1:10" s="10" customFormat="1" x14ac:dyDescent="0.25">
      <c r="A1476" s="21" t="s">
        <v>1128</v>
      </c>
      <c r="D1476" s="25"/>
      <c r="E1476" s="11"/>
      <c r="F1476" s="26">
        <v>2715</v>
      </c>
      <c r="G1476" s="11" t="s">
        <v>1129</v>
      </c>
      <c r="H1476" s="11" t="s">
        <v>2783</v>
      </c>
      <c r="I1476" s="12" t="s">
        <v>1129</v>
      </c>
      <c r="J1476" s="11" t="s">
        <v>2805</v>
      </c>
    </row>
    <row r="1477" spans="1:10" s="10" customFormat="1" x14ac:dyDescent="0.25">
      <c r="A1477" s="21" t="s">
        <v>124</v>
      </c>
      <c r="D1477" s="25"/>
      <c r="E1477" s="11"/>
      <c r="F1477" s="26">
        <v>6241</v>
      </c>
      <c r="G1477" s="11" t="s">
        <v>57</v>
      </c>
      <c r="H1477" s="11" t="s">
        <v>2783</v>
      </c>
      <c r="I1477" s="12" t="s">
        <v>125</v>
      </c>
      <c r="J1477" s="11" t="s">
        <v>2805</v>
      </c>
    </row>
    <row r="1478" spans="1:10" s="10" customFormat="1" x14ac:dyDescent="0.25">
      <c r="A1478" s="21" t="s">
        <v>4363</v>
      </c>
      <c r="D1478" s="25"/>
      <c r="E1478" s="11"/>
      <c r="F1478" s="26">
        <v>1925</v>
      </c>
      <c r="G1478" s="11" t="s">
        <v>4364</v>
      </c>
      <c r="H1478" s="11" t="s">
        <v>2783</v>
      </c>
      <c r="I1478" s="12" t="s">
        <v>4364</v>
      </c>
      <c r="J1478" s="11" t="s">
        <v>2800</v>
      </c>
    </row>
    <row r="1479" spans="1:10" s="10" customFormat="1" x14ac:dyDescent="0.25">
      <c r="A1479" s="21" t="s">
        <v>2322</v>
      </c>
      <c r="D1479" s="25"/>
      <c r="E1479" s="11"/>
      <c r="F1479" s="26">
        <v>8171</v>
      </c>
      <c r="G1479" s="11" t="s">
        <v>2323</v>
      </c>
      <c r="H1479" s="11" t="s">
        <v>2783</v>
      </c>
      <c r="I1479" s="12" t="s">
        <v>2323</v>
      </c>
      <c r="J1479" s="11" t="s">
        <v>2805</v>
      </c>
    </row>
    <row r="1480" spans="1:10" s="10" customFormat="1" x14ac:dyDescent="0.25">
      <c r="A1480" s="21" t="s">
        <v>1459</v>
      </c>
      <c r="D1480" s="25"/>
      <c r="E1480" s="11"/>
      <c r="F1480" s="26">
        <v>1804</v>
      </c>
      <c r="G1480" s="11" t="s">
        <v>1460</v>
      </c>
      <c r="H1480" s="11" t="s">
        <v>2783</v>
      </c>
      <c r="I1480" s="12" t="s">
        <v>1460</v>
      </c>
      <c r="J1480" s="11" t="s">
        <v>2800</v>
      </c>
    </row>
    <row r="1481" spans="1:10" s="10" customFormat="1" x14ac:dyDescent="0.25">
      <c r="A1481" s="21" t="s">
        <v>4052</v>
      </c>
      <c r="D1481" s="25"/>
      <c r="E1481" s="11"/>
      <c r="F1481" s="26">
        <v>1882</v>
      </c>
      <c r="G1481" s="11" t="s">
        <v>4056</v>
      </c>
      <c r="H1481" s="11" t="s">
        <v>2783</v>
      </c>
      <c r="I1481" s="12" t="s">
        <v>4053</v>
      </c>
      <c r="J1481" s="11" t="s">
        <v>2800</v>
      </c>
    </row>
    <row r="1482" spans="1:10" s="10" customFormat="1" x14ac:dyDescent="0.25">
      <c r="A1482" s="21" t="s">
        <v>2326</v>
      </c>
      <c r="D1482" s="25"/>
      <c r="E1482" s="11"/>
      <c r="F1482" s="26">
        <v>8129</v>
      </c>
      <c r="G1482" s="11" t="s">
        <v>2327</v>
      </c>
      <c r="H1482" s="11" t="s">
        <v>2783</v>
      </c>
      <c r="I1482" s="12" t="s">
        <v>2327</v>
      </c>
      <c r="J1482" s="11" t="s">
        <v>2805</v>
      </c>
    </row>
    <row r="1483" spans="1:10" s="10" customFormat="1" x14ac:dyDescent="0.25">
      <c r="A1483" s="21" t="s">
        <v>58</v>
      </c>
      <c r="D1483" s="25"/>
      <c r="E1483" s="11"/>
      <c r="F1483" s="26">
        <v>6027</v>
      </c>
      <c r="G1483" s="11" t="s">
        <v>59</v>
      </c>
      <c r="H1483" s="11" t="s">
        <v>2783</v>
      </c>
      <c r="I1483" s="12" t="s">
        <v>59</v>
      </c>
      <c r="J1483" s="11" t="s">
        <v>2805</v>
      </c>
    </row>
    <row r="1484" spans="1:10" s="10" customFormat="1" x14ac:dyDescent="0.25">
      <c r="A1484" s="21" t="s">
        <v>4251</v>
      </c>
      <c r="D1484" s="25"/>
      <c r="E1484" s="11"/>
      <c r="F1484" s="26">
        <v>1888</v>
      </c>
      <c r="G1484" s="11" t="s">
        <v>2257</v>
      </c>
      <c r="H1484" s="11" t="s">
        <v>2783</v>
      </c>
      <c r="I1484" s="12" t="s">
        <v>1656</v>
      </c>
      <c r="J1484" s="11" t="s">
        <v>2805</v>
      </c>
    </row>
    <row r="1485" spans="1:10" s="10" customFormat="1" x14ac:dyDescent="0.25">
      <c r="A1485" s="21" t="s">
        <v>2256</v>
      </c>
      <c r="D1485" s="25"/>
      <c r="E1485" s="11"/>
      <c r="F1485" s="26">
        <v>1888</v>
      </c>
      <c r="G1485" s="11" t="s">
        <v>2257</v>
      </c>
      <c r="H1485" s="11" t="s">
        <v>2783</v>
      </c>
      <c r="I1485" s="12" t="s">
        <v>2257</v>
      </c>
      <c r="J1485" s="11" t="s">
        <v>2800</v>
      </c>
    </row>
    <row r="1486" spans="1:10" s="10" customFormat="1" x14ac:dyDescent="0.25">
      <c r="A1486" s="21" t="s">
        <v>4424</v>
      </c>
      <c r="D1486" s="25"/>
      <c r="E1486" s="11"/>
      <c r="F1486" s="26">
        <v>6064</v>
      </c>
      <c r="G1486" s="11" t="s">
        <v>4427</v>
      </c>
      <c r="H1486" s="11" t="s">
        <v>2783</v>
      </c>
      <c r="I1486" s="12" t="s">
        <v>4425</v>
      </c>
      <c r="J1486" s="11" t="s">
        <v>2805</v>
      </c>
    </row>
    <row r="1487" spans="1:10" s="10" customFormat="1" x14ac:dyDescent="0.25">
      <c r="A1487" s="21" t="s">
        <v>4720</v>
      </c>
      <c r="D1487" s="25"/>
      <c r="E1487" s="11"/>
      <c r="F1487" s="26">
        <v>1602</v>
      </c>
      <c r="G1487" s="11" t="s">
        <v>2782</v>
      </c>
      <c r="H1487" s="11" t="s">
        <v>2783</v>
      </c>
      <c r="I1487" s="12" t="s">
        <v>2782</v>
      </c>
      <c r="J1487" s="11" t="s">
        <v>2800</v>
      </c>
    </row>
    <row r="1488" spans="1:10" s="10" customFormat="1" x14ac:dyDescent="0.25">
      <c r="A1488" s="21" t="s">
        <v>4733</v>
      </c>
      <c r="D1488" s="25"/>
      <c r="E1488" s="11"/>
      <c r="F1488" s="26">
        <v>1638</v>
      </c>
      <c r="G1488" s="11" t="s">
        <v>2782</v>
      </c>
      <c r="H1488" s="11" t="s">
        <v>2783</v>
      </c>
      <c r="I1488" s="12" t="s">
        <v>4734</v>
      </c>
      <c r="J1488" s="11" t="s">
        <v>2800</v>
      </c>
    </row>
    <row r="1489" spans="1:10" s="10" customFormat="1" x14ac:dyDescent="0.25">
      <c r="A1489" s="21" t="s">
        <v>61</v>
      </c>
      <c r="D1489" s="25"/>
      <c r="E1489" s="11"/>
      <c r="F1489" s="26">
        <v>6403</v>
      </c>
      <c r="G1489" s="11" t="s">
        <v>62</v>
      </c>
      <c r="H1489" s="11" t="s">
        <v>2783</v>
      </c>
      <c r="I1489" s="12" t="s">
        <v>62</v>
      </c>
      <c r="J1489" s="11" t="s">
        <v>2805</v>
      </c>
    </row>
    <row r="1490" spans="1:10" s="10" customFormat="1" x14ac:dyDescent="0.25">
      <c r="A1490" s="21" t="s">
        <v>4331</v>
      </c>
      <c r="D1490" s="25"/>
      <c r="E1490" s="11"/>
      <c r="F1490" s="26">
        <v>2701</v>
      </c>
      <c r="G1490" s="11" t="s">
        <v>4332</v>
      </c>
      <c r="H1490" s="11" t="s">
        <v>2783</v>
      </c>
      <c r="I1490" s="12" t="s">
        <v>4332</v>
      </c>
      <c r="J1490" s="11" t="s">
        <v>2805</v>
      </c>
    </row>
    <row r="1491" spans="1:10" s="10" customFormat="1" x14ac:dyDescent="0.25">
      <c r="A1491" s="21" t="s">
        <v>1136</v>
      </c>
      <c r="D1491" s="25"/>
      <c r="E1491" s="11"/>
      <c r="F1491" s="26">
        <v>1619</v>
      </c>
      <c r="G1491" s="11" t="s">
        <v>1137</v>
      </c>
      <c r="H1491" s="11" t="s">
        <v>2783</v>
      </c>
      <c r="I1491" s="12" t="s">
        <v>1137</v>
      </c>
      <c r="J1491" s="11" t="s">
        <v>2800</v>
      </c>
    </row>
    <row r="1492" spans="1:10" s="10" customFormat="1" x14ac:dyDescent="0.25">
      <c r="A1492" s="21" t="s">
        <v>2330</v>
      </c>
      <c r="D1492" s="25"/>
      <c r="E1492" s="11"/>
      <c r="F1492" s="26">
        <v>6411</v>
      </c>
      <c r="G1492" s="11" t="s">
        <v>2331</v>
      </c>
      <c r="H1492" s="11" t="s">
        <v>2783</v>
      </c>
      <c r="I1492" s="12" t="s">
        <v>2331</v>
      </c>
      <c r="J1492" s="11" t="s">
        <v>2805</v>
      </c>
    </row>
    <row r="1493" spans="1:10" s="10" customFormat="1" x14ac:dyDescent="0.25">
      <c r="A1493" s="21" t="s">
        <v>4367</v>
      </c>
      <c r="D1493" s="25"/>
      <c r="E1493" s="11"/>
      <c r="F1493" s="26">
        <v>7263</v>
      </c>
      <c r="G1493" s="11" t="s">
        <v>4368</v>
      </c>
      <c r="H1493" s="11" t="s">
        <v>2783</v>
      </c>
      <c r="I1493" s="12" t="s">
        <v>4368</v>
      </c>
      <c r="J1493" s="11" t="s">
        <v>2805</v>
      </c>
    </row>
    <row r="1494" spans="1:10" s="10" customFormat="1" x14ac:dyDescent="0.25">
      <c r="A1494" s="21" t="s">
        <v>64</v>
      </c>
      <c r="D1494" s="25"/>
      <c r="E1494" s="11"/>
      <c r="F1494" s="26">
        <v>6005</v>
      </c>
      <c r="G1494" s="11" t="s">
        <v>68</v>
      </c>
      <c r="H1494" s="11" t="s">
        <v>2783</v>
      </c>
      <c r="I1494" s="12" t="s">
        <v>65</v>
      </c>
      <c r="J1494" s="11" t="s">
        <v>2805</v>
      </c>
    </row>
    <row r="1495" spans="1:10" s="10" customFormat="1" x14ac:dyDescent="0.25">
      <c r="A1495" s="21" t="s">
        <v>4370</v>
      </c>
      <c r="D1495" s="25"/>
      <c r="E1495" s="11"/>
      <c r="F1495" s="26">
        <v>7223</v>
      </c>
      <c r="G1495" s="11" t="s">
        <v>4374</v>
      </c>
      <c r="H1495" s="11" t="s">
        <v>2783</v>
      </c>
      <c r="I1495" s="12" t="s">
        <v>4371</v>
      </c>
      <c r="J1495" s="11" t="s">
        <v>2805</v>
      </c>
    </row>
    <row r="1496" spans="1:10" s="10" customFormat="1" x14ac:dyDescent="0.25">
      <c r="A1496" s="21" t="s">
        <v>4375</v>
      </c>
      <c r="D1496" s="25"/>
      <c r="E1496" s="11"/>
      <c r="F1496" s="26">
        <v>7101</v>
      </c>
      <c r="G1496" s="11" t="s">
        <v>4378</v>
      </c>
      <c r="H1496" s="11" t="s">
        <v>2783</v>
      </c>
      <c r="I1496" s="12" t="s">
        <v>4376</v>
      </c>
      <c r="J1496" s="11" t="s">
        <v>2805</v>
      </c>
    </row>
    <row r="1497" spans="1:10" s="10" customFormat="1" x14ac:dyDescent="0.25">
      <c r="A1497" s="21" t="s">
        <v>2404</v>
      </c>
      <c r="D1497" s="25"/>
      <c r="E1497" s="11"/>
      <c r="F1497" s="26">
        <v>7118</v>
      </c>
      <c r="G1497" s="11" t="s">
        <v>2407</v>
      </c>
      <c r="H1497" s="11" t="s">
        <v>2783</v>
      </c>
      <c r="I1497" s="12" t="s">
        <v>2405</v>
      </c>
      <c r="J1497" s="11" t="s">
        <v>2805</v>
      </c>
    </row>
    <row r="1498" spans="1:10" s="10" customFormat="1" x14ac:dyDescent="0.25">
      <c r="A1498" s="21" t="s">
        <v>3046</v>
      </c>
      <c r="D1498" s="25"/>
      <c r="E1498" s="11"/>
      <c r="F1498" s="26">
        <v>7406</v>
      </c>
      <c r="G1498" s="11" t="s">
        <v>3049</v>
      </c>
      <c r="H1498" s="11" t="s">
        <v>2783</v>
      </c>
      <c r="I1498" s="12" t="s">
        <v>3047</v>
      </c>
      <c r="J1498" s="11" t="s">
        <v>2805</v>
      </c>
    </row>
    <row r="1499" spans="1:10" s="10" customFormat="1" x14ac:dyDescent="0.25">
      <c r="A1499" s="21" t="s">
        <v>4388</v>
      </c>
      <c r="D1499" s="25"/>
      <c r="E1499" s="11"/>
      <c r="F1499" s="26">
        <v>1741</v>
      </c>
      <c r="G1499" s="11" t="s">
        <v>4401</v>
      </c>
      <c r="H1499" s="11" t="s">
        <v>2783</v>
      </c>
      <c r="I1499" s="12" t="s">
        <v>4389</v>
      </c>
      <c r="J1499" s="11" t="s">
        <v>2805</v>
      </c>
    </row>
    <row r="1500" spans="1:10" s="10" customFormat="1" x14ac:dyDescent="0.25">
      <c r="A1500" s="21" t="s">
        <v>2408</v>
      </c>
      <c r="D1500" s="25"/>
      <c r="E1500" s="11"/>
      <c r="F1500" s="26">
        <v>7103</v>
      </c>
      <c r="G1500" s="11" t="s">
        <v>2412</v>
      </c>
      <c r="H1500" s="11" t="s">
        <v>2783</v>
      </c>
      <c r="I1500" s="12" t="s">
        <v>2409</v>
      </c>
      <c r="J1500" s="11" t="s">
        <v>2805</v>
      </c>
    </row>
    <row r="1501" spans="1:10" s="10" customFormat="1" x14ac:dyDescent="0.25">
      <c r="A1501" s="21" t="s">
        <v>2413</v>
      </c>
      <c r="D1501" s="25"/>
      <c r="E1501" s="11"/>
      <c r="F1501" s="26">
        <v>7163</v>
      </c>
      <c r="G1501" s="11" t="s">
        <v>2416</v>
      </c>
      <c r="H1501" s="11" t="s">
        <v>2783</v>
      </c>
      <c r="I1501" s="12" t="s">
        <v>2414</v>
      </c>
      <c r="J1501" s="11" t="s">
        <v>2805</v>
      </c>
    </row>
    <row r="1502" spans="1:10" s="10" customFormat="1" x14ac:dyDescent="0.25">
      <c r="A1502" s="21" t="s">
        <v>69</v>
      </c>
      <c r="D1502" s="25"/>
      <c r="E1502" s="11"/>
      <c r="F1502" s="26">
        <v>6646</v>
      </c>
      <c r="G1502" s="11" t="s">
        <v>70</v>
      </c>
      <c r="H1502" s="11" t="s">
        <v>2783</v>
      </c>
      <c r="I1502" s="12" t="s">
        <v>70</v>
      </c>
      <c r="J1502" s="11" t="s">
        <v>2805</v>
      </c>
    </row>
    <row r="1503" spans="1:10" s="10" customFormat="1" x14ac:dyDescent="0.25">
      <c r="A1503" s="21" t="s">
        <v>4721</v>
      </c>
      <c r="D1503" s="25"/>
      <c r="E1503" s="11"/>
      <c r="F1503" s="26">
        <v>1617</v>
      </c>
      <c r="G1503" s="11" t="s">
        <v>4722</v>
      </c>
      <c r="H1503" s="11" t="s">
        <v>2783</v>
      </c>
      <c r="I1503" s="12" t="s">
        <v>4722</v>
      </c>
      <c r="J1503" s="11" t="s">
        <v>2800</v>
      </c>
    </row>
    <row r="1504" spans="1:10" s="10" customFormat="1" x14ac:dyDescent="0.25">
      <c r="A1504" s="21" t="s">
        <v>72</v>
      </c>
      <c r="D1504" s="25"/>
      <c r="E1504" s="11"/>
      <c r="F1504" s="26">
        <v>6050</v>
      </c>
      <c r="G1504" s="11" t="s">
        <v>75</v>
      </c>
      <c r="H1504" s="11" t="s">
        <v>2783</v>
      </c>
      <c r="I1504" s="12" t="s">
        <v>73</v>
      </c>
      <c r="J1504" s="11" t="s">
        <v>2805</v>
      </c>
    </row>
    <row r="1505" spans="1:10" s="10" customFormat="1" x14ac:dyDescent="0.25">
      <c r="A1505" s="21" t="s">
        <v>2417</v>
      </c>
      <c r="D1505" s="25"/>
      <c r="E1505" s="11"/>
      <c r="F1505" s="26">
        <v>7172</v>
      </c>
      <c r="G1505" s="11" t="s">
        <v>2420</v>
      </c>
      <c r="H1505" s="11" t="s">
        <v>2783</v>
      </c>
      <c r="I1505" s="12" t="s">
        <v>2418</v>
      </c>
      <c r="J1505" s="11" t="s">
        <v>2805</v>
      </c>
    </row>
    <row r="1506" spans="1:10" s="10" customFormat="1" x14ac:dyDescent="0.25">
      <c r="A1506" s="21" t="s">
        <v>76</v>
      </c>
      <c r="D1506" s="25"/>
      <c r="E1506" s="11"/>
      <c r="F1506" s="26">
        <v>1748</v>
      </c>
      <c r="G1506" s="11" t="s">
        <v>80</v>
      </c>
      <c r="H1506" s="11" t="s">
        <v>2783</v>
      </c>
      <c r="I1506" s="12" t="s">
        <v>77</v>
      </c>
      <c r="J1506" s="11" t="s">
        <v>2800</v>
      </c>
    </row>
    <row r="1507" spans="1:10" s="10" customFormat="1" x14ac:dyDescent="0.25">
      <c r="A1507" s="21" t="s">
        <v>1139</v>
      </c>
      <c r="D1507" s="25"/>
      <c r="E1507" s="11"/>
      <c r="F1507" s="26">
        <v>2905</v>
      </c>
      <c r="G1507" s="11" t="s">
        <v>1140</v>
      </c>
      <c r="H1507" s="11" t="s">
        <v>2783</v>
      </c>
      <c r="I1507" s="12" t="s">
        <v>1140</v>
      </c>
      <c r="J1507" s="11" t="s">
        <v>2805</v>
      </c>
    </row>
    <row r="1508" spans="1:10" s="10" customFormat="1" x14ac:dyDescent="0.25">
      <c r="A1508" s="21" t="s">
        <v>2173</v>
      </c>
      <c r="D1508" s="25"/>
      <c r="E1508" s="11"/>
      <c r="F1508" s="26">
        <v>1650</v>
      </c>
      <c r="G1508" s="11" t="s">
        <v>4769</v>
      </c>
      <c r="H1508" s="11" t="s">
        <v>2783</v>
      </c>
      <c r="I1508" s="12" t="s">
        <v>247</v>
      </c>
      <c r="J1508" s="11" t="s">
        <v>2800</v>
      </c>
    </row>
    <row r="1509" spans="1:10" s="10" customFormat="1" x14ac:dyDescent="0.25">
      <c r="A1509" s="21" t="s">
        <v>81</v>
      </c>
      <c r="D1509" s="25"/>
      <c r="E1509" s="11"/>
      <c r="F1509" s="26">
        <v>6230</v>
      </c>
      <c r="G1509" s="11" t="s">
        <v>2650</v>
      </c>
      <c r="H1509" s="11" t="s">
        <v>2783</v>
      </c>
      <c r="I1509" s="12" t="s">
        <v>82</v>
      </c>
      <c r="J1509" s="11" t="s">
        <v>2800</v>
      </c>
    </row>
    <row r="1510" spans="1:10" s="10" customFormat="1" x14ac:dyDescent="0.25">
      <c r="A1510" s="21" t="s">
        <v>2260</v>
      </c>
      <c r="D1510" s="25"/>
      <c r="E1510" s="11"/>
      <c r="F1510" s="26">
        <v>1823</v>
      </c>
      <c r="G1510" s="11" t="s">
        <v>2261</v>
      </c>
      <c r="H1510" s="11" t="s">
        <v>2783</v>
      </c>
      <c r="I1510" s="12" t="s">
        <v>2261</v>
      </c>
      <c r="J1510" s="11" t="s">
        <v>2800</v>
      </c>
    </row>
    <row r="1511" spans="1:10" s="10" customFormat="1" x14ac:dyDescent="0.25">
      <c r="A1511" s="21" t="s">
        <v>2651</v>
      </c>
      <c r="D1511" s="25"/>
      <c r="E1511" s="11"/>
      <c r="F1511" s="26">
        <v>6053</v>
      </c>
      <c r="G1511" s="11" t="s">
        <v>2652</v>
      </c>
      <c r="H1511" s="11" t="s">
        <v>2783</v>
      </c>
      <c r="I1511" s="12" t="s">
        <v>2652</v>
      </c>
      <c r="J1511" s="11" t="s">
        <v>2805</v>
      </c>
    </row>
    <row r="1512" spans="1:10" s="10" customFormat="1" x14ac:dyDescent="0.25">
      <c r="A1512" s="21" t="s">
        <v>1463</v>
      </c>
      <c r="D1512" s="25"/>
      <c r="E1512" s="11"/>
      <c r="F1512" s="26">
        <v>1856</v>
      </c>
      <c r="G1512" s="11" t="s">
        <v>1464</v>
      </c>
      <c r="H1512" s="11" t="s">
        <v>2783</v>
      </c>
      <c r="I1512" s="12" t="s">
        <v>1464</v>
      </c>
      <c r="J1512" s="11" t="s">
        <v>2805</v>
      </c>
    </row>
    <row r="1513" spans="1:10" s="10" customFormat="1" x14ac:dyDescent="0.25">
      <c r="A1513" s="21" t="s">
        <v>2860</v>
      </c>
      <c r="D1513" s="25"/>
      <c r="E1513" s="11"/>
      <c r="F1513" s="26">
        <v>2946</v>
      </c>
      <c r="G1513" s="11" t="s">
        <v>298</v>
      </c>
      <c r="H1513" s="11" t="s">
        <v>2783</v>
      </c>
      <c r="I1513" s="12" t="s">
        <v>2861</v>
      </c>
      <c r="J1513" s="11" t="s">
        <v>2805</v>
      </c>
    </row>
    <row r="1514" spans="1:10" s="10" customFormat="1" x14ac:dyDescent="0.25">
      <c r="A1514" s="21" t="s">
        <v>2654</v>
      </c>
      <c r="D1514" s="25"/>
      <c r="E1514" s="11"/>
      <c r="F1514" s="26">
        <v>6621</v>
      </c>
      <c r="G1514" s="11" t="s">
        <v>2657</v>
      </c>
      <c r="H1514" s="11" t="s">
        <v>2783</v>
      </c>
      <c r="I1514" s="12" t="s">
        <v>2655</v>
      </c>
      <c r="J1514" s="11" t="s">
        <v>2805</v>
      </c>
    </row>
    <row r="1515" spans="1:10" s="10" customFormat="1" x14ac:dyDescent="0.25">
      <c r="A1515" s="21" t="s">
        <v>1466</v>
      </c>
      <c r="D1515" s="25"/>
      <c r="E1515" s="11"/>
      <c r="F1515" s="26">
        <v>1759</v>
      </c>
      <c r="G1515" s="11" t="s">
        <v>1467</v>
      </c>
      <c r="H1515" s="11" t="s">
        <v>2783</v>
      </c>
      <c r="I1515" s="12" t="s">
        <v>1467</v>
      </c>
      <c r="J1515" s="11" t="s">
        <v>2800</v>
      </c>
    </row>
    <row r="1516" spans="1:10" s="10" customFormat="1" x14ac:dyDescent="0.25">
      <c r="A1516" s="21" t="s">
        <v>2658</v>
      </c>
      <c r="D1516" s="25"/>
      <c r="E1516" s="11"/>
      <c r="F1516" s="26">
        <v>6239</v>
      </c>
      <c r="G1516" s="11" t="s">
        <v>2659</v>
      </c>
      <c r="H1516" s="11" t="s">
        <v>2783</v>
      </c>
      <c r="I1516" s="12" t="s">
        <v>2659</v>
      </c>
      <c r="J1516" s="11" t="s">
        <v>2805</v>
      </c>
    </row>
    <row r="1517" spans="1:10" s="10" customFormat="1" x14ac:dyDescent="0.25">
      <c r="A1517" s="21" t="s">
        <v>2333</v>
      </c>
      <c r="D1517" s="25"/>
      <c r="E1517" s="11"/>
      <c r="F1517" s="26">
        <v>8105</v>
      </c>
      <c r="G1517" s="11" t="s">
        <v>3045</v>
      </c>
      <c r="H1517" s="11" t="s">
        <v>2783</v>
      </c>
      <c r="I1517" s="12" t="s">
        <v>2334</v>
      </c>
      <c r="J1517" s="11" t="s">
        <v>2805</v>
      </c>
    </row>
    <row r="1518" spans="1:10" s="10" customFormat="1" x14ac:dyDescent="0.25">
      <c r="A1518" s="21" t="s">
        <v>2216</v>
      </c>
      <c r="D1518" s="25"/>
      <c r="E1518" s="11"/>
      <c r="F1518" s="26">
        <v>1615</v>
      </c>
      <c r="G1518" s="11" t="s">
        <v>2217</v>
      </c>
      <c r="H1518" s="11" t="s">
        <v>2783</v>
      </c>
      <c r="I1518" s="12" t="s">
        <v>2217</v>
      </c>
      <c r="J1518" s="11" t="s">
        <v>2805</v>
      </c>
    </row>
    <row r="1519" spans="1:10" s="10" customFormat="1" x14ac:dyDescent="0.25">
      <c r="A1519" s="21" t="s">
        <v>1442</v>
      </c>
      <c r="D1519" s="25"/>
      <c r="E1519" s="11"/>
      <c r="F1519" s="26">
        <v>1757</v>
      </c>
      <c r="G1519" s="11" t="s">
        <v>1446</v>
      </c>
      <c r="H1519" s="11" t="s">
        <v>2783</v>
      </c>
      <c r="I1519" s="12" t="s">
        <v>1443</v>
      </c>
      <c r="J1519" s="11" t="s">
        <v>2800</v>
      </c>
    </row>
    <row r="1520" spans="1:10" s="10" customFormat="1" x14ac:dyDescent="0.25">
      <c r="A1520" s="21" t="s">
        <v>3050</v>
      </c>
      <c r="D1520" s="25"/>
      <c r="E1520" s="11"/>
      <c r="F1520" s="26">
        <v>6435</v>
      </c>
      <c r="G1520" s="11" t="s">
        <v>3053</v>
      </c>
      <c r="H1520" s="11" t="s">
        <v>2783</v>
      </c>
      <c r="I1520" s="12" t="s">
        <v>3051</v>
      </c>
      <c r="J1520" s="11" t="s">
        <v>2805</v>
      </c>
    </row>
    <row r="1521" spans="1:10" s="10" customFormat="1" x14ac:dyDescent="0.25">
      <c r="A1521" s="21" t="s">
        <v>4379</v>
      </c>
      <c r="D1521" s="25"/>
      <c r="E1521" s="11"/>
      <c r="F1521" s="26">
        <v>1862</v>
      </c>
      <c r="G1521" s="11" t="s">
        <v>4380</v>
      </c>
      <c r="H1521" s="11" t="s">
        <v>2783</v>
      </c>
      <c r="I1521" s="12" t="s">
        <v>4380</v>
      </c>
      <c r="J1521" s="11" t="s">
        <v>2805</v>
      </c>
    </row>
    <row r="1522" spans="1:10" s="10" customFormat="1" x14ac:dyDescent="0.25">
      <c r="A1522" s="21" t="s">
        <v>1470</v>
      </c>
      <c r="D1522" s="25"/>
      <c r="E1522" s="11"/>
      <c r="F1522" s="26">
        <v>1885</v>
      </c>
      <c r="G1522" s="11" t="s">
        <v>1640</v>
      </c>
      <c r="H1522" s="11" t="s">
        <v>2783</v>
      </c>
      <c r="I1522" s="12" t="s">
        <v>1637</v>
      </c>
      <c r="J1522" s="11" t="s">
        <v>2805</v>
      </c>
    </row>
    <row r="1523" spans="1:10" s="10" customFormat="1" x14ac:dyDescent="0.25">
      <c r="A1523" s="21" t="s">
        <v>4303</v>
      </c>
      <c r="D1523" s="25"/>
      <c r="E1523" s="11"/>
      <c r="F1523" s="26">
        <v>1706</v>
      </c>
      <c r="G1523" s="11" t="s">
        <v>4304</v>
      </c>
      <c r="H1523" s="11" t="s">
        <v>2783</v>
      </c>
      <c r="I1523" s="12" t="s">
        <v>4304</v>
      </c>
      <c r="J1523" s="11" t="s">
        <v>2800</v>
      </c>
    </row>
    <row r="1524" spans="1:10" s="10" customFormat="1" x14ac:dyDescent="0.25">
      <c r="A1524" s="21" t="s">
        <v>2661</v>
      </c>
      <c r="D1524" s="25"/>
      <c r="E1524" s="11"/>
      <c r="F1524" s="26">
        <v>6465</v>
      </c>
      <c r="G1524" s="11" t="s">
        <v>2662</v>
      </c>
      <c r="H1524" s="11" t="s">
        <v>2783</v>
      </c>
      <c r="I1524" s="12" t="s">
        <v>2662</v>
      </c>
      <c r="J1524" s="11" t="s">
        <v>2805</v>
      </c>
    </row>
    <row r="1525" spans="1:10" s="10" customFormat="1" x14ac:dyDescent="0.25">
      <c r="A1525" s="21" t="s">
        <v>3054</v>
      </c>
      <c r="D1525" s="25"/>
      <c r="E1525" s="11"/>
      <c r="F1525" s="26">
        <v>8142</v>
      </c>
      <c r="G1525" s="11" t="s">
        <v>3055</v>
      </c>
      <c r="H1525" s="11" t="s">
        <v>2783</v>
      </c>
      <c r="I1525" s="12" t="s">
        <v>3055</v>
      </c>
      <c r="J1525" s="11" t="s">
        <v>2805</v>
      </c>
    </row>
    <row r="1526" spans="1:10" s="10" customFormat="1" x14ac:dyDescent="0.25">
      <c r="A1526" s="21" t="s">
        <v>3057</v>
      </c>
      <c r="D1526" s="25"/>
      <c r="E1526" s="11"/>
      <c r="F1526" s="26">
        <v>7318</v>
      </c>
      <c r="G1526" s="11" t="s">
        <v>3058</v>
      </c>
      <c r="H1526" s="11" t="s">
        <v>2783</v>
      </c>
      <c r="I1526" s="12" t="s">
        <v>3058</v>
      </c>
      <c r="J1526" s="11" t="s">
        <v>2805</v>
      </c>
    </row>
    <row r="1527" spans="1:10" s="10" customFormat="1" x14ac:dyDescent="0.25">
      <c r="A1527" s="21" t="s">
        <v>3060</v>
      </c>
      <c r="D1527" s="25"/>
      <c r="E1527" s="11"/>
      <c r="F1527" s="26">
        <v>7545</v>
      </c>
      <c r="G1527" s="11" t="s">
        <v>3061</v>
      </c>
      <c r="H1527" s="11" t="s">
        <v>2783</v>
      </c>
      <c r="I1527" s="12" t="s">
        <v>3061</v>
      </c>
      <c r="J1527" s="11" t="s">
        <v>2805</v>
      </c>
    </row>
    <row r="1528" spans="1:10" s="10" customFormat="1" x14ac:dyDescent="0.25">
      <c r="A1528" s="21" t="s">
        <v>2200</v>
      </c>
      <c r="D1528" s="25"/>
      <c r="E1528" s="11"/>
      <c r="F1528" s="26">
        <v>1686</v>
      </c>
      <c r="G1528" s="11" t="s">
        <v>2201</v>
      </c>
      <c r="H1528" s="11" t="s">
        <v>2783</v>
      </c>
      <c r="I1528" s="12" t="s">
        <v>2201</v>
      </c>
      <c r="J1528" s="11" t="s">
        <v>2800</v>
      </c>
    </row>
    <row r="1529" spans="1:10" s="10" customFormat="1" x14ac:dyDescent="0.25">
      <c r="A1529" s="21" t="s">
        <v>3063</v>
      </c>
      <c r="D1529" s="25"/>
      <c r="E1529" s="11"/>
      <c r="F1529" s="26">
        <v>7501</v>
      </c>
      <c r="G1529" s="11" t="s">
        <v>3064</v>
      </c>
      <c r="H1529" s="11" t="s">
        <v>2783</v>
      </c>
      <c r="I1529" s="12" t="s">
        <v>3064</v>
      </c>
      <c r="J1529" s="11" t="s">
        <v>2805</v>
      </c>
    </row>
    <row r="1530" spans="1:10" s="10" customFormat="1" x14ac:dyDescent="0.25">
      <c r="A1530" s="21" t="s">
        <v>2664</v>
      </c>
      <c r="D1530" s="25"/>
      <c r="E1530" s="11"/>
      <c r="F1530" s="26">
        <v>2747</v>
      </c>
      <c r="G1530" s="11" t="s">
        <v>2665</v>
      </c>
      <c r="H1530" s="11" t="s">
        <v>2783</v>
      </c>
      <c r="I1530" s="12" t="s">
        <v>2665</v>
      </c>
      <c r="J1530" s="11" t="s">
        <v>2805</v>
      </c>
    </row>
    <row r="1531" spans="1:10" s="10" customFormat="1" x14ac:dyDescent="0.25">
      <c r="A1531" s="21" t="s">
        <v>299</v>
      </c>
      <c r="D1531" s="25"/>
      <c r="E1531" s="11"/>
      <c r="F1531" s="26">
        <v>1623</v>
      </c>
      <c r="G1531" s="11" t="s">
        <v>303</v>
      </c>
      <c r="H1531" s="11" t="s">
        <v>2783</v>
      </c>
      <c r="I1531" s="12" t="s">
        <v>300</v>
      </c>
      <c r="J1531" s="11" t="s">
        <v>2800</v>
      </c>
    </row>
    <row r="1532" spans="1:10" s="10" customFormat="1" x14ac:dyDescent="0.25">
      <c r="A1532" s="21" t="s">
        <v>3067</v>
      </c>
      <c r="D1532" s="25"/>
      <c r="E1532" s="11"/>
      <c r="F1532" s="26">
        <v>8103</v>
      </c>
      <c r="G1532" s="11" t="s">
        <v>3070</v>
      </c>
      <c r="H1532" s="11" t="s">
        <v>2783</v>
      </c>
      <c r="I1532" s="12" t="s">
        <v>3068</v>
      </c>
      <c r="J1532" s="11" t="s">
        <v>2805</v>
      </c>
    </row>
    <row r="1533" spans="1:10" s="10" customFormat="1" x14ac:dyDescent="0.25">
      <c r="A1533" s="21" t="s">
        <v>2264</v>
      </c>
      <c r="D1533" s="25"/>
      <c r="E1533" s="11"/>
      <c r="F1533" s="26">
        <v>1765</v>
      </c>
      <c r="G1533" s="11" t="s">
        <v>2265</v>
      </c>
      <c r="H1533" s="11" t="s">
        <v>2783</v>
      </c>
      <c r="I1533" s="12" t="s">
        <v>2265</v>
      </c>
      <c r="J1533" s="11" t="s">
        <v>2800</v>
      </c>
    </row>
    <row r="1534" spans="1:10" s="10" customFormat="1" x14ac:dyDescent="0.25">
      <c r="A1534" s="21" t="s">
        <v>1675</v>
      </c>
      <c r="D1534" s="25"/>
      <c r="E1534" s="11"/>
      <c r="F1534" s="26">
        <v>1714</v>
      </c>
      <c r="G1534" s="11" t="s">
        <v>2234</v>
      </c>
      <c r="H1534" s="11" t="s">
        <v>2783</v>
      </c>
      <c r="I1534" s="12" t="s">
        <v>2234</v>
      </c>
      <c r="J1534" s="11" t="s">
        <v>2800</v>
      </c>
    </row>
    <row r="1535" spans="1:10" s="10" customFormat="1" x14ac:dyDescent="0.25">
      <c r="A1535" s="21" t="s">
        <v>2667</v>
      </c>
      <c r="D1535" s="25"/>
      <c r="E1535" s="11"/>
      <c r="F1535" s="26">
        <v>6706</v>
      </c>
      <c r="G1535" s="11" t="s">
        <v>2671</v>
      </c>
      <c r="H1535" s="11" t="s">
        <v>2783</v>
      </c>
      <c r="I1535" s="12" t="s">
        <v>2668</v>
      </c>
      <c r="J1535" s="11" t="s">
        <v>2805</v>
      </c>
    </row>
    <row r="1536" spans="1:10" s="10" customFormat="1" x14ac:dyDescent="0.25">
      <c r="A1536" s="21" t="s">
        <v>2204</v>
      </c>
      <c r="D1536" s="25"/>
      <c r="E1536" s="11"/>
      <c r="F1536" s="26">
        <v>1665</v>
      </c>
      <c r="G1536" s="11" t="s">
        <v>2208</v>
      </c>
      <c r="H1536" s="11" t="s">
        <v>2783</v>
      </c>
      <c r="I1536" s="12" t="s">
        <v>2205</v>
      </c>
      <c r="J1536" s="11" t="s">
        <v>2800</v>
      </c>
    </row>
    <row r="1537" spans="1:10" s="10" customFormat="1" x14ac:dyDescent="0.25">
      <c r="A1537" s="21" t="s">
        <v>4790</v>
      </c>
      <c r="D1537" s="25"/>
      <c r="E1537" s="11"/>
      <c r="F1537" s="26">
        <v>1653</v>
      </c>
      <c r="G1537" s="11" t="s">
        <v>4699</v>
      </c>
      <c r="H1537" s="11" t="s">
        <v>2783</v>
      </c>
      <c r="I1537" s="12" t="s">
        <v>4699</v>
      </c>
      <c r="J1537" s="11" t="s">
        <v>2805</v>
      </c>
    </row>
    <row r="1538" spans="1:10" s="10" customFormat="1" x14ac:dyDescent="0.25">
      <c r="A1538" s="21" t="s">
        <v>2268</v>
      </c>
      <c r="D1538" s="25"/>
      <c r="E1538" s="11"/>
      <c r="F1538" s="26">
        <v>1845</v>
      </c>
      <c r="G1538" s="11" t="s">
        <v>2269</v>
      </c>
      <c r="H1538" s="11" t="s">
        <v>2783</v>
      </c>
      <c r="I1538" s="12" t="s">
        <v>2269</v>
      </c>
      <c r="J1538" s="11" t="s">
        <v>2805</v>
      </c>
    </row>
    <row r="1539" spans="1:10" s="10" customFormat="1" x14ac:dyDescent="0.25">
      <c r="A1539" s="21" t="s">
        <v>2672</v>
      </c>
      <c r="D1539" s="25"/>
      <c r="E1539" s="11"/>
      <c r="F1539" s="26">
        <v>6034</v>
      </c>
      <c r="G1539" s="11" t="s">
        <v>2676</v>
      </c>
      <c r="H1539" s="11" t="s">
        <v>2783</v>
      </c>
      <c r="I1539" s="12" t="s">
        <v>2673</v>
      </c>
      <c r="J1539" s="11" t="s">
        <v>2805</v>
      </c>
    </row>
    <row r="1540" spans="1:10" s="10" customFormat="1" x14ac:dyDescent="0.25">
      <c r="A1540" s="21" t="s">
        <v>432</v>
      </c>
      <c r="D1540" s="25"/>
      <c r="E1540" s="11"/>
      <c r="F1540" s="26">
        <v>8136</v>
      </c>
      <c r="G1540" s="11" t="s">
        <v>433</v>
      </c>
      <c r="H1540" s="11" t="s">
        <v>2783</v>
      </c>
      <c r="I1540" s="12" t="s">
        <v>433</v>
      </c>
      <c r="J1540" s="11" t="s">
        <v>2805</v>
      </c>
    </row>
    <row r="1541" spans="1:10" s="10" customFormat="1" x14ac:dyDescent="0.25">
      <c r="A1541" s="21" t="s">
        <v>2677</v>
      </c>
      <c r="D1541" s="25"/>
      <c r="E1541" s="11"/>
      <c r="F1541" s="26">
        <v>6474</v>
      </c>
      <c r="G1541" s="11" t="s">
        <v>2681</v>
      </c>
      <c r="H1541" s="11" t="s">
        <v>2783</v>
      </c>
      <c r="I1541" s="12" t="s">
        <v>2678</v>
      </c>
      <c r="J1541" s="11" t="s">
        <v>2805</v>
      </c>
    </row>
    <row r="1542" spans="1:10" s="10" customFormat="1" x14ac:dyDescent="0.25">
      <c r="A1542" s="21" t="s">
        <v>3399</v>
      </c>
      <c r="D1542" s="25"/>
      <c r="E1542" s="11"/>
      <c r="F1542" s="26">
        <v>1890</v>
      </c>
      <c r="G1542" s="11" t="s">
        <v>4249</v>
      </c>
      <c r="H1542" s="11" t="s">
        <v>2783</v>
      </c>
      <c r="I1542" s="12" t="s">
        <v>4249</v>
      </c>
      <c r="J1542" s="11" t="s">
        <v>2805</v>
      </c>
    </row>
    <row r="1543" spans="1:10" s="10" customFormat="1" x14ac:dyDescent="0.25">
      <c r="A1543" s="21" t="s">
        <v>2421</v>
      </c>
      <c r="D1543" s="25"/>
      <c r="E1543" s="11"/>
      <c r="F1543" s="26">
        <v>7011</v>
      </c>
      <c r="G1543" s="11" t="s">
        <v>2424</v>
      </c>
      <c r="H1543" s="11" t="s">
        <v>2783</v>
      </c>
      <c r="I1543" s="12" t="s">
        <v>2422</v>
      </c>
      <c r="J1543" s="11" t="s">
        <v>2805</v>
      </c>
    </row>
    <row r="1544" spans="1:10" s="10" customFormat="1" x14ac:dyDescent="0.25">
      <c r="A1544" s="21" t="s">
        <v>2685</v>
      </c>
      <c r="D1544" s="25"/>
      <c r="E1544" s="11"/>
      <c r="F1544" s="26">
        <v>6002</v>
      </c>
      <c r="G1544" s="11" t="s">
        <v>2683</v>
      </c>
      <c r="H1544" s="11" t="s">
        <v>2783</v>
      </c>
      <c r="I1544" s="12" t="s">
        <v>2686</v>
      </c>
      <c r="J1544" s="11" t="s">
        <v>2805</v>
      </c>
    </row>
    <row r="1545" spans="1:10" s="10" customFormat="1" x14ac:dyDescent="0.25">
      <c r="A1545" s="21" t="s">
        <v>2682</v>
      </c>
      <c r="D1545" s="25"/>
      <c r="E1545" s="11"/>
      <c r="F1545" s="26">
        <v>6000</v>
      </c>
      <c r="G1545" s="11" t="s">
        <v>2683</v>
      </c>
      <c r="H1545" s="11" t="s">
        <v>2783</v>
      </c>
      <c r="I1545" s="12" t="s">
        <v>2683</v>
      </c>
      <c r="J1545" s="11" t="s">
        <v>2800</v>
      </c>
    </row>
    <row r="1546" spans="1:10" s="10" customFormat="1" x14ac:dyDescent="0.25">
      <c r="A1546" s="21" t="s">
        <v>3071</v>
      </c>
      <c r="D1546" s="25"/>
      <c r="E1546" s="11"/>
      <c r="F1546" s="26">
        <v>7408</v>
      </c>
      <c r="G1546" s="11" t="s">
        <v>3072</v>
      </c>
      <c r="H1546" s="11" t="s">
        <v>2783</v>
      </c>
      <c r="I1546" s="12" t="s">
        <v>3072</v>
      </c>
      <c r="J1546" s="11" t="s">
        <v>2805</v>
      </c>
    </row>
    <row r="1547" spans="1:10" s="10" customFormat="1" x14ac:dyDescent="0.25">
      <c r="A1547" s="21" t="s">
        <v>2425</v>
      </c>
      <c r="D1547" s="25"/>
      <c r="E1547" s="11"/>
      <c r="F1547" s="26">
        <v>7637</v>
      </c>
      <c r="G1547" s="11" t="s">
        <v>2426</v>
      </c>
      <c r="H1547" s="11" t="s">
        <v>2783</v>
      </c>
      <c r="I1547" s="12" t="s">
        <v>2426</v>
      </c>
      <c r="J1547" s="11" t="s">
        <v>2805</v>
      </c>
    </row>
    <row r="1548" spans="1:10" s="10" customFormat="1" x14ac:dyDescent="0.25">
      <c r="A1548" s="21" t="s">
        <v>1749</v>
      </c>
      <c r="D1548" s="25"/>
      <c r="E1548" s="11"/>
      <c r="F1548" s="26">
        <v>1902</v>
      </c>
      <c r="G1548" s="11" t="s">
        <v>1750</v>
      </c>
      <c r="H1548" s="11" t="s">
        <v>2783</v>
      </c>
      <c r="I1548" s="12" t="s">
        <v>1750</v>
      </c>
      <c r="J1548" s="11" t="s">
        <v>2800</v>
      </c>
    </row>
    <row r="1549" spans="1:10" s="10" customFormat="1" x14ac:dyDescent="0.25">
      <c r="A1549" s="21" t="s">
        <v>3431</v>
      </c>
      <c r="D1549" s="25"/>
      <c r="E1549" s="11"/>
      <c r="F1549" s="26">
        <v>1900</v>
      </c>
      <c r="G1549" s="11" t="s">
        <v>1750</v>
      </c>
      <c r="H1549" s="11" t="s">
        <v>2783</v>
      </c>
      <c r="I1549" s="12" t="s">
        <v>3432</v>
      </c>
      <c r="J1549" s="11" t="s">
        <v>2800</v>
      </c>
    </row>
    <row r="1550" spans="1:10" s="10" customFormat="1" x14ac:dyDescent="0.25">
      <c r="A1550" s="21" t="s">
        <v>1752</v>
      </c>
      <c r="D1550" s="25"/>
      <c r="E1550" s="11"/>
      <c r="F1550" s="26">
        <v>1908</v>
      </c>
      <c r="G1550" s="11" t="s">
        <v>1750</v>
      </c>
      <c r="H1550" s="11" t="s">
        <v>2783</v>
      </c>
      <c r="I1550" s="12" t="s">
        <v>1753</v>
      </c>
      <c r="J1550" s="11" t="s">
        <v>2805</v>
      </c>
    </row>
    <row r="1551" spans="1:10" s="10" customFormat="1" x14ac:dyDescent="0.25">
      <c r="A1551" s="21" t="s">
        <v>1755</v>
      </c>
      <c r="D1551" s="25"/>
      <c r="E1551" s="11"/>
      <c r="F1551" s="26">
        <v>1906</v>
      </c>
      <c r="G1551" s="11" t="s">
        <v>1750</v>
      </c>
      <c r="H1551" s="11" t="s">
        <v>2783</v>
      </c>
      <c r="I1551" s="12" t="s">
        <v>1756</v>
      </c>
      <c r="J1551" s="11" t="s">
        <v>2805</v>
      </c>
    </row>
    <row r="1552" spans="1:10" s="10" customFormat="1" x14ac:dyDescent="0.25">
      <c r="A1552" s="21" t="s">
        <v>1758</v>
      </c>
      <c r="D1552" s="25"/>
      <c r="E1552" s="11"/>
      <c r="F1552" s="26">
        <v>1900</v>
      </c>
      <c r="G1552" s="11" t="s">
        <v>1750</v>
      </c>
      <c r="H1552" s="11" t="s">
        <v>2783</v>
      </c>
      <c r="I1552" s="12" t="s">
        <v>1759</v>
      </c>
      <c r="J1552" s="11" t="s">
        <v>2800</v>
      </c>
    </row>
    <row r="1553" spans="1:10" s="10" customFormat="1" x14ac:dyDescent="0.25">
      <c r="A1553" s="21" t="s">
        <v>1761</v>
      </c>
      <c r="D1553" s="25"/>
      <c r="E1553" s="11"/>
      <c r="F1553" s="26">
        <v>1910</v>
      </c>
      <c r="G1553" s="11" t="s">
        <v>1750</v>
      </c>
      <c r="H1553" s="11" t="s">
        <v>2783</v>
      </c>
      <c r="I1553" s="12" t="s">
        <v>1762</v>
      </c>
      <c r="J1553" s="11" t="s">
        <v>2805</v>
      </c>
    </row>
    <row r="1554" spans="1:10" s="10" customFormat="1" x14ac:dyDescent="0.25">
      <c r="A1554" s="21" t="s">
        <v>1764</v>
      </c>
      <c r="D1554" s="25"/>
      <c r="E1554" s="11"/>
      <c r="F1554" s="26">
        <v>1900</v>
      </c>
      <c r="G1554" s="11" t="s">
        <v>1750</v>
      </c>
      <c r="H1554" s="11" t="s">
        <v>2783</v>
      </c>
      <c r="I1554" s="12" t="s">
        <v>1765</v>
      </c>
      <c r="J1554" s="11" t="s">
        <v>2805</v>
      </c>
    </row>
    <row r="1555" spans="1:10" s="10" customFormat="1" x14ac:dyDescent="0.25">
      <c r="A1555" s="21" t="s">
        <v>2292</v>
      </c>
      <c r="D1555" s="25"/>
      <c r="E1555" s="11"/>
      <c r="F1555" s="26">
        <v>1766</v>
      </c>
      <c r="G1555" s="11" t="s">
        <v>2293</v>
      </c>
      <c r="H1555" s="11" t="s">
        <v>2783</v>
      </c>
      <c r="I1555" s="12" t="s">
        <v>2293</v>
      </c>
      <c r="J1555" s="11" t="s">
        <v>2800</v>
      </c>
    </row>
    <row r="1556" spans="1:10" s="10" customFormat="1" x14ac:dyDescent="0.25">
      <c r="A1556" s="21" t="s">
        <v>1493</v>
      </c>
      <c r="D1556" s="25"/>
      <c r="E1556" s="11"/>
      <c r="F1556" s="26">
        <v>1768</v>
      </c>
      <c r="G1556" s="11" t="s">
        <v>2293</v>
      </c>
      <c r="H1556" s="11" t="s">
        <v>2783</v>
      </c>
      <c r="I1556" s="12" t="s">
        <v>1494</v>
      </c>
      <c r="J1556" s="11" t="s">
        <v>2805</v>
      </c>
    </row>
    <row r="1557" spans="1:10" s="10" customFormat="1" x14ac:dyDescent="0.25">
      <c r="A1557" s="21" t="s">
        <v>2272</v>
      </c>
      <c r="D1557" s="25"/>
      <c r="E1557" s="11"/>
      <c r="F1557" s="26">
        <v>1824</v>
      </c>
      <c r="G1557" s="11" t="s">
        <v>2276</v>
      </c>
      <c r="H1557" s="11" t="s">
        <v>2783</v>
      </c>
      <c r="I1557" s="12" t="s">
        <v>2273</v>
      </c>
      <c r="J1557" s="11" t="s">
        <v>2800</v>
      </c>
    </row>
    <row r="1558" spans="1:10" s="10" customFormat="1" x14ac:dyDescent="0.25">
      <c r="A1558" s="21" t="s">
        <v>1506</v>
      </c>
      <c r="D1558" s="25"/>
      <c r="E1558" s="11"/>
      <c r="F1558" s="26">
        <v>1825</v>
      </c>
      <c r="G1558" s="11" t="s">
        <v>2276</v>
      </c>
      <c r="H1558" s="11" t="s">
        <v>2783</v>
      </c>
      <c r="I1558" s="12" t="s">
        <v>4049</v>
      </c>
      <c r="J1558" s="11" t="s">
        <v>2805</v>
      </c>
    </row>
    <row r="1559" spans="1:10" s="10" customFormat="1" x14ac:dyDescent="0.25">
      <c r="A1559" s="21" t="s">
        <v>1488</v>
      </c>
      <c r="D1559" s="25"/>
      <c r="E1559" s="11"/>
      <c r="F1559" s="26">
        <v>1824</v>
      </c>
      <c r="G1559" s="11" t="s">
        <v>1492</v>
      </c>
      <c r="H1559" s="11" t="s">
        <v>2783</v>
      </c>
      <c r="I1559" s="12" t="s">
        <v>1489</v>
      </c>
      <c r="J1559" s="11" t="s">
        <v>2800</v>
      </c>
    </row>
    <row r="1560" spans="1:10" s="10" customFormat="1" x14ac:dyDescent="0.25">
      <c r="A1560" s="21" t="s">
        <v>3075</v>
      </c>
      <c r="D1560" s="25"/>
      <c r="E1560" s="11"/>
      <c r="F1560" s="26">
        <v>7414</v>
      </c>
      <c r="G1560" s="11" t="s">
        <v>3076</v>
      </c>
      <c r="H1560" s="11" t="s">
        <v>2783</v>
      </c>
      <c r="I1560" s="12" t="s">
        <v>3076</v>
      </c>
      <c r="J1560" s="11" t="s">
        <v>2805</v>
      </c>
    </row>
    <row r="1561" spans="1:10" s="10" customFormat="1" x14ac:dyDescent="0.25">
      <c r="A1561" s="21" t="s">
        <v>4385</v>
      </c>
      <c r="D1561" s="25"/>
      <c r="E1561" s="11"/>
      <c r="F1561" s="26">
        <v>7200</v>
      </c>
      <c r="G1561" s="11" t="s">
        <v>4386</v>
      </c>
      <c r="H1561" s="11" t="s">
        <v>2783</v>
      </c>
      <c r="I1561" s="12" t="s">
        <v>4386</v>
      </c>
      <c r="J1561" s="11" t="s">
        <v>2805</v>
      </c>
    </row>
    <row r="1562" spans="1:10" s="10" customFormat="1" x14ac:dyDescent="0.25">
      <c r="A1562" s="21" t="s">
        <v>4382</v>
      </c>
      <c r="D1562" s="25"/>
      <c r="E1562" s="11"/>
      <c r="F1562" s="26">
        <v>7106</v>
      </c>
      <c r="G1562" s="11" t="s">
        <v>4383</v>
      </c>
      <c r="H1562" s="11" t="s">
        <v>2783</v>
      </c>
      <c r="I1562" s="12" t="s">
        <v>4383</v>
      </c>
      <c r="J1562" s="11" t="s">
        <v>2805</v>
      </c>
    </row>
    <row r="1563" spans="1:10" s="10" customFormat="1" x14ac:dyDescent="0.25">
      <c r="A1563" s="21" t="s">
        <v>2688</v>
      </c>
      <c r="D1563" s="25"/>
      <c r="E1563" s="11"/>
      <c r="F1563" s="26">
        <v>6032</v>
      </c>
      <c r="G1563" s="11" t="s">
        <v>938</v>
      </c>
      <c r="H1563" s="11" t="s">
        <v>2783</v>
      </c>
      <c r="I1563" s="12" t="s">
        <v>2689</v>
      </c>
      <c r="J1563" s="11" t="s">
        <v>2805</v>
      </c>
    </row>
    <row r="1564" spans="1:10" s="10" customFormat="1" x14ac:dyDescent="0.25">
      <c r="A1564" s="21" t="s">
        <v>4402</v>
      </c>
      <c r="D1564" s="25"/>
      <c r="E1564" s="11"/>
      <c r="F1564" s="26">
        <v>7116</v>
      </c>
      <c r="G1564" s="11" t="s">
        <v>4403</v>
      </c>
      <c r="H1564" s="11" t="s">
        <v>2783</v>
      </c>
      <c r="I1564" s="12" t="s">
        <v>4403</v>
      </c>
      <c r="J1564" s="11" t="s">
        <v>2805</v>
      </c>
    </row>
    <row r="1565" spans="1:10" s="10" customFormat="1" x14ac:dyDescent="0.25">
      <c r="A1565" s="21" t="s">
        <v>4299</v>
      </c>
      <c r="D1565" s="25"/>
      <c r="E1565" s="11"/>
      <c r="F1565" s="26">
        <v>1716</v>
      </c>
      <c r="G1565" s="11" t="s">
        <v>4300</v>
      </c>
      <c r="H1565" s="11" t="s">
        <v>2783</v>
      </c>
      <c r="I1565" s="12" t="s">
        <v>4300</v>
      </c>
      <c r="J1565" s="11" t="s">
        <v>2805</v>
      </c>
    </row>
    <row r="1566" spans="1:10" s="10" customFormat="1" x14ac:dyDescent="0.25">
      <c r="A1566" s="21" t="s">
        <v>309</v>
      </c>
      <c r="D1566" s="25"/>
      <c r="E1566" s="11"/>
      <c r="F1566" s="26">
        <v>2806</v>
      </c>
      <c r="G1566" s="11" t="s">
        <v>310</v>
      </c>
      <c r="H1566" s="11" t="s">
        <v>2783</v>
      </c>
      <c r="I1566" s="12" t="s">
        <v>310</v>
      </c>
      <c r="J1566" s="11" t="s">
        <v>2805</v>
      </c>
    </row>
    <row r="1567" spans="1:10" s="10" customFormat="1" x14ac:dyDescent="0.25">
      <c r="A1567" s="21" t="s">
        <v>939</v>
      </c>
      <c r="D1567" s="25"/>
      <c r="E1567" s="11"/>
      <c r="F1567" s="26">
        <v>6070</v>
      </c>
      <c r="G1567" s="11" t="s">
        <v>940</v>
      </c>
      <c r="H1567" s="11" t="s">
        <v>2783</v>
      </c>
      <c r="I1567" s="12" t="s">
        <v>940</v>
      </c>
      <c r="J1567" s="11" t="s">
        <v>2805</v>
      </c>
    </row>
    <row r="1568" spans="1:10" s="10" customFormat="1" x14ac:dyDescent="0.25">
      <c r="A1568" s="21" t="s">
        <v>4406</v>
      </c>
      <c r="D1568" s="25"/>
      <c r="E1568" s="11"/>
      <c r="F1568" s="26">
        <v>1901</v>
      </c>
      <c r="G1568" s="11" t="s">
        <v>4409</v>
      </c>
      <c r="H1568" s="11" t="s">
        <v>2783</v>
      </c>
      <c r="I1568" s="12" t="s">
        <v>4407</v>
      </c>
      <c r="J1568" s="11" t="s">
        <v>2805</v>
      </c>
    </row>
    <row r="1569" spans="1:10" s="10" customFormat="1" x14ac:dyDescent="0.25">
      <c r="A1569" s="21" t="s">
        <v>1641</v>
      </c>
      <c r="D1569" s="25"/>
      <c r="E1569" s="11"/>
      <c r="F1569" s="26">
        <v>1836</v>
      </c>
      <c r="G1569" s="11" t="s">
        <v>1642</v>
      </c>
      <c r="H1569" s="11" t="s">
        <v>2783</v>
      </c>
      <c r="I1569" s="12" t="s">
        <v>1642</v>
      </c>
      <c r="J1569" s="11" t="s">
        <v>2800</v>
      </c>
    </row>
    <row r="1570" spans="1:10" s="10" customFormat="1" x14ac:dyDescent="0.25">
      <c r="A1570" s="21" t="s">
        <v>4257</v>
      </c>
      <c r="D1570" s="25"/>
      <c r="E1570" s="11"/>
      <c r="F1570" s="26">
        <v>7635</v>
      </c>
      <c r="G1570" s="11" t="s">
        <v>4258</v>
      </c>
      <c r="H1570" s="11" t="s">
        <v>2783</v>
      </c>
      <c r="I1570" s="12" t="s">
        <v>4258</v>
      </c>
      <c r="J1570" s="11" t="s">
        <v>2805</v>
      </c>
    </row>
    <row r="1571" spans="1:10" s="10" customFormat="1" x14ac:dyDescent="0.25">
      <c r="A1571" s="21" t="s">
        <v>4410</v>
      </c>
      <c r="D1571" s="25"/>
      <c r="E1571" s="11"/>
      <c r="F1571" s="26">
        <v>7240</v>
      </c>
      <c r="G1571" s="11" t="s">
        <v>4411</v>
      </c>
      <c r="H1571" s="11" t="s">
        <v>2783</v>
      </c>
      <c r="I1571" s="12" t="s">
        <v>4411</v>
      </c>
      <c r="J1571" s="11" t="s">
        <v>2805</v>
      </c>
    </row>
    <row r="1572" spans="1:10" s="10" customFormat="1" x14ac:dyDescent="0.25">
      <c r="A1572" s="21" t="s">
        <v>4701</v>
      </c>
      <c r="D1572" s="25"/>
      <c r="E1572" s="11"/>
      <c r="F1572" s="26">
        <v>1657</v>
      </c>
      <c r="G1572" s="11" t="s">
        <v>4702</v>
      </c>
      <c r="H1572" s="11" t="s">
        <v>2783</v>
      </c>
      <c r="I1572" s="12" t="s">
        <v>4702</v>
      </c>
      <c r="J1572" s="11" t="s">
        <v>2800</v>
      </c>
    </row>
    <row r="1573" spans="1:10" s="10" customFormat="1" x14ac:dyDescent="0.25">
      <c r="A1573" s="21" t="s">
        <v>3420</v>
      </c>
      <c r="D1573" s="25"/>
      <c r="E1573" s="11"/>
      <c r="F1573" s="26">
        <v>7436</v>
      </c>
      <c r="G1573" s="11" t="s">
        <v>3421</v>
      </c>
      <c r="H1573" s="11" t="s">
        <v>2783</v>
      </c>
      <c r="I1573" s="12" t="s">
        <v>3421</v>
      </c>
      <c r="J1573" s="11" t="s">
        <v>2805</v>
      </c>
    </row>
    <row r="1574" spans="1:10" s="10" customFormat="1" x14ac:dyDescent="0.25">
      <c r="A1574" s="21" t="s">
        <v>4148</v>
      </c>
      <c r="D1574" s="25"/>
      <c r="E1574" s="11"/>
      <c r="F1574" s="26">
        <v>1832</v>
      </c>
      <c r="G1574" s="11" t="s">
        <v>4149</v>
      </c>
      <c r="H1574" s="11" t="s">
        <v>2783</v>
      </c>
      <c r="I1574" s="12" t="s">
        <v>4149</v>
      </c>
      <c r="J1574" s="11" t="s">
        <v>2800</v>
      </c>
    </row>
    <row r="1575" spans="1:10" s="10" customFormat="1" x14ac:dyDescent="0.25">
      <c r="A1575" s="21" t="s">
        <v>2282</v>
      </c>
      <c r="D1575" s="25"/>
      <c r="E1575" s="11"/>
      <c r="F1575" s="26">
        <v>1752</v>
      </c>
      <c r="G1575" s="11" t="s">
        <v>2283</v>
      </c>
      <c r="H1575" s="11" t="s">
        <v>2783</v>
      </c>
      <c r="I1575" s="12" t="s">
        <v>2283</v>
      </c>
      <c r="J1575" s="11" t="s">
        <v>2800</v>
      </c>
    </row>
    <row r="1576" spans="1:10" s="10" customFormat="1" x14ac:dyDescent="0.25">
      <c r="A1576" s="21" t="s">
        <v>1644</v>
      </c>
      <c r="D1576" s="25"/>
      <c r="E1576" s="11"/>
      <c r="F1576" s="26">
        <v>1854</v>
      </c>
      <c r="G1576" s="11" t="s">
        <v>1645</v>
      </c>
      <c r="H1576" s="11" t="s">
        <v>2783</v>
      </c>
      <c r="I1576" s="12" t="s">
        <v>1645</v>
      </c>
      <c r="J1576" s="11" t="s">
        <v>2800</v>
      </c>
    </row>
    <row r="1577" spans="1:10" s="10" customFormat="1" x14ac:dyDescent="0.25">
      <c r="A1577" s="21" t="s">
        <v>3424</v>
      </c>
      <c r="D1577" s="25"/>
      <c r="E1577" s="11"/>
      <c r="F1577" s="26">
        <v>2814</v>
      </c>
      <c r="G1577" s="11" t="s">
        <v>3425</v>
      </c>
      <c r="H1577" s="11" t="s">
        <v>2783</v>
      </c>
      <c r="I1577" s="12" t="s">
        <v>3425</v>
      </c>
      <c r="J1577" s="11" t="s">
        <v>2805</v>
      </c>
    </row>
    <row r="1578" spans="1:10" s="10" customFormat="1" x14ac:dyDescent="0.25">
      <c r="A1578" s="21" t="s">
        <v>2224</v>
      </c>
      <c r="D1578" s="25"/>
      <c r="E1578" s="11"/>
      <c r="F1578" s="26">
        <v>1613</v>
      </c>
      <c r="G1578" s="11" t="s">
        <v>2225</v>
      </c>
      <c r="H1578" s="11" t="s">
        <v>2783</v>
      </c>
      <c r="I1578" s="12" t="s">
        <v>2225</v>
      </c>
      <c r="J1578" s="11" t="s">
        <v>2800</v>
      </c>
    </row>
    <row r="1579" spans="1:10" s="10" customFormat="1" x14ac:dyDescent="0.25">
      <c r="A1579" s="21" t="s">
        <v>942</v>
      </c>
      <c r="D1579" s="25"/>
      <c r="E1579" s="11"/>
      <c r="F1579" s="26">
        <v>6015</v>
      </c>
      <c r="G1579" s="11" t="s">
        <v>943</v>
      </c>
      <c r="H1579" s="11" t="s">
        <v>2783</v>
      </c>
      <c r="I1579" s="12" t="s">
        <v>943</v>
      </c>
      <c r="J1579" s="11" t="s">
        <v>2805</v>
      </c>
    </row>
    <row r="1580" spans="1:10" s="10" customFormat="1" x14ac:dyDescent="0.25">
      <c r="A1580" s="21" t="s">
        <v>1647</v>
      </c>
      <c r="D1580" s="25"/>
      <c r="E1580" s="11"/>
      <c r="F1580" s="26">
        <v>1838</v>
      </c>
      <c r="G1580" s="11" t="s">
        <v>1648</v>
      </c>
      <c r="H1580" s="11" t="s">
        <v>2783</v>
      </c>
      <c r="I1580" s="12" t="s">
        <v>1648</v>
      </c>
      <c r="J1580" s="11" t="s">
        <v>2805</v>
      </c>
    </row>
    <row r="1581" spans="1:10" s="10" customFormat="1" x14ac:dyDescent="0.25">
      <c r="A1581" s="21" t="s">
        <v>945</v>
      </c>
      <c r="D1581" s="25"/>
      <c r="E1581" s="11"/>
      <c r="F1581" s="26">
        <v>6700</v>
      </c>
      <c r="G1581" s="11" t="s">
        <v>946</v>
      </c>
      <c r="H1581" s="11" t="s">
        <v>2783</v>
      </c>
      <c r="I1581" s="12" t="s">
        <v>946</v>
      </c>
      <c r="J1581" s="11" t="s">
        <v>2800</v>
      </c>
    </row>
    <row r="1582" spans="1:10" s="10" customFormat="1" x14ac:dyDescent="0.25">
      <c r="A1582" s="21" t="s">
        <v>4417</v>
      </c>
      <c r="D1582" s="25"/>
      <c r="E1582" s="11"/>
      <c r="F1582" s="26">
        <v>1913</v>
      </c>
      <c r="G1582" s="11" t="s">
        <v>4418</v>
      </c>
      <c r="H1582" s="11" t="s">
        <v>2783</v>
      </c>
      <c r="I1582" s="12" t="s">
        <v>4418</v>
      </c>
      <c r="J1582" s="11" t="s">
        <v>2805</v>
      </c>
    </row>
    <row r="1583" spans="1:10" s="10" customFormat="1" x14ac:dyDescent="0.25">
      <c r="A1583" s="21" t="s">
        <v>3408</v>
      </c>
      <c r="D1583" s="25"/>
      <c r="E1583" s="11"/>
      <c r="F1583" s="26">
        <v>7160</v>
      </c>
      <c r="G1583" s="11" t="s">
        <v>4731</v>
      </c>
      <c r="H1583" s="11" t="s">
        <v>2783</v>
      </c>
      <c r="I1583" s="12" t="s">
        <v>4731</v>
      </c>
      <c r="J1583" s="11" t="s">
        <v>2805</v>
      </c>
    </row>
    <row r="1584" spans="1:10" s="10" customFormat="1" x14ac:dyDescent="0.25">
      <c r="A1584" s="21" t="s">
        <v>4480</v>
      </c>
      <c r="D1584" s="25"/>
      <c r="E1584" s="11"/>
      <c r="F1584" s="26">
        <v>1897</v>
      </c>
      <c r="G1584" s="11" t="s">
        <v>8</v>
      </c>
      <c r="H1584" s="11" t="s">
        <v>2783</v>
      </c>
      <c r="I1584" s="12" t="s">
        <v>6</v>
      </c>
      <c r="J1584" s="11" t="s">
        <v>2805</v>
      </c>
    </row>
    <row r="1585" spans="1:10" s="10" customFormat="1" x14ac:dyDescent="0.25">
      <c r="A1585" s="21" t="s">
        <v>315</v>
      </c>
      <c r="D1585" s="25"/>
      <c r="E1585" s="11"/>
      <c r="F1585" s="26">
        <v>1620</v>
      </c>
      <c r="G1585" s="11" t="s">
        <v>318</v>
      </c>
      <c r="H1585" s="11" t="s">
        <v>2783</v>
      </c>
      <c r="I1585" s="12" t="s">
        <v>316</v>
      </c>
      <c r="J1585" s="11" t="s">
        <v>2805</v>
      </c>
    </row>
    <row r="1586" spans="1:10" s="10" customFormat="1" x14ac:dyDescent="0.25">
      <c r="A1586" s="21" t="s">
        <v>3410</v>
      </c>
      <c r="D1586" s="25"/>
      <c r="E1586" s="11"/>
      <c r="F1586" s="26">
        <v>7109</v>
      </c>
      <c r="G1586" s="11" t="s">
        <v>3411</v>
      </c>
      <c r="H1586" s="11" t="s">
        <v>2783</v>
      </c>
      <c r="I1586" s="12" t="s">
        <v>3411</v>
      </c>
      <c r="J1586" s="11" t="s">
        <v>2800</v>
      </c>
    </row>
    <row r="1587" spans="1:10" s="10" customFormat="1" x14ac:dyDescent="0.25">
      <c r="A1587" s="21" t="s">
        <v>2372</v>
      </c>
      <c r="D1587" s="25"/>
      <c r="E1587" s="11"/>
      <c r="F1587" s="26">
        <v>7600</v>
      </c>
      <c r="G1587" s="11" t="s">
        <v>2371</v>
      </c>
      <c r="H1587" s="11" t="s">
        <v>2783</v>
      </c>
      <c r="I1587" s="12" t="s">
        <v>2373</v>
      </c>
      <c r="J1587" s="11" t="s">
        <v>2805</v>
      </c>
    </row>
    <row r="1588" spans="1:10" s="10" customFormat="1" x14ac:dyDescent="0.25">
      <c r="A1588" s="21" t="s">
        <v>2369</v>
      </c>
      <c r="D1588" s="25"/>
      <c r="E1588" s="11"/>
      <c r="F1588" s="26">
        <v>7600</v>
      </c>
      <c r="G1588" s="11" t="s">
        <v>2371</v>
      </c>
      <c r="H1588" s="11" t="s">
        <v>2783</v>
      </c>
      <c r="I1588" s="12" t="s">
        <v>230</v>
      </c>
      <c r="J1588" s="11" t="s">
        <v>2805</v>
      </c>
    </row>
    <row r="1589" spans="1:10" s="10" customFormat="1" x14ac:dyDescent="0.25">
      <c r="A1589" s="21" t="s">
        <v>4157</v>
      </c>
      <c r="D1589" s="25"/>
      <c r="E1589" s="11"/>
      <c r="F1589" s="26">
        <v>7600</v>
      </c>
      <c r="G1589" s="11" t="s">
        <v>2371</v>
      </c>
      <c r="H1589" s="11" t="s">
        <v>2783</v>
      </c>
      <c r="I1589" s="12" t="s">
        <v>2371</v>
      </c>
      <c r="J1589" s="11" t="s">
        <v>2800</v>
      </c>
    </row>
    <row r="1590" spans="1:10" s="10" customFormat="1" x14ac:dyDescent="0.25">
      <c r="A1590" s="21" t="s">
        <v>4160</v>
      </c>
      <c r="D1590" s="25"/>
      <c r="E1590" s="11"/>
      <c r="F1590" s="26">
        <v>7604</v>
      </c>
      <c r="G1590" s="11" t="s">
        <v>2371</v>
      </c>
      <c r="H1590" s="11" t="s">
        <v>2783</v>
      </c>
      <c r="I1590" s="12" t="s">
        <v>4161</v>
      </c>
      <c r="J1590" s="11" t="s">
        <v>2800</v>
      </c>
    </row>
    <row r="1591" spans="1:10" s="10" customFormat="1" x14ac:dyDescent="0.25">
      <c r="A1591" s="21" t="s">
        <v>4164</v>
      </c>
      <c r="D1591" s="25"/>
      <c r="E1591" s="11"/>
      <c r="F1591" s="26">
        <v>7603</v>
      </c>
      <c r="G1591" s="11" t="s">
        <v>2371</v>
      </c>
      <c r="H1591" s="11" t="s">
        <v>2783</v>
      </c>
      <c r="I1591" s="12" t="s">
        <v>4165</v>
      </c>
      <c r="J1591" s="11" t="s">
        <v>2800</v>
      </c>
    </row>
    <row r="1592" spans="1:10" s="10" customFormat="1" x14ac:dyDescent="0.25">
      <c r="A1592" s="21" t="s">
        <v>4168</v>
      </c>
      <c r="D1592" s="25"/>
      <c r="E1592" s="11"/>
      <c r="F1592" s="26">
        <v>7608</v>
      </c>
      <c r="G1592" s="11" t="s">
        <v>2371</v>
      </c>
      <c r="H1592" s="11" t="s">
        <v>2783</v>
      </c>
      <c r="I1592" s="12" t="s">
        <v>4169</v>
      </c>
      <c r="J1592" s="11" t="s">
        <v>2805</v>
      </c>
    </row>
    <row r="1593" spans="1:10" s="10" customFormat="1" x14ac:dyDescent="0.25">
      <c r="A1593" s="21" t="s">
        <v>2390</v>
      </c>
      <c r="D1593" s="25"/>
      <c r="E1593" s="11"/>
      <c r="F1593" s="26">
        <v>7600</v>
      </c>
      <c r="G1593" s="11" t="s">
        <v>2371</v>
      </c>
      <c r="H1593" s="11" t="s">
        <v>2783</v>
      </c>
      <c r="I1593" s="12" t="s">
        <v>2391</v>
      </c>
      <c r="J1593" s="11" t="s">
        <v>2800</v>
      </c>
    </row>
    <row r="1594" spans="1:10" s="10" customFormat="1" x14ac:dyDescent="0.25">
      <c r="A1594" s="21" t="s">
        <v>4267</v>
      </c>
      <c r="D1594" s="25"/>
      <c r="E1594" s="11"/>
      <c r="F1594" s="26">
        <v>7108</v>
      </c>
      <c r="G1594" s="11" t="s">
        <v>4268</v>
      </c>
      <c r="H1594" s="11" t="s">
        <v>2783</v>
      </c>
      <c r="I1594" s="12" t="s">
        <v>4268</v>
      </c>
      <c r="J1594" s="11" t="s">
        <v>2805</v>
      </c>
    </row>
    <row r="1595" spans="1:10" s="10" customFormat="1" x14ac:dyDescent="0.25">
      <c r="A1595" s="21" t="s">
        <v>4473</v>
      </c>
      <c r="D1595" s="25"/>
      <c r="E1595" s="11"/>
      <c r="F1595" s="26">
        <v>1727</v>
      </c>
      <c r="G1595" s="11" t="s">
        <v>4474</v>
      </c>
      <c r="H1595" s="11" t="s">
        <v>2783</v>
      </c>
      <c r="I1595" s="12" t="s">
        <v>4474</v>
      </c>
      <c r="J1595" s="11" t="s">
        <v>2805</v>
      </c>
    </row>
    <row r="1596" spans="1:10" s="10" customFormat="1" x14ac:dyDescent="0.25">
      <c r="A1596" s="21" t="s">
        <v>4335</v>
      </c>
      <c r="D1596" s="25"/>
      <c r="E1596" s="11"/>
      <c r="F1596" s="26">
        <v>2701</v>
      </c>
      <c r="G1596" s="11" t="s">
        <v>1746</v>
      </c>
      <c r="H1596" s="11" t="s">
        <v>2783</v>
      </c>
      <c r="I1596" s="12" t="s">
        <v>1746</v>
      </c>
      <c r="J1596" s="11" t="s">
        <v>2805</v>
      </c>
    </row>
    <row r="1597" spans="1:10" s="10" customFormat="1" x14ac:dyDescent="0.25">
      <c r="A1597" s="21" t="s">
        <v>2379</v>
      </c>
      <c r="D1597" s="25"/>
      <c r="E1597" s="11"/>
      <c r="F1597" s="26">
        <v>1640</v>
      </c>
      <c r="G1597" s="11" t="s">
        <v>4711</v>
      </c>
      <c r="H1597" s="11" t="s">
        <v>2783</v>
      </c>
      <c r="I1597" s="12" t="s">
        <v>4711</v>
      </c>
      <c r="J1597" s="11" t="s">
        <v>2800</v>
      </c>
    </row>
    <row r="1598" spans="1:10" s="10" customFormat="1" x14ac:dyDescent="0.25">
      <c r="A1598" s="21" t="s">
        <v>4708</v>
      </c>
      <c r="D1598" s="25"/>
      <c r="E1598" s="11"/>
      <c r="F1598" s="26">
        <v>1640</v>
      </c>
      <c r="G1598" s="11" t="s">
        <v>4711</v>
      </c>
      <c r="H1598" s="11" t="s">
        <v>2783</v>
      </c>
      <c r="I1598" s="12" t="s">
        <v>4709</v>
      </c>
      <c r="J1598" s="11" t="s">
        <v>2800</v>
      </c>
    </row>
    <row r="1599" spans="1:10" s="10" customFormat="1" x14ac:dyDescent="0.25">
      <c r="A1599" s="21" t="s">
        <v>312</v>
      </c>
      <c r="D1599" s="25"/>
      <c r="E1599" s="11"/>
      <c r="F1599" s="26">
        <v>1627</v>
      </c>
      <c r="G1599" s="11" t="s">
        <v>313</v>
      </c>
      <c r="H1599" s="11" t="s">
        <v>2783</v>
      </c>
      <c r="I1599" s="12" t="s">
        <v>313</v>
      </c>
      <c r="J1599" s="11" t="s">
        <v>2805</v>
      </c>
    </row>
    <row r="1600" spans="1:10" s="10" customFormat="1" x14ac:dyDescent="0.25">
      <c r="A1600" s="21" t="s">
        <v>3079</v>
      </c>
      <c r="D1600" s="25"/>
      <c r="E1600" s="11"/>
      <c r="F1600" s="26">
        <v>8146</v>
      </c>
      <c r="G1600" s="11" t="s">
        <v>3080</v>
      </c>
      <c r="H1600" s="11" t="s">
        <v>2783</v>
      </c>
      <c r="I1600" s="12" t="s">
        <v>3080</v>
      </c>
      <c r="J1600" s="11" t="s">
        <v>2805</v>
      </c>
    </row>
    <row r="1601" spans="1:10" s="10" customFormat="1" x14ac:dyDescent="0.25">
      <c r="A1601" s="21" t="s">
        <v>948</v>
      </c>
      <c r="D1601" s="25"/>
      <c r="E1601" s="11"/>
      <c r="F1601" s="26">
        <v>6648</v>
      </c>
      <c r="G1601" s="11" t="s">
        <v>949</v>
      </c>
      <c r="H1601" s="11" t="s">
        <v>2783</v>
      </c>
      <c r="I1601" s="12" t="s">
        <v>949</v>
      </c>
      <c r="J1601" s="11" t="s">
        <v>2805</v>
      </c>
    </row>
    <row r="1602" spans="1:10" s="10" customFormat="1" x14ac:dyDescent="0.25">
      <c r="A1602" s="21" t="s">
        <v>502</v>
      </c>
      <c r="D1602" s="25"/>
      <c r="E1602" s="11"/>
      <c r="F1602" s="26">
        <v>8132</v>
      </c>
      <c r="G1602" s="11" t="s">
        <v>505</v>
      </c>
      <c r="H1602" s="11" t="s">
        <v>2783</v>
      </c>
      <c r="I1602" s="12" t="s">
        <v>503</v>
      </c>
      <c r="J1602" s="11" t="s">
        <v>2805</v>
      </c>
    </row>
    <row r="1603" spans="1:10" s="10" customFormat="1" x14ac:dyDescent="0.25">
      <c r="A1603" s="21" t="s">
        <v>4414</v>
      </c>
      <c r="D1603" s="25"/>
      <c r="E1603" s="11"/>
      <c r="F1603" s="26">
        <v>1903</v>
      </c>
      <c r="G1603" s="11" t="s">
        <v>4415</v>
      </c>
      <c r="H1603" s="11" t="s">
        <v>2783</v>
      </c>
      <c r="I1603" s="12" t="s">
        <v>4415</v>
      </c>
      <c r="J1603" s="11" t="s">
        <v>2805</v>
      </c>
    </row>
    <row r="1604" spans="1:10" s="10" customFormat="1" x14ac:dyDescent="0.25">
      <c r="A1604" s="21" t="s">
        <v>9</v>
      </c>
      <c r="D1604" s="25"/>
      <c r="E1604" s="11"/>
      <c r="F1604" s="26">
        <v>6600</v>
      </c>
      <c r="G1604" s="11" t="s">
        <v>10</v>
      </c>
      <c r="H1604" s="11" t="s">
        <v>2783</v>
      </c>
      <c r="I1604" s="12" t="s">
        <v>10</v>
      </c>
      <c r="J1604" s="11" t="s">
        <v>2800</v>
      </c>
    </row>
    <row r="1605" spans="1:10" s="10" customFormat="1" x14ac:dyDescent="0.25">
      <c r="A1605" s="21" t="s">
        <v>4306</v>
      </c>
      <c r="D1605" s="25"/>
      <c r="E1605" s="11"/>
      <c r="F1605" s="26">
        <v>1722</v>
      </c>
      <c r="G1605" s="11" t="s">
        <v>4307</v>
      </c>
      <c r="H1605" s="11" t="s">
        <v>2783</v>
      </c>
      <c r="I1605" s="12" t="s">
        <v>4307</v>
      </c>
      <c r="J1605" s="11" t="s">
        <v>2800</v>
      </c>
    </row>
    <row r="1606" spans="1:10" s="10" customFormat="1" x14ac:dyDescent="0.25">
      <c r="A1606" s="21" t="s">
        <v>506</v>
      </c>
      <c r="D1606" s="25"/>
      <c r="E1606" s="11"/>
      <c r="F1606" s="26">
        <v>7507</v>
      </c>
      <c r="G1606" s="11" t="s">
        <v>507</v>
      </c>
      <c r="H1606" s="11" t="s">
        <v>2783</v>
      </c>
      <c r="I1606" s="12" t="s">
        <v>507</v>
      </c>
      <c r="J1606" s="11" t="s">
        <v>2805</v>
      </c>
    </row>
    <row r="1607" spans="1:10" s="10" customFormat="1" x14ac:dyDescent="0.25">
      <c r="A1607" s="21" t="s">
        <v>4264</v>
      </c>
      <c r="D1607" s="25"/>
      <c r="E1607" s="11"/>
      <c r="F1607" s="26">
        <v>7607</v>
      </c>
      <c r="G1607" s="11" t="s">
        <v>4265</v>
      </c>
      <c r="H1607" s="11" t="s">
        <v>2783</v>
      </c>
      <c r="I1607" s="12" t="s">
        <v>4265</v>
      </c>
      <c r="J1607" s="11" t="s">
        <v>2800</v>
      </c>
    </row>
    <row r="1608" spans="1:10" s="10" customFormat="1" x14ac:dyDescent="0.25">
      <c r="A1608" s="21" t="s">
        <v>952</v>
      </c>
      <c r="D1608" s="25"/>
      <c r="E1608" s="11"/>
      <c r="F1608" s="26">
        <v>6469</v>
      </c>
      <c r="G1608" s="11" t="s">
        <v>953</v>
      </c>
      <c r="H1608" s="11" t="s">
        <v>2783</v>
      </c>
      <c r="I1608" s="12" t="s">
        <v>953</v>
      </c>
      <c r="J1608" s="11" t="s">
        <v>2805</v>
      </c>
    </row>
    <row r="1609" spans="1:10" s="10" customFormat="1" x14ac:dyDescent="0.25">
      <c r="A1609" s="21" t="s">
        <v>1650</v>
      </c>
      <c r="D1609" s="25"/>
      <c r="E1609" s="11"/>
      <c r="F1609" s="26">
        <v>1842</v>
      </c>
      <c r="G1609" s="11" t="s">
        <v>1651</v>
      </c>
      <c r="H1609" s="11" t="s">
        <v>2783</v>
      </c>
      <c r="I1609" s="12" t="s">
        <v>1651</v>
      </c>
      <c r="J1609" s="11" t="s">
        <v>2800</v>
      </c>
    </row>
    <row r="1610" spans="1:10" s="10" customFormat="1" x14ac:dyDescent="0.25">
      <c r="A1610" s="21" t="s">
        <v>447</v>
      </c>
      <c r="D1610" s="25"/>
      <c r="E1610" s="11"/>
      <c r="F1610" s="26">
        <v>8153</v>
      </c>
      <c r="G1610" s="11" t="s">
        <v>448</v>
      </c>
      <c r="H1610" s="11" t="s">
        <v>2783</v>
      </c>
      <c r="I1610" s="12" t="s">
        <v>448</v>
      </c>
      <c r="J1610" s="11" t="s">
        <v>2805</v>
      </c>
    </row>
    <row r="1611" spans="1:10" s="10" customFormat="1" x14ac:dyDescent="0.25">
      <c r="A1611" s="21" t="s">
        <v>4309</v>
      </c>
      <c r="D1611" s="25"/>
      <c r="E1611" s="11"/>
      <c r="F1611" s="26">
        <v>1744</v>
      </c>
      <c r="G1611" s="11" t="s">
        <v>4310</v>
      </c>
      <c r="H1611" s="11" t="s">
        <v>2783</v>
      </c>
      <c r="I1611" s="12" t="s">
        <v>4310</v>
      </c>
      <c r="J1611" s="11" t="s">
        <v>2800</v>
      </c>
    </row>
    <row r="1612" spans="1:10" s="10" customFormat="1" x14ac:dyDescent="0.25">
      <c r="A1612" s="21" t="s">
        <v>4151</v>
      </c>
      <c r="D1612" s="25"/>
      <c r="E1612" s="11"/>
      <c r="F1612" s="26">
        <v>1708</v>
      </c>
      <c r="G1612" s="11" t="s">
        <v>4152</v>
      </c>
      <c r="H1612" s="11" t="s">
        <v>2783</v>
      </c>
      <c r="I1612" s="12" t="s">
        <v>4152</v>
      </c>
      <c r="J1612" s="11" t="s">
        <v>2800</v>
      </c>
    </row>
    <row r="1613" spans="1:10" s="10" customFormat="1" x14ac:dyDescent="0.25">
      <c r="A1613" s="21" t="s">
        <v>4144</v>
      </c>
      <c r="D1613" s="25"/>
      <c r="E1613" s="11"/>
      <c r="F1613" s="26">
        <v>1605</v>
      </c>
      <c r="G1613" s="11" t="s">
        <v>4145</v>
      </c>
      <c r="H1613" s="11" t="s">
        <v>2783</v>
      </c>
      <c r="I1613" s="12" t="s">
        <v>4145</v>
      </c>
      <c r="J1613" s="11" t="s">
        <v>2800</v>
      </c>
    </row>
    <row r="1614" spans="1:10" s="10" customFormat="1" x14ac:dyDescent="0.25">
      <c r="A1614" s="21" t="s">
        <v>2478</v>
      </c>
      <c r="D1614" s="25"/>
      <c r="E1614" s="11"/>
      <c r="F1614" s="26">
        <v>6605</v>
      </c>
      <c r="G1614" s="11" t="s">
        <v>2479</v>
      </c>
      <c r="H1614" s="11" t="s">
        <v>2783</v>
      </c>
      <c r="I1614" s="12" t="s">
        <v>2479</v>
      </c>
      <c r="J1614" s="11" t="s">
        <v>2805</v>
      </c>
    </row>
    <row r="1615" spans="1:10" s="10" customFormat="1" x14ac:dyDescent="0.25">
      <c r="A1615" s="21" t="s">
        <v>4273</v>
      </c>
      <c r="D1615" s="25"/>
      <c r="E1615" s="11"/>
      <c r="F1615" s="26">
        <v>7630</v>
      </c>
      <c r="G1615" s="11" t="s">
        <v>4271</v>
      </c>
      <c r="H1615" s="11" t="s">
        <v>2783</v>
      </c>
      <c r="I1615" s="12" t="s">
        <v>4274</v>
      </c>
      <c r="J1615" s="11" t="s">
        <v>2805</v>
      </c>
    </row>
    <row r="1616" spans="1:10" s="10" customFormat="1" x14ac:dyDescent="0.25">
      <c r="A1616" s="21" t="s">
        <v>4270</v>
      </c>
      <c r="D1616" s="25"/>
      <c r="E1616" s="11"/>
      <c r="F1616" s="26">
        <v>7630</v>
      </c>
      <c r="G1616" s="11" t="s">
        <v>4271</v>
      </c>
      <c r="H1616" s="11" t="s">
        <v>2783</v>
      </c>
      <c r="I1616" s="12" t="s">
        <v>4271</v>
      </c>
      <c r="J1616" s="11" t="s">
        <v>2800</v>
      </c>
    </row>
    <row r="1617" spans="1:10" s="10" customFormat="1" x14ac:dyDescent="0.25">
      <c r="A1617" s="21" t="s">
        <v>956</v>
      </c>
      <c r="D1617" s="25"/>
      <c r="E1617" s="11"/>
      <c r="F1617" s="26">
        <v>6663</v>
      </c>
      <c r="G1617" s="11" t="s">
        <v>960</v>
      </c>
      <c r="H1617" s="11" t="s">
        <v>2783</v>
      </c>
      <c r="I1617" s="12" t="s">
        <v>957</v>
      </c>
      <c r="J1617" s="11" t="s">
        <v>2805</v>
      </c>
    </row>
    <row r="1618" spans="1:10" s="10" customFormat="1" x14ac:dyDescent="0.25">
      <c r="A1618" s="21" t="s">
        <v>966</v>
      </c>
      <c r="D1618" s="25"/>
      <c r="E1618" s="11"/>
      <c r="F1618" s="26">
        <v>6748</v>
      </c>
      <c r="G1618" s="11" t="s">
        <v>967</v>
      </c>
      <c r="H1618" s="11" t="s">
        <v>2783</v>
      </c>
      <c r="I1618" s="12" t="s">
        <v>967</v>
      </c>
      <c r="J1618" s="11" t="s">
        <v>2805</v>
      </c>
    </row>
    <row r="1619" spans="1:10" s="10" customFormat="1" x14ac:dyDescent="0.25">
      <c r="A1619" s="21" t="s">
        <v>510</v>
      </c>
      <c r="D1619" s="25"/>
      <c r="E1619" s="11"/>
      <c r="F1619" s="26">
        <v>7400</v>
      </c>
      <c r="G1619" s="11" t="s">
        <v>511</v>
      </c>
      <c r="H1619" s="11" t="s">
        <v>2783</v>
      </c>
      <c r="I1619" s="12" t="s">
        <v>511</v>
      </c>
      <c r="J1619" s="11" t="s">
        <v>2800</v>
      </c>
    </row>
    <row r="1620" spans="1:10" s="10" customFormat="1" x14ac:dyDescent="0.25">
      <c r="A1620" s="21" t="s">
        <v>4729</v>
      </c>
      <c r="D1620" s="25"/>
      <c r="E1620" s="11"/>
      <c r="F1620" s="26">
        <v>1636</v>
      </c>
      <c r="G1620" s="11" t="s">
        <v>4730</v>
      </c>
      <c r="H1620" s="11" t="s">
        <v>2783</v>
      </c>
      <c r="I1620" s="12" t="s">
        <v>4730</v>
      </c>
      <c r="J1620" s="11" t="s">
        <v>2800</v>
      </c>
    </row>
    <row r="1621" spans="1:10" s="10" customFormat="1" x14ac:dyDescent="0.25">
      <c r="A1621" s="21" t="s">
        <v>963</v>
      </c>
      <c r="D1621" s="25"/>
      <c r="E1621" s="11"/>
      <c r="F1621" s="26">
        <v>6708</v>
      </c>
      <c r="G1621" s="11" t="s">
        <v>964</v>
      </c>
      <c r="H1621" s="11" t="s">
        <v>2783</v>
      </c>
      <c r="I1621" s="12" t="s">
        <v>964</v>
      </c>
      <c r="J1621" s="11" t="s">
        <v>2805</v>
      </c>
    </row>
    <row r="1622" spans="1:10" s="10" customFormat="1" x14ac:dyDescent="0.25">
      <c r="A1622" s="21" t="s">
        <v>4191</v>
      </c>
      <c r="D1622" s="25"/>
      <c r="E1622" s="11"/>
      <c r="F1622" s="26">
        <v>7503</v>
      </c>
      <c r="G1622" s="11" t="s">
        <v>4192</v>
      </c>
      <c r="H1622" s="11" t="s">
        <v>2783</v>
      </c>
      <c r="I1622" s="12" t="s">
        <v>4192</v>
      </c>
      <c r="J1622" s="11" t="s">
        <v>2805</v>
      </c>
    </row>
    <row r="1623" spans="1:10" s="10" customFormat="1" x14ac:dyDescent="0.25">
      <c r="A1623" s="21" t="s">
        <v>4194</v>
      </c>
      <c r="D1623" s="25"/>
      <c r="E1623" s="11"/>
      <c r="F1623" s="26">
        <v>7509</v>
      </c>
      <c r="G1623" s="11" t="s">
        <v>4195</v>
      </c>
      <c r="H1623" s="11" t="s">
        <v>2783</v>
      </c>
      <c r="I1623" s="12" t="s">
        <v>4195</v>
      </c>
      <c r="J1623" s="11" t="s">
        <v>2805</v>
      </c>
    </row>
    <row r="1624" spans="1:10" s="10" customFormat="1" x14ac:dyDescent="0.25">
      <c r="A1624" s="21" t="s">
        <v>3427</v>
      </c>
      <c r="D1624" s="25"/>
      <c r="E1624" s="11"/>
      <c r="F1624" s="26">
        <v>6753</v>
      </c>
      <c r="G1624" s="11" t="s">
        <v>3428</v>
      </c>
      <c r="H1624" s="11" t="s">
        <v>2783</v>
      </c>
      <c r="I1624" s="12" t="s">
        <v>3428</v>
      </c>
      <c r="J1624" s="11" t="s">
        <v>2805</v>
      </c>
    </row>
    <row r="1625" spans="1:10" s="10" customFormat="1" x14ac:dyDescent="0.25">
      <c r="A1625" s="21" t="s">
        <v>4327</v>
      </c>
      <c r="D1625" s="25"/>
      <c r="E1625" s="11"/>
      <c r="F1625" s="26">
        <v>1742</v>
      </c>
      <c r="G1625" s="11" t="s">
        <v>4328</v>
      </c>
      <c r="H1625" s="11" t="s">
        <v>2783</v>
      </c>
      <c r="I1625" s="12" t="s">
        <v>4328</v>
      </c>
      <c r="J1625" s="11" t="s">
        <v>2805</v>
      </c>
    </row>
    <row r="1626" spans="1:10" s="10" customFormat="1" x14ac:dyDescent="0.25">
      <c r="A1626" s="21" t="s">
        <v>969</v>
      </c>
      <c r="D1626" s="25"/>
      <c r="E1626" s="11"/>
      <c r="F1626" s="26">
        <v>6077</v>
      </c>
      <c r="G1626" s="11" t="s">
        <v>970</v>
      </c>
      <c r="H1626" s="11" t="s">
        <v>2783</v>
      </c>
      <c r="I1626" s="12" t="s">
        <v>970</v>
      </c>
      <c r="J1626" s="11" t="s">
        <v>2805</v>
      </c>
    </row>
    <row r="1627" spans="1:10" s="10" customFormat="1" x14ac:dyDescent="0.25">
      <c r="A1627" s="21" t="s">
        <v>973</v>
      </c>
      <c r="D1627" s="25"/>
      <c r="E1627" s="11"/>
      <c r="F1627" s="26">
        <v>6665</v>
      </c>
      <c r="G1627" s="11" t="s">
        <v>974</v>
      </c>
      <c r="H1627" s="11" t="s">
        <v>2783</v>
      </c>
      <c r="I1627" s="12" t="s">
        <v>974</v>
      </c>
      <c r="J1627" s="11" t="s">
        <v>2805</v>
      </c>
    </row>
    <row r="1628" spans="1:10" s="10" customFormat="1" x14ac:dyDescent="0.25">
      <c r="A1628" s="21" t="s">
        <v>4198</v>
      </c>
      <c r="D1628" s="25"/>
      <c r="E1628" s="11"/>
      <c r="F1628" s="26">
        <v>8148</v>
      </c>
      <c r="G1628" s="11" t="s">
        <v>4199</v>
      </c>
      <c r="H1628" s="11" t="s">
        <v>2783</v>
      </c>
      <c r="I1628" s="12" t="s">
        <v>4199</v>
      </c>
      <c r="J1628" s="11" t="s">
        <v>2805</v>
      </c>
    </row>
    <row r="1629" spans="1:10" s="10" customFormat="1" x14ac:dyDescent="0.25">
      <c r="A1629" s="21" t="s">
        <v>976</v>
      </c>
      <c r="D1629" s="25"/>
      <c r="E1629" s="11"/>
      <c r="F1629" s="26">
        <v>6450</v>
      </c>
      <c r="G1629" s="11" t="s">
        <v>977</v>
      </c>
      <c r="H1629" s="11" t="s">
        <v>2783</v>
      </c>
      <c r="I1629" s="12" t="s">
        <v>977</v>
      </c>
      <c r="J1629" s="11" t="s">
        <v>2800</v>
      </c>
    </row>
    <row r="1630" spans="1:10" s="10" customFormat="1" x14ac:dyDescent="0.25">
      <c r="A1630" s="21" t="s">
        <v>980</v>
      </c>
      <c r="D1630" s="25"/>
      <c r="E1630" s="11"/>
      <c r="F1630" s="26">
        <v>6346</v>
      </c>
      <c r="G1630" s="11" t="s">
        <v>981</v>
      </c>
      <c r="H1630" s="11" t="s">
        <v>2783</v>
      </c>
      <c r="I1630" s="12" t="s">
        <v>981</v>
      </c>
      <c r="J1630" s="11" t="s">
        <v>2805</v>
      </c>
    </row>
    <row r="1631" spans="1:10" s="10" customFormat="1" x14ac:dyDescent="0.25">
      <c r="A1631" s="21" t="s">
        <v>319</v>
      </c>
      <c r="D1631" s="25"/>
      <c r="E1631" s="11"/>
      <c r="F1631" s="26">
        <v>2933</v>
      </c>
      <c r="G1631" s="11" t="s">
        <v>320</v>
      </c>
      <c r="H1631" s="11" t="s">
        <v>2783</v>
      </c>
      <c r="I1631" s="12" t="s">
        <v>320</v>
      </c>
      <c r="J1631" s="11" t="s">
        <v>2805</v>
      </c>
    </row>
    <row r="1632" spans="1:10" s="10" customFormat="1" x14ac:dyDescent="0.25">
      <c r="A1632" s="21" t="s">
        <v>2829</v>
      </c>
      <c r="D1632" s="25"/>
      <c r="E1632" s="11"/>
      <c r="F1632" s="26">
        <v>2700</v>
      </c>
      <c r="G1632" s="11" t="s">
        <v>2830</v>
      </c>
      <c r="H1632" s="11" t="s">
        <v>2783</v>
      </c>
      <c r="I1632" s="12" t="s">
        <v>2830</v>
      </c>
      <c r="J1632" s="11" t="s">
        <v>2800</v>
      </c>
    </row>
    <row r="1633" spans="1:10" s="10" customFormat="1" x14ac:dyDescent="0.25">
      <c r="A1633" s="21" t="s">
        <v>983</v>
      </c>
      <c r="D1633" s="25"/>
      <c r="E1633" s="11"/>
      <c r="F1633" s="26">
        <v>6249</v>
      </c>
      <c r="G1633" s="11" t="s">
        <v>984</v>
      </c>
      <c r="H1633" s="11" t="s">
        <v>2783</v>
      </c>
      <c r="I1633" s="12" t="s">
        <v>984</v>
      </c>
      <c r="J1633" s="11" t="s">
        <v>2805</v>
      </c>
    </row>
    <row r="1634" spans="1:10" s="10" customFormat="1" x14ac:dyDescent="0.25">
      <c r="A1634" s="21" t="s">
        <v>4201</v>
      </c>
      <c r="D1634" s="25"/>
      <c r="E1634" s="11"/>
      <c r="F1634" s="26">
        <v>8170</v>
      </c>
      <c r="G1634" s="11" t="s">
        <v>4205</v>
      </c>
      <c r="H1634" s="11" t="s">
        <v>2783</v>
      </c>
      <c r="I1634" s="12" t="s">
        <v>4202</v>
      </c>
      <c r="J1634" s="11" t="s">
        <v>2805</v>
      </c>
    </row>
    <row r="1635" spans="1:10" s="10" customFormat="1" x14ac:dyDescent="0.25">
      <c r="A1635" s="21" t="s">
        <v>2482</v>
      </c>
      <c r="D1635" s="25"/>
      <c r="E1635" s="11"/>
      <c r="F1635" s="26">
        <v>7120</v>
      </c>
      <c r="G1635" s="11" t="s">
        <v>2483</v>
      </c>
      <c r="H1635" s="11" t="s">
        <v>2783</v>
      </c>
      <c r="I1635" s="12" t="s">
        <v>2483</v>
      </c>
      <c r="J1635" s="11" t="s">
        <v>2805</v>
      </c>
    </row>
    <row r="1636" spans="1:10" s="10" customFormat="1" x14ac:dyDescent="0.25">
      <c r="A1636" s="21" t="s">
        <v>323</v>
      </c>
      <c r="D1636" s="25"/>
      <c r="E1636" s="11"/>
      <c r="F1636" s="26">
        <v>1629</v>
      </c>
      <c r="G1636" s="11" t="s">
        <v>324</v>
      </c>
      <c r="H1636" s="11" t="s">
        <v>2783</v>
      </c>
      <c r="I1636" s="12" t="s">
        <v>324</v>
      </c>
      <c r="J1636" s="11" t="s">
        <v>2800</v>
      </c>
    </row>
    <row r="1637" spans="1:10" s="10" customFormat="1" x14ac:dyDescent="0.25">
      <c r="A1637" s="21" t="s">
        <v>4280</v>
      </c>
      <c r="D1637" s="25"/>
      <c r="E1637" s="11"/>
      <c r="F1637" s="26">
        <v>7167</v>
      </c>
      <c r="G1637" s="11" t="s">
        <v>4281</v>
      </c>
      <c r="H1637" s="11" t="s">
        <v>2783</v>
      </c>
      <c r="I1637" s="12" t="s">
        <v>4281</v>
      </c>
      <c r="J1637" s="11" t="s">
        <v>2800</v>
      </c>
    </row>
    <row r="1638" spans="1:10" s="10" customFormat="1" x14ac:dyDescent="0.25">
      <c r="A1638" s="21" t="s">
        <v>1497</v>
      </c>
      <c r="D1638" s="25"/>
      <c r="E1638" s="11"/>
      <c r="F1638" s="26">
        <v>1868</v>
      </c>
      <c r="G1638" s="11" t="s">
        <v>1501</v>
      </c>
      <c r="H1638" s="11" t="s">
        <v>2783</v>
      </c>
      <c r="I1638" s="12" t="s">
        <v>1498</v>
      </c>
      <c r="J1638" s="11" t="s">
        <v>2800</v>
      </c>
    </row>
    <row r="1639" spans="1:10" s="10" customFormat="1" x14ac:dyDescent="0.25">
      <c r="A1639" s="21" t="s">
        <v>986</v>
      </c>
      <c r="D1639" s="25"/>
      <c r="E1639" s="11"/>
      <c r="F1639" s="26">
        <v>6551</v>
      </c>
      <c r="G1639" s="11" t="s">
        <v>987</v>
      </c>
      <c r="H1639" s="11" t="s">
        <v>2783</v>
      </c>
      <c r="I1639" s="12" t="s">
        <v>987</v>
      </c>
      <c r="J1639" s="11" t="s">
        <v>2805</v>
      </c>
    </row>
    <row r="1640" spans="1:10" s="10" customFormat="1" x14ac:dyDescent="0.25">
      <c r="A1640" s="21" t="s">
        <v>327</v>
      </c>
      <c r="D1640" s="25"/>
      <c r="E1640" s="11"/>
      <c r="F1640" s="26">
        <v>1635</v>
      </c>
      <c r="G1640" s="11" t="s">
        <v>328</v>
      </c>
      <c r="H1640" s="11" t="s">
        <v>2783</v>
      </c>
      <c r="I1640" s="12" t="s">
        <v>328</v>
      </c>
      <c r="J1640" s="11" t="s">
        <v>2805</v>
      </c>
    </row>
    <row r="1641" spans="1:10" s="10" customFormat="1" x14ac:dyDescent="0.25">
      <c r="A1641" s="21" t="s">
        <v>4206</v>
      </c>
      <c r="D1641" s="25"/>
      <c r="E1641" s="11"/>
      <c r="F1641" s="26">
        <v>8180</v>
      </c>
      <c r="G1641" s="11" t="s">
        <v>4209</v>
      </c>
      <c r="H1641" s="11" t="s">
        <v>2783</v>
      </c>
      <c r="I1641" s="12" t="s">
        <v>4207</v>
      </c>
      <c r="J1641" s="11" t="s">
        <v>2805</v>
      </c>
    </row>
    <row r="1642" spans="1:10" s="10" customFormat="1" x14ac:dyDescent="0.25">
      <c r="A1642" s="21" t="s">
        <v>4210</v>
      </c>
      <c r="D1642" s="25"/>
      <c r="E1642" s="11"/>
      <c r="F1642" s="26">
        <v>8111</v>
      </c>
      <c r="G1642" s="11" t="s">
        <v>4211</v>
      </c>
      <c r="H1642" s="11" t="s">
        <v>2783</v>
      </c>
      <c r="I1642" s="12" t="s">
        <v>4211</v>
      </c>
      <c r="J1642" s="11" t="s">
        <v>2805</v>
      </c>
    </row>
    <row r="1643" spans="1:10" s="10" customFormat="1" x14ac:dyDescent="0.25">
      <c r="A1643" s="21" t="s">
        <v>2337</v>
      </c>
      <c r="D1643" s="25"/>
      <c r="E1643" s="11"/>
      <c r="F1643" s="26">
        <v>8109</v>
      </c>
      <c r="G1643" s="11" t="s">
        <v>2338</v>
      </c>
      <c r="H1643" s="11" t="s">
        <v>2783</v>
      </c>
      <c r="I1643" s="12" t="s">
        <v>2338</v>
      </c>
      <c r="J1643" s="11" t="s">
        <v>2800</v>
      </c>
    </row>
    <row r="1644" spans="1:10" s="10" customFormat="1" x14ac:dyDescent="0.25">
      <c r="A1644" s="21" t="s">
        <v>3417</v>
      </c>
      <c r="D1644" s="25"/>
      <c r="E1644" s="11"/>
      <c r="F1644" s="26">
        <v>1952</v>
      </c>
      <c r="G1644" s="11" t="s">
        <v>3418</v>
      </c>
      <c r="H1644" s="11" t="s">
        <v>2783</v>
      </c>
      <c r="I1644" s="12" t="s">
        <v>3418</v>
      </c>
      <c r="J1644" s="11" t="s">
        <v>2805</v>
      </c>
    </row>
    <row r="1645" spans="1:10" s="10" customFormat="1" x14ac:dyDescent="0.25">
      <c r="A1645" s="21" t="s">
        <v>2459</v>
      </c>
      <c r="D1645" s="25"/>
      <c r="E1645" s="11"/>
      <c r="F1645" s="26">
        <v>7631</v>
      </c>
      <c r="G1645" s="11" t="s">
        <v>2460</v>
      </c>
      <c r="H1645" s="11" t="s">
        <v>2783</v>
      </c>
      <c r="I1645" s="12" t="s">
        <v>2460</v>
      </c>
      <c r="J1645" s="11" t="s">
        <v>2805</v>
      </c>
    </row>
    <row r="1646" spans="1:10" s="10" customFormat="1" x14ac:dyDescent="0.25">
      <c r="A1646" s="21" t="s">
        <v>2381</v>
      </c>
      <c r="D1646" s="25"/>
      <c r="E1646" s="11"/>
      <c r="F1646" s="26">
        <v>1878</v>
      </c>
      <c r="G1646" s="11" t="s">
        <v>2382</v>
      </c>
      <c r="H1646" s="11" t="s">
        <v>2783</v>
      </c>
      <c r="I1646" s="12" t="s">
        <v>2382</v>
      </c>
      <c r="J1646" s="11" t="s">
        <v>2800</v>
      </c>
    </row>
    <row r="1647" spans="1:10" s="10" customFormat="1" x14ac:dyDescent="0.25">
      <c r="A1647" s="21" t="s">
        <v>1481</v>
      </c>
      <c r="D1647" s="25"/>
      <c r="E1647" s="11"/>
      <c r="F1647" s="26">
        <v>1879</v>
      </c>
      <c r="G1647" s="11" t="s">
        <v>1482</v>
      </c>
      <c r="H1647" s="11" t="s">
        <v>2783</v>
      </c>
      <c r="I1647" s="12" t="s">
        <v>1482</v>
      </c>
      <c r="J1647" s="11" t="s">
        <v>2800</v>
      </c>
    </row>
    <row r="1648" spans="1:10" s="10" customFormat="1" x14ac:dyDescent="0.25">
      <c r="A1648" s="21" t="s">
        <v>990</v>
      </c>
      <c r="D1648" s="25"/>
      <c r="E1648" s="11"/>
      <c r="F1648" s="26">
        <v>6560</v>
      </c>
      <c r="G1648" s="11" t="s">
        <v>991</v>
      </c>
      <c r="H1648" s="11" t="s">
        <v>2783</v>
      </c>
      <c r="I1648" s="12" t="s">
        <v>991</v>
      </c>
      <c r="J1648" s="11" t="s">
        <v>2805</v>
      </c>
    </row>
    <row r="1649" spans="1:10" s="10" customFormat="1" x14ac:dyDescent="0.25">
      <c r="A1649" s="21" t="s">
        <v>1477</v>
      </c>
      <c r="D1649" s="25"/>
      <c r="E1649" s="11"/>
      <c r="F1649" s="26">
        <v>1847</v>
      </c>
      <c r="G1649" s="11" t="s">
        <v>1478</v>
      </c>
      <c r="H1649" s="11" t="s">
        <v>2783</v>
      </c>
      <c r="I1649" s="12" t="s">
        <v>1478</v>
      </c>
      <c r="J1649" s="11" t="s">
        <v>2805</v>
      </c>
    </row>
    <row r="1650" spans="1:10" s="10" customFormat="1" x14ac:dyDescent="0.25">
      <c r="A1650" s="21" t="s">
        <v>1451</v>
      </c>
      <c r="D1650" s="25"/>
      <c r="E1650" s="11"/>
      <c r="F1650" s="26">
        <v>1755</v>
      </c>
      <c r="G1650" s="11" t="s">
        <v>1452</v>
      </c>
      <c r="H1650" s="11" t="s">
        <v>2783</v>
      </c>
      <c r="I1650" s="12" t="s">
        <v>1452</v>
      </c>
      <c r="J1650" s="11" t="s">
        <v>2805</v>
      </c>
    </row>
    <row r="1651" spans="1:10" s="10" customFormat="1" x14ac:dyDescent="0.25">
      <c r="A1651" s="21" t="s">
        <v>330</v>
      </c>
      <c r="D1651" s="25"/>
      <c r="E1651" s="11"/>
      <c r="F1651" s="26">
        <v>2915</v>
      </c>
      <c r="G1651" s="11" t="s">
        <v>331</v>
      </c>
      <c r="H1651" s="11" t="s">
        <v>2783</v>
      </c>
      <c r="I1651" s="12" t="s">
        <v>331</v>
      </c>
      <c r="J1651" s="11" t="s">
        <v>2805</v>
      </c>
    </row>
    <row r="1652" spans="1:10" s="10" customFormat="1" x14ac:dyDescent="0.25">
      <c r="A1652" s="21" t="s">
        <v>4313</v>
      </c>
      <c r="D1652" s="25"/>
      <c r="E1652" s="11"/>
      <c r="F1652" s="26">
        <v>1704</v>
      </c>
      <c r="G1652" s="11" t="s">
        <v>4314</v>
      </c>
      <c r="H1652" s="11" t="s">
        <v>2783</v>
      </c>
      <c r="I1652" s="12" t="s">
        <v>4314</v>
      </c>
      <c r="J1652" s="11" t="s">
        <v>2800</v>
      </c>
    </row>
    <row r="1653" spans="1:10" s="10" customFormat="1" x14ac:dyDescent="0.25">
      <c r="A1653" s="21" t="s">
        <v>2485</v>
      </c>
      <c r="D1653" s="25"/>
      <c r="E1653" s="11"/>
      <c r="F1653" s="26">
        <v>1987</v>
      </c>
      <c r="G1653" s="11" t="s">
        <v>2486</v>
      </c>
      <c r="H1653" s="11" t="s">
        <v>2783</v>
      </c>
      <c r="I1653" s="12" t="s">
        <v>2486</v>
      </c>
      <c r="J1653" s="11" t="s">
        <v>2805</v>
      </c>
    </row>
    <row r="1654" spans="1:10" s="10" customFormat="1" x14ac:dyDescent="0.25">
      <c r="A1654" s="21" t="s">
        <v>1447</v>
      </c>
      <c r="D1654" s="25"/>
      <c r="E1654" s="11"/>
      <c r="F1654" s="26">
        <v>1886</v>
      </c>
      <c r="G1654" s="11" t="s">
        <v>1448</v>
      </c>
      <c r="H1654" s="11" t="s">
        <v>2783</v>
      </c>
      <c r="I1654" s="12" t="s">
        <v>1448</v>
      </c>
      <c r="J1654" s="11" t="s">
        <v>2805</v>
      </c>
    </row>
    <row r="1655" spans="1:10" s="10" customFormat="1" x14ac:dyDescent="0.25">
      <c r="A1655" s="21" t="s">
        <v>783</v>
      </c>
      <c r="D1655" s="25"/>
      <c r="E1655" s="11"/>
      <c r="F1655" s="26">
        <v>7203</v>
      </c>
      <c r="G1655" s="11" t="s">
        <v>784</v>
      </c>
      <c r="H1655" s="11" t="s">
        <v>2783</v>
      </c>
      <c r="I1655" s="12" t="s">
        <v>784</v>
      </c>
      <c r="J1655" s="11" t="s">
        <v>2805</v>
      </c>
    </row>
    <row r="1656" spans="1:10" s="10" customFormat="1" x14ac:dyDescent="0.25">
      <c r="A1656" s="21" t="s">
        <v>994</v>
      </c>
      <c r="D1656" s="25"/>
      <c r="E1656" s="11"/>
      <c r="F1656" s="26">
        <v>6734</v>
      </c>
      <c r="G1656" s="11" t="s">
        <v>995</v>
      </c>
      <c r="H1656" s="11" t="s">
        <v>2783</v>
      </c>
      <c r="I1656" s="12" t="s">
        <v>995</v>
      </c>
      <c r="J1656" s="11" t="s">
        <v>2805</v>
      </c>
    </row>
    <row r="1657" spans="1:10" s="10" customFormat="1" x14ac:dyDescent="0.25">
      <c r="A1657" s="21" t="s">
        <v>2285</v>
      </c>
      <c r="D1657" s="25"/>
      <c r="E1657" s="11"/>
      <c r="F1657" s="26">
        <v>1826</v>
      </c>
      <c r="G1657" s="11" t="s">
        <v>2286</v>
      </c>
      <c r="H1657" s="11" t="s">
        <v>2783</v>
      </c>
      <c r="I1657" s="12" t="s">
        <v>2286</v>
      </c>
      <c r="J1657" s="11" t="s">
        <v>2800</v>
      </c>
    </row>
    <row r="1658" spans="1:10" s="10" customFormat="1" x14ac:dyDescent="0.25">
      <c r="A1658" s="21" t="s">
        <v>333</v>
      </c>
      <c r="D1658" s="25"/>
      <c r="E1658" s="11"/>
      <c r="F1658" s="26">
        <v>2944</v>
      </c>
      <c r="G1658" s="11" t="s">
        <v>334</v>
      </c>
      <c r="H1658" s="11" t="s">
        <v>2783</v>
      </c>
      <c r="I1658" s="12" t="s">
        <v>334</v>
      </c>
      <c r="J1658" s="11" t="s">
        <v>2805</v>
      </c>
    </row>
    <row r="1659" spans="1:10" s="10" customFormat="1" x14ac:dyDescent="0.25">
      <c r="A1659" s="21" t="s">
        <v>2340</v>
      </c>
      <c r="D1659" s="25"/>
      <c r="E1659" s="11"/>
      <c r="F1659" s="26">
        <v>6441</v>
      </c>
      <c r="G1659" s="11" t="s">
        <v>2279</v>
      </c>
      <c r="H1659" s="11" t="s">
        <v>2783</v>
      </c>
      <c r="I1659" s="12" t="s">
        <v>2279</v>
      </c>
      <c r="J1659" s="11" t="s">
        <v>2805</v>
      </c>
    </row>
    <row r="1660" spans="1:10" s="10" customFormat="1" x14ac:dyDescent="0.25">
      <c r="A1660" s="21" t="s">
        <v>997</v>
      </c>
      <c r="D1660" s="25"/>
      <c r="E1660" s="11"/>
      <c r="F1660" s="26">
        <v>6079</v>
      </c>
      <c r="G1660" s="11" t="s">
        <v>998</v>
      </c>
      <c r="H1660" s="11" t="s">
        <v>2783</v>
      </c>
      <c r="I1660" s="12" t="s">
        <v>998</v>
      </c>
      <c r="J1660" s="11" t="s">
        <v>2805</v>
      </c>
    </row>
    <row r="1661" spans="1:10" s="10" customFormat="1" x14ac:dyDescent="0.25">
      <c r="A1661" s="21" t="s">
        <v>1001</v>
      </c>
      <c r="D1661" s="25"/>
      <c r="E1661" s="11"/>
      <c r="F1661" s="26">
        <v>2705</v>
      </c>
      <c r="G1661" s="11" t="s">
        <v>1002</v>
      </c>
      <c r="H1661" s="11" t="s">
        <v>2783</v>
      </c>
      <c r="I1661" s="12" t="s">
        <v>1002</v>
      </c>
      <c r="J1661" s="11" t="s">
        <v>2805</v>
      </c>
    </row>
    <row r="1662" spans="1:10" s="10" customFormat="1" x14ac:dyDescent="0.25">
      <c r="A1662" s="21" t="s">
        <v>787</v>
      </c>
      <c r="D1662" s="25"/>
      <c r="E1662" s="11"/>
      <c r="F1662" s="26">
        <v>7245</v>
      </c>
      <c r="G1662" s="11" t="s">
        <v>788</v>
      </c>
      <c r="H1662" s="11" t="s">
        <v>2783</v>
      </c>
      <c r="I1662" s="12" t="s">
        <v>788</v>
      </c>
      <c r="J1662" s="11" t="s">
        <v>2805</v>
      </c>
    </row>
    <row r="1663" spans="1:10" s="10" customFormat="1" x14ac:dyDescent="0.25">
      <c r="A1663" s="21" t="s">
        <v>2342</v>
      </c>
      <c r="D1663" s="25"/>
      <c r="E1663" s="11"/>
      <c r="F1663" s="26">
        <v>8174</v>
      </c>
      <c r="G1663" s="11" t="s">
        <v>2343</v>
      </c>
      <c r="H1663" s="11" t="s">
        <v>2783</v>
      </c>
      <c r="I1663" s="12" t="s">
        <v>2343</v>
      </c>
      <c r="J1663" s="11" t="s">
        <v>2805</v>
      </c>
    </row>
    <row r="1664" spans="1:10" s="10" customFormat="1" x14ac:dyDescent="0.25">
      <c r="A1664" s="21" t="s">
        <v>790</v>
      </c>
      <c r="D1664" s="25"/>
      <c r="E1664" s="11"/>
      <c r="F1664" s="26">
        <v>7260</v>
      </c>
      <c r="G1664" s="11" t="s">
        <v>791</v>
      </c>
      <c r="H1664" s="11" t="s">
        <v>2783</v>
      </c>
      <c r="I1664" s="12" t="s">
        <v>791</v>
      </c>
      <c r="J1664" s="11" t="s">
        <v>2805</v>
      </c>
    </row>
    <row r="1665" spans="1:10" s="10" customFormat="1" x14ac:dyDescent="0.25">
      <c r="A1665" s="21" t="s">
        <v>2346</v>
      </c>
      <c r="D1665" s="25"/>
      <c r="E1665" s="11"/>
      <c r="F1665" s="26">
        <v>6471</v>
      </c>
      <c r="G1665" s="11" t="s">
        <v>2347</v>
      </c>
      <c r="H1665" s="11" t="s">
        <v>2783</v>
      </c>
      <c r="I1665" s="12" t="s">
        <v>2347</v>
      </c>
      <c r="J1665" s="11" t="s">
        <v>2805</v>
      </c>
    </row>
    <row r="1666" spans="1:10" s="10" customFormat="1" x14ac:dyDescent="0.25">
      <c r="A1666" s="21" t="s">
        <v>2350</v>
      </c>
      <c r="D1666" s="25"/>
      <c r="E1666" s="11"/>
      <c r="F1666" s="26">
        <v>8166</v>
      </c>
      <c r="G1666" s="11" t="s">
        <v>2351</v>
      </c>
      <c r="H1666" s="11" t="s">
        <v>2783</v>
      </c>
      <c r="I1666" s="12" t="s">
        <v>2351</v>
      </c>
      <c r="J1666" s="11" t="s">
        <v>2805</v>
      </c>
    </row>
    <row r="1667" spans="1:10" s="10" customFormat="1" x14ac:dyDescent="0.25">
      <c r="A1667" s="21" t="s">
        <v>1080</v>
      </c>
      <c r="D1667" s="25"/>
      <c r="E1667" s="11"/>
      <c r="F1667" s="26">
        <v>6339</v>
      </c>
      <c r="G1667" s="11" t="s">
        <v>1081</v>
      </c>
      <c r="H1667" s="11" t="s">
        <v>2783</v>
      </c>
      <c r="I1667" s="12" t="s">
        <v>1081</v>
      </c>
      <c r="J1667" s="11" t="s">
        <v>2805</v>
      </c>
    </row>
    <row r="1668" spans="1:10" s="10" customFormat="1" x14ac:dyDescent="0.25">
      <c r="A1668" s="21" t="s">
        <v>1084</v>
      </c>
      <c r="D1668" s="25"/>
      <c r="E1668" s="11"/>
      <c r="F1668" s="26">
        <v>2741</v>
      </c>
      <c r="G1668" s="11" t="s">
        <v>1085</v>
      </c>
      <c r="H1668" s="11" t="s">
        <v>2783</v>
      </c>
      <c r="I1668" s="12" t="s">
        <v>1085</v>
      </c>
      <c r="J1668" s="11" t="s">
        <v>2805</v>
      </c>
    </row>
    <row r="1669" spans="1:10" s="10" customFormat="1" x14ac:dyDescent="0.25">
      <c r="A1669" s="21" t="s">
        <v>2303</v>
      </c>
      <c r="D1669" s="25"/>
      <c r="E1669" s="11"/>
      <c r="F1669" s="26">
        <v>1651</v>
      </c>
      <c r="G1669" s="11" t="s">
        <v>2304</v>
      </c>
      <c r="H1669" s="11" t="s">
        <v>2783</v>
      </c>
      <c r="I1669" s="12" t="s">
        <v>2304</v>
      </c>
      <c r="J1669" s="11" t="s">
        <v>2805</v>
      </c>
    </row>
    <row r="1670" spans="1:10" s="10" customFormat="1" x14ac:dyDescent="0.25">
      <c r="A1670" s="21" t="s">
        <v>1087</v>
      </c>
      <c r="D1670" s="25"/>
      <c r="E1670" s="11"/>
      <c r="F1670" s="26">
        <v>6720</v>
      </c>
      <c r="G1670" s="11" t="s">
        <v>1088</v>
      </c>
      <c r="H1670" s="11" t="s">
        <v>2783</v>
      </c>
      <c r="I1670" s="12" t="s">
        <v>1088</v>
      </c>
      <c r="J1670" s="11" t="s">
        <v>2805</v>
      </c>
    </row>
    <row r="1671" spans="1:10" s="10" customFormat="1" x14ac:dyDescent="0.25">
      <c r="A1671" s="21" t="s">
        <v>336</v>
      </c>
      <c r="D1671" s="25"/>
      <c r="E1671" s="11"/>
      <c r="F1671" s="26">
        <v>2760</v>
      </c>
      <c r="G1671" s="11" t="s">
        <v>339</v>
      </c>
      <c r="H1671" s="11" t="s">
        <v>2783</v>
      </c>
      <c r="I1671" s="12" t="s">
        <v>337</v>
      </c>
      <c r="J1671" s="11" t="s">
        <v>2805</v>
      </c>
    </row>
    <row r="1672" spans="1:10" s="10" customFormat="1" x14ac:dyDescent="0.25">
      <c r="A1672" s="21" t="s">
        <v>4320</v>
      </c>
      <c r="D1672" s="25"/>
      <c r="E1672" s="11"/>
      <c r="F1672" s="26">
        <v>1718</v>
      </c>
      <c r="G1672" s="11" t="s">
        <v>4321</v>
      </c>
      <c r="H1672" s="11" t="s">
        <v>2783</v>
      </c>
      <c r="I1672" s="12" t="s">
        <v>4321</v>
      </c>
      <c r="J1672" s="11" t="s">
        <v>2805</v>
      </c>
    </row>
    <row r="1673" spans="1:10" s="10" customFormat="1" x14ac:dyDescent="0.25">
      <c r="A1673" s="21" t="s">
        <v>4276</v>
      </c>
      <c r="D1673" s="25"/>
      <c r="E1673" s="11"/>
      <c r="F1673" s="26">
        <v>7111</v>
      </c>
      <c r="G1673" s="11" t="s">
        <v>4277</v>
      </c>
      <c r="H1673" s="11" t="s">
        <v>2783</v>
      </c>
      <c r="I1673" s="12" t="s">
        <v>4277</v>
      </c>
      <c r="J1673" s="11" t="s">
        <v>2800</v>
      </c>
    </row>
    <row r="1674" spans="1:10" s="10" customFormat="1" x14ac:dyDescent="0.25">
      <c r="A1674" s="21" t="s">
        <v>2463</v>
      </c>
      <c r="D1674" s="25"/>
      <c r="E1674" s="11"/>
      <c r="F1674" s="26">
        <v>7521</v>
      </c>
      <c r="G1674" s="11" t="s">
        <v>2464</v>
      </c>
      <c r="H1674" s="11" t="s">
        <v>2783</v>
      </c>
      <c r="I1674" s="12" t="s">
        <v>2464</v>
      </c>
      <c r="J1674" s="11" t="s">
        <v>2805</v>
      </c>
    </row>
    <row r="1675" spans="1:10" s="10" customFormat="1" x14ac:dyDescent="0.25">
      <c r="A1675" s="21" t="s">
        <v>2466</v>
      </c>
      <c r="D1675" s="25"/>
      <c r="E1675" s="11"/>
      <c r="F1675" s="26">
        <v>7105</v>
      </c>
      <c r="G1675" s="11" t="s">
        <v>2467</v>
      </c>
      <c r="H1675" s="11" t="s">
        <v>2783</v>
      </c>
      <c r="I1675" s="12" t="s">
        <v>2467</v>
      </c>
      <c r="J1675" s="11" t="s">
        <v>2800</v>
      </c>
    </row>
    <row r="1676" spans="1:10" s="10" customFormat="1" x14ac:dyDescent="0.25">
      <c r="A1676" s="21" t="s">
        <v>4059</v>
      </c>
      <c r="D1676" s="25"/>
      <c r="E1676" s="11"/>
      <c r="F1676" s="26">
        <v>1646</v>
      </c>
      <c r="G1676" s="11" t="s">
        <v>4060</v>
      </c>
      <c r="H1676" s="11" t="s">
        <v>2783</v>
      </c>
      <c r="I1676" s="12" t="s">
        <v>4060</v>
      </c>
      <c r="J1676" s="11" t="s">
        <v>2800</v>
      </c>
    </row>
    <row r="1677" spans="1:10" s="10" customFormat="1" x14ac:dyDescent="0.25">
      <c r="A1677" s="21" t="s">
        <v>2353</v>
      </c>
      <c r="D1677" s="25"/>
      <c r="E1677" s="11"/>
      <c r="F1677" s="26">
        <v>7520</v>
      </c>
      <c r="G1677" s="11" t="s">
        <v>2357</v>
      </c>
      <c r="H1677" s="11" t="s">
        <v>2783</v>
      </c>
      <c r="I1677" s="12" t="s">
        <v>2354</v>
      </c>
      <c r="J1677" s="11" t="s">
        <v>2805</v>
      </c>
    </row>
    <row r="1678" spans="1:10" s="10" customFormat="1" x14ac:dyDescent="0.25">
      <c r="A1678" s="21" t="s">
        <v>1439</v>
      </c>
      <c r="D1678" s="25"/>
      <c r="E1678" s="11"/>
      <c r="F1678" s="26">
        <v>1881</v>
      </c>
      <c r="G1678" s="11" t="s">
        <v>1440</v>
      </c>
      <c r="H1678" s="11" t="s">
        <v>2783</v>
      </c>
      <c r="I1678" s="12" t="s">
        <v>1440</v>
      </c>
      <c r="J1678" s="11" t="s">
        <v>2800</v>
      </c>
    </row>
    <row r="1679" spans="1:10" s="10" customFormat="1" x14ac:dyDescent="0.25">
      <c r="A1679" s="21" t="s">
        <v>2184</v>
      </c>
      <c r="D1679" s="25"/>
      <c r="E1679" s="11"/>
      <c r="F1679" s="26">
        <v>1642</v>
      </c>
      <c r="G1679" s="11" t="s">
        <v>2185</v>
      </c>
      <c r="H1679" s="11" t="s">
        <v>2783</v>
      </c>
      <c r="I1679" s="12" t="s">
        <v>2185</v>
      </c>
      <c r="J1679" s="11" t="s">
        <v>2800</v>
      </c>
    </row>
    <row r="1680" spans="1:10" s="10" customFormat="1" x14ac:dyDescent="0.25">
      <c r="A1680" s="21" t="s">
        <v>2288</v>
      </c>
      <c r="D1680" s="25"/>
      <c r="E1680" s="11"/>
      <c r="F1680" s="26">
        <v>1754</v>
      </c>
      <c r="G1680" s="11" t="s">
        <v>2289</v>
      </c>
      <c r="H1680" s="11" t="s">
        <v>2783</v>
      </c>
      <c r="I1680" s="12" t="s">
        <v>2289</v>
      </c>
      <c r="J1680" s="11" t="s">
        <v>2800</v>
      </c>
    </row>
    <row r="1681" spans="1:10" s="10" customFormat="1" x14ac:dyDescent="0.25">
      <c r="A1681" s="21" t="s">
        <v>2188</v>
      </c>
      <c r="D1681" s="25"/>
      <c r="E1681" s="11"/>
      <c r="F1681" s="26">
        <v>1663</v>
      </c>
      <c r="G1681" s="11" t="s">
        <v>2189</v>
      </c>
      <c r="H1681" s="11" t="s">
        <v>2783</v>
      </c>
      <c r="I1681" s="12" t="s">
        <v>2189</v>
      </c>
      <c r="J1681" s="11" t="s">
        <v>2800</v>
      </c>
    </row>
    <row r="1682" spans="1:10" s="10" customFormat="1" x14ac:dyDescent="0.25">
      <c r="A1682" s="21" t="s">
        <v>2358</v>
      </c>
      <c r="D1682" s="25"/>
      <c r="E1682" s="11"/>
      <c r="F1682" s="26">
        <v>8185</v>
      </c>
      <c r="G1682" s="11" t="s">
        <v>2359</v>
      </c>
      <c r="H1682" s="11" t="s">
        <v>2783</v>
      </c>
      <c r="I1682" s="12" t="s">
        <v>2359</v>
      </c>
      <c r="J1682" s="11" t="s">
        <v>2805</v>
      </c>
    </row>
    <row r="1683" spans="1:10" s="10" customFormat="1" x14ac:dyDescent="0.25">
      <c r="A1683" s="21" t="s">
        <v>4476</v>
      </c>
      <c r="D1683" s="25"/>
      <c r="E1683" s="11"/>
      <c r="F1683" s="26">
        <v>7220</v>
      </c>
      <c r="G1683" s="11" t="s">
        <v>4477</v>
      </c>
      <c r="H1683" s="11" t="s">
        <v>2783</v>
      </c>
      <c r="I1683" s="12" t="s">
        <v>4477</v>
      </c>
      <c r="J1683" s="11" t="s">
        <v>2805</v>
      </c>
    </row>
    <row r="1684" spans="1:10" s="10" customFormat="1" x14ac:dyDescent="0.25">
      <c r="A1684" s="21" t="s">
        <v>304</v>
      </c>
      <c r="D1684" s="25"/>
      <c r="E1684" s="11"/>
      <c r="F1684" s="26">
        <v>2901</v>
      </c>
      <c r="G1684" s="11" t="s">
        <v>308</v>
      </c>
      <c r="H1684" s="11" t="s">
        <v>2783</v>
      </c>
      <c r="I1684" s="12" t="s">
        <v>305</v>
      </c>
      <c r="J1684" s="11" t="s">
        <v>2805</v>
      </c>
    </row>
    <row r="1685" spans="1:10" s="10" customFormat="1" x14ac:dyDescent="0.25">
      <c r="A1685" s="21" t="s">
        <v>344</v>
      </c>
      <c r="D1685" s="25"/>
      <c r="E1685" s="11"/>
      <c r="F1685" s="26">
        <v>2900</v>
      </c>
      <c r="G1685" s="11" t="s">
        <v>308</v>
      </c>
      <c r="H1685" s="11" t="s">
        <v>2783</v>
      </c>
      <c r="I1685" s="12" t="s">
        <v>345</v>
      </c>
      <c r="J1685" s="11" t="s">
        <v>2805</v>
      </c>
    </row>
    <row r="1686" spans="1:10" s="10" customFormat="1" x14ac:dyDescent="0.25">
      <c r="A1686" s="21" t="s">
        <v>340</v>
      </c>
      <c r="D1686" s="25"/>
      <c r="E1686" s="11"/>
      <c r="F1686" s="26">
        <v>2900</v>
      </c>
      <c r="G1686" s="11" t="s">
        <v>308</v>
      </c>
      <c r="H1686" s="11" t="s">
        <v>2783</v>
      </c>
      <c r="I1686" s="12" t="s">
        <v>341</v>
      </c>
      <c r="J1686" s="11" t="s">
        <v>2800</v>
      </c>
    </row>
    <row r="1687" spans="1:10" s="10" customFormat="1" x14ac:dyDescent="0.25">
      <c r="A1687" s="21" t="s">
        <v>348</v>
      </c>
      <c r="D1687" s="25"/>
      <c r="E1687" s="11"/>
      <c r="F1687" s="26">
        <v>2930</v>
      </c>
      <c r="G1687" s="11" t="s">
        <v>349</v>
      </c>
      <c r="H1687" s="11" t="s">
        <v>2783</v>
      </c>
      <c r="I1687" s="12" t="s">
        <v>349</v>
      </c>
      <c r="J1687" s="11" t="s">
        <v>2800</v>
      </c>
    </row>
    <row r="1688" spans="1:10" s="10" customFormat="1" x14ac:dyDescent="0.25">
      <c r="A1688" s="21" t="s">
        <v>793</v>
      </c>
      <c r="D1688" s="25"/>
      <c r="E1688" s="11"/>
      <c r="F1688" s="26">
        <v>1865</v>
      </c>
      <c r="G1688" s="11" t="s">
        <v>794</v>
      </c>
      <c r="H1688" s="11" t="s">
        <v>2783</v>
      </c>
      <c r="I1688" s="12" t="s">
        <v>794</v>
      </c>
      <c r="J1688" s="11" t="s">
        <v>2805</v>
      </c>
    </row>
    <row r="1689" spans="1:10" s="10" customFormat="1" x14ac:dyDescent="0.25">
      <c r="A1689" s="21" t="s">
        <v>2472</v>
      </c>
      <c r="D1689" s="25"/>
      <c r="E1689" s="11"/>
      <c r="F1689" s="26">
        <v>7609</v>
      </c>
      <c r="G1689" s="11" t="s">
        <v>2473</v>
      </c>
      <c r="H1689" s="11" t="s">
        <v>2783</v>
      </c>
      <c r="I1689" s="12" t="s">
        <v>2473</v>
      </c>
      <c r="J1689" s="11" t="s">
        <v>2805</v>
      </c>
    </row>
    <row r="1690" spans="1:10" s="10" customFormat="1" x14ac:dyDescent="0.25">
      <c r="A1690" s="21" t="s">
        <v>352</v>
      </c>
      <c r="D1690" s="25"/>
      <c r="E1690" s="11"/>
      <c r="F1690" s="26">
        <v>2935</v>
      </c>
      <c r="G1690" s="11" t="s">
        <v>353</v>
      </c>
      <c r="H1690" s="11" t="s">
        <v>2783</v>
      </c>
      <c r="I1690" s="12" t="s">
        <v>353</v>
      </c>
      <c r="J1690" s="11" t="s">
        <v>2805</v>
      </c>
    </row>
    <row r="1691" spans="1:10" s="10" customFormat="1" x14ac:dyDescent="0.25">
      <c r="A1691" s="21" t="s">
        <v>1091</v>
      </c>
      <c r="D1691" s="25"/>
      <c r="E1691" s="11"/>
      <c r="F1691" s="26">
        <v>6107</v>
      </c>
      <c r="G1691" s="11" t="s">
        <v>1092</v>
      </c>
      <c r="H1691" s="11" t="s">
        <v>2783</v>
      </c>
      <c r="I1691" s="12" t="s">
        <v>1092</v>
      </c>
      <c r="J1691" s="11" t="s">
        <v>2805</v>
      </c>
    </row>
    <row r="1692" spans="1:10" s="10" customFormat="1" x14ac:dyDescent="0.25">
      <c r="A1692" s="21" t="s">
        <v>2469</v>
      </c>
      <c r="D1692" s="25"/>
      <c r="E1692" s="11"/>
      <c r="F1692" s="26">
        <v>7107</v>
      </c>
      <c r="G1692" s="11" t="s">
        <v>2470</v>
      </c>
      <c r="H1692" s="11" t="s">
        <v>2783</v>
      </c>
      <c r="I1692" s="12" t="s">
        <v>2470</v>
      </c>
      <c r="J1692" s="11" t="s">
        <v>2800</v>
      </c>
    </row>
    <row r="1693" spans="1:10" s="10" customFormat="1" x14ac:dyDescent="0.25">
      <c r="A1693" s="21" t="s">
        <v>4316</v>
      </c>
      <c r="D1693" s="25"/>
      <c r="E1693" s="11"/>
      <c r="F1693" s="26">
        <v>1676</v>
      </c>
      <c r="G1693" s="11" t="s">
        <v>4317</v>
      </c>
      <c r="H1693" s="11" t="s">
        <v>2783</v>
      </c>
      <c r="I1693" s="12" t="s">
        <v>4317</v>
      </c>
      <c r="J1693" s="11" t="s">
        <v>2800</v>
      </c>
    </row>
    <row r="1694" spans="1:10" s="10" customFormat="1" x14ac:dyDescent="0.25">
      <c r="A1694" s="21" t="s">
        <v>1485</v>
      </c>
      <c r="D1694" s="25"/>
      <c r="E1694" s="11"/>
      <c r="F1694" s="26">
        <v>1874</v>
      </c>
      <c r="G1694" s="11" t="s">
        <v>2237</v>
      </c>
      <c r="H1694" s="11" t="s">
        <v>2783</v>
      </c>
      <c r="I1694" s="12" t="s">
        <v>1486</v>
      </c>
      <c r="J1694" s="11" t="s">
        <v>2800</v>
      </c>
    </row>
    <row r="1695" spans="1:10" s="10" customFormat="1" x14ac:dyDescent="0.25">
      <c r="A1695" s="21" t="s">
        <v>2362</v>
      </c>
      <c r="D1695" s="25"/>
      <c r="E1695" s="11"/>
      <c r="F1695" s="26">
        <v>8168</v>
      </c>
      <c r="G1695" s="11" t="s">
        <v>2363</v>
      </c>
      <c r="H1695" s="11" t="s">
        <v>2783</v>
      </c>
      <c r="I1695" s="12" t="s">
        <v>2363</v>
      </c>
      <c r="J1695" s="11" t="s">
        <v>2805</v>
      </c>
    </row>
    <row r="1696" spans="1:10" s="10" customFormat="1" x14ac:dyDescent="0.25">
      <c r="A1696" s="21" t="s">
        <v>2365</v>
      </c>
      <c r="D1696" s="25"/>
      <c r="E1696" s="11"/>
      <c r="F1696" s="26">
        <v>7403</v>
      </c>
      <c r="G1696" s="11" t="s">
        <v>2366</v>
      </c>
      <c r="H1696" s="11" t="s">
        <v>2783</v>
      </c>
      <c r="I1696" s="12" t="s">
        <v>2366</v>
      </c>
      <c r="J1696" s="11" t="s">
        <v>2805</v>
      </c>
    </row>
    <row r="1697" spans="1:10" s="10" customFormat="1" x14ac:dyDescent="0.25">
      <c r="A1697" s="21" t="s">
        <v>2952</v>
      </c>
      <c r="D1697" s="25"/>
      <c r="E1697" s="11"/>
      <c r="F1697" s="26">
        <v>8508</v>
      </c>
      <c r="G1697" s="11" t="s">
        <v>4818</v>
      </c>
      <c r="H1697" s="11" t="s">
        <v>2783</v>
      </c>
      <c r="I1697" s="12" t="s">
        <v>4818</v>
      </c>
      <c r="J1697" s="11" t="s">
        <v>2805</v>
      </c>
    </row>
    <row r="1698" spans="1:10" s="10" customFormat="1" x14ac:dyDescent="0.25">
      <c r="A1698" s="21" t="s">
        <v>1094</v>
      </c>
      <c r="D1698" s="25"/>
      <c r="E1698" s="11"/>
      <c r="F1698" s="26">
        <v>6612</v>
      </c>
      <c r="G1698" s="11" t="s">
        <v>113</v>
      </c>
      <c r="H1698" s="11" t="s">
        <v>2783</v>
      </c>
      <c r="I1698" s="12" t="s">
        <v>113</v>
      </c>
      <c r="J1698" s="11" t="s">
        <v>2805</v>
      </c>
    </row>
    <row r="1699" spans="1:10" s="10" customFormat="1" x14ac:dyDescent="0.25">
      <c r="A1699" s="21" t="s">
        <v>2545</v>
      </c>
      <c r="D1699" s="25"/>
      <c r="E1699" s="11"/>
      <c r="F1699" s="26">
        <v>7000</v>
      </c>
      <c r="G1699" s="11" t="s">
        <v>2546</v>
      </c>
      <c r="H1699" s="11" t="s">
        <v>2783</v>
      </c>
      <c r="I1699" s="12" t="s">
        <v>2546</v>
      </c>
      <c r="J1699" s="11" t="s">
        <v>2800</v>
      </c>
    </row>
    <row r="1700" spans="1:10" s="10" customFormat="1" x14ac:dyDescent="0.25">
      <c r="A1700" s="21" t="s">
        <v>2549</v>
      </c>
      <c r="D1700" s="25"/>
      <c r="E1700" s="11"/>
      <c r="F1700" s="26">
        <v>7303</v>
      </c>
      <c r="G1700" s="11" t="s">
        <v>2550</v>
      </c>
      <c r="H1700" s="11" t="s">
        <v>2783</v>
      </c>
      <c r="I1700" s="12" t="s">
        <v>2550</v>
      </c>
      <c r="J1700" s="11" t="s">
        <v>2805</v>
      </c>
    </row>
    <row r="1701" spans="1:10" s="10" customFormat="1" x14ac:dyDescent="0.25">
      <c r="A1701" s="21" t="s">
        <v>1653</v>
      </c>
      <c r="D1701" s="25"/>
      <c r="E1701" s="11"/>
      <c r="F1701" s="26">
        <v>1834</v>
      </c>
      <c r="G1701" s="11" t="s">
        <v>2301</v>
      </c>
      <c r="H1701" s="11" t="s">
        <v>2783</v>
      </c>
      <c r="I1701" s="12" t="s">
        <v>1654</v>
      </c>
      <c r="J1701" s="11" t="s">
        <v>2805</v>
      </c>
    </row>
    <row r="1702" spans="1:10" s="10" customFormat="1" x14ac:dyDescent="0.25">
      <c r="A1702" s="21" t="s">
        <v>2300</v>
      </c>
      <c r="D1702" s="25"/>
      <c r="E1702" s="11"/>
      <c r="F1702" s="26">
        <v>1834</v>
      </c>
      <c r="G1702" s="11" t="s">
        <v>2301</v>
      </c>
      <c r="H1702" s="11" t="s">
        <v>2783</v>
      </c>
      <c r="I1702" s="12" t="s">
        <v>2301</v>
      </c>
      <c r="J1702" s="11" t="s">
        <v>2800</v>
      </c>
    </row>
    <row r="1703" spans="1:10" s="10" customFormat="1" x14ac:dyDescent="0.25">
      <c r="A1703" s="21" t="s">
        <v>4770</v>
      </c>
      <c r="D1703" s="25"/>
      <c r="E1703" s="11"/>
      <c r="F1703" s="26">
        <v>1648</v>
      </c>
      <c r="G1703" s="11" t="s">
        <v>4771</v>
      </c>
      <c r="H1703" s="11" t="s">
        <v>2783</v>
      </c>
      <c r="I1703" s="12" t="s">
        <v>4771</v>
      </c>
      <c r="J1703" s="11" t="s">
        <v>2800</v>
      </c>
    </row>
    <row r="1704" spans="1:10" s="10" customFormat="1" x14ac:dyDescent="0.25">
      <c r="A1704" s="21" t="s">
        <v>4820</v>
      </c>
      <c r="D1704" s="25"/>
      <c r="E1704" s="11"/>
      <c r="F1704" s="26">
        <v>8160</v>
      </c>
      <c r="G1704" s="11" t="s">
        <v>4821</v>
      </c>
      <c r="H1704" s="11" t="s">
        <v>2783</v>
      </c>
      <c r="I1704" s="12" t="s">
        <v>4821</v>
      </c>
      <c r="J1704" s="11" t="s">
        <v>2805</v>
      </c>
    </row>
    <row r="1705" spans="1:10" s="10" customFormat="1" x14ac:dyDescent="0.25">
      <c r="A1705" s="21" t="s">
        <v>1096</v>
      </c>
      <c r="D1705" s="25"/>
      <c r="E1705" s="11"/>
      <c r="F1705" s="26">
        <v>6703</v>
      </c>
      <c r="G1705" s="11" t="s">
        <v>1097</v>
      </c>
      <c r="H1705" s="11" t="s">
        <v>2783</v>
      </c>
      <c r="I1705" s="12" t="s">
        <v>1097</v>
      </c>
      <c r="J1705" s="11" t="s">
        <v>2805</v>
      </c>
    </row>
    <row r="1706" spans="1:10" s="10" customFormat="1" x14ac:dyDescent="0.25">
      <c r="A1706" s="21" t="s">
        <v>2228</v>
      </c>
      <c r="D1706" s="25"/>
      <c r="E1706" s="11"/>
      <c r="F1706" s="26">
        <v>1667</v>
      </c>
      <c r="G1706" s="11" t="s">
        <v>2229</v>
      </c>
      <c r="H1706" s="11" t="s">
        <v>2783</v>
      </c>
      <c r="I1706" s="12" t="s">
        <v>2229</v>
      </c>
      <c r="J1706" s="11" t="s">
        <v>2800</v>
      </c>
    </row>
    <row r="1707" spans="1:10" s="10" customFormat="1" x14ac:dyDescent="0.25">
      <c r="A1707" s="21" t="s">
        <v>1104</v>
      </c>
      <c r="D1707" s="25"/>
      <c r="E1707" s="11"/>
      <c r="F1707" s="26">
        <v>6400</v>
      </c>
      <c r="G1707" s="11" t="s">
        <v>1105</v>
      </c>
      <c r="H1707" s="11" t="s">
        <v>2783</v>
      </c>
      <c r="I1707" s="12" t="s">
        <v>1105</v>
      </c>
      <c r="J1707" s="11" t="s">
        <v>2800</v>
      </c>
    </row>
    <row r="1708" spans="1:10" s="10" customFormat="1" x14ac:dyDescent="0.25">
      <c r="A1708" s="21" t="s">
        <v>1108</v>
      </c>
      <c r="D1708" s="25"/>
      <c r="E1708" s="11"/>
      <c r="F1708" s="26">
        <v>6231</v>
      </c>
      <c r="G1708" s="11" t="s">
        <v>1109</v>
      </c>
      <c r="H1708" s="11" t="s">
        <v>2783</v>
      </c>
      <c r="I1708" s="12" t="s">
        <v>1109</v>
      </c>
      <c r="J1708" s="11" t="s">
        <v>2805</v>
      </c>
    </row>
    <row r="1709" spans="1:10" s="10" customFormat="1" x14ac:dyDescent="0.25">
      <c r="A1709" s="21" t="s">
        <v>417</v>
      </c>
      <c r="D1709" s="25"/>
      <c r="E1709" s="11"/>
      <c r="F1709" s="26">
        <v>7500</v>
      </c>
      <c r="G1709" s="11" t="s">
        <v>418</v>
      </c>
      <c r="H1709" s="11" t="s">
        <v>2783</v>
      </c>
      <c r="I1709" s="12" t="s">
        <v>418</v>
      </c>
      <c r="J1709" s="11" t="s">
        <v>2800</v>
      </c>
    </row>
    <row r="1710" spans="1:10" s="10" customFormat="1" x14ac:dyDescent="0.25">
      <c r="A1710" s="21" t="s">
        <v>1111</v>
      </c>
      <c r="D1710" s="25"/>
      <c r="E1710" s="11"/>
      <c r="F1710" s="26">
        <v>6409</v>
      </c>
      <c r="G1710" s="11" t="s">
        <v>1112</v>
      </c>
      <c r="H1710" s="11" t="s">
        <v>2783</v>
      </c>
      <c r="I1710" s="12" t="s">
        <v>1112</v>
      </c>
      <c r="J1710" s="11" t="s">
        <v>2805</v>
      </c>
    </row>
    <row r="1711" spans="1:10" s="10" customFormat="1" x14ac:dyDescent="0.25">
      <c r="A1711" s="21" t="s">
        <v>3414</v>
      </c>
      <c r="D1711" s="25"/>
      <c r="E1711" s="11"/>
      <c r="F1711" s="26">
        <v>1806</v>
      </c>
      <c r="G1711" s="11" t="s">
        <v>3415</v>
      </c>
      <c r="H1711" s="11" t="s">
        <v>2783</v>
      </c>
      <c r="I1711" s="12" t="s">
        <v>3415</v>
      </c>
      <c r="J1711" s="11" t="s">
        <v>2805</v>
      </c>
    </row>
    <row r="1712" spans="1:10" s="10" customFormat="1" x14ac:dyDescent="0.25">
      <c r="A1712" s="21" t="s">
        <v>4057</v>
      </c>
      <c r="D1712" s="25"/>
      <c r="E1712" s="11"/>
      <c r="F1712" s="26">
        <v>1833</v>
      </c>
      <c r="G1712" s="11" t="s">
        <v>4058</v>
      </c>
      <c r="H1712" s="11" t="s">
        <v>2783</v>
      </c>
      <c r="I1712" s="12" t="s">
        <v>4058</v>
      </c>
      <c r="J1712" s="11" t="s">
        <v>2805</v>
      </c>
    </row>
    <row r="1713" spans="1:10" s="10" customFormat="1" x14ac:dyDescent="0.25">
      <c r="A1713" s="21" t="s">
        <v>1114</v>
      </c>
      <c r="D1713" s="25"/>
      <c r="E1713" s="11"/>
      <c r="F1713" s="26">
        <v>6553</v>
      </c>
      <c r="G1713" s="11" t="s">
        <v>2817</v>
      </c>
      <c r="H1713" s="11" t="s">
        <v>2783</v>
      </c>
      <c r="I1713" s="12" t="s">
        <v>2817</v>
      </c>
      <c r="J1713" s="11" t="s">
        <v>2805</v>
      </c>
    </row>
    <row r="1714" spans="1:10" s="10" customFormat="1" x14ac:dyDescent="0.25">
      <c r="A1714" s="21" t="s">
        <v>1473</v>
      </c>
      <c r="D1714" s="25"/>
      <c r="E1714" s="11"/>
      <c r="F1714" s="26">
        <v>1822</v>
      </c>
      <c r="G1714" s="11" t="s">
        <v>1474</v>
      </c>
      <c r="H1714" s="11" t="s">
        <v>2783</v>
      </c>
      <c r="I1714" s="12" t="s">
        <v>1474</v>
      </c>
      <c r="J1714" s="11" t="s">
        <v>2800</v>
      </c>
    </row>
    <row r="1715" spans="1:10" s="10" customFormat="1" x14ac:dyDescent="0.25">
      <c r="A1715" s="21" t="s">
        <v>2819</v>
      </c>
      <c r="D1715" s="25"/>
      <c r="E1715" s="11"/>
      <c r="F1715" s="26">
        <v>6030</v>
      </c>
      <c r="G1715" s="11" t="s">
        <v>2820</v>
      </c>
      <c r="H1715" s="11" t="s">
        <v>2783</v>
      </c>
      <c r="I1715" s="12" t="s">
        <v>2820</v>
      </c>
      <c r="J1715" s="11" t="s">
        <v>2805</v>
      </c>
    </row>
    <row r="1716" spans="1:10" s="10" customFormat="1" x14ac:dyDescent="0.25">
      <c r="A1716" s="21" t="s">
        <v>2552</v>
      </c>
      <c r="D1716" s="25"/>
      <c r="E1716" s="11"/>
      <c r="F1716" s="26">
        <v>7003</v>
      </c>
      <c r="G1716" s="11" t="s">
        <v>2553</v>
      </c>
      <c r="H1716" s="11" t="s">
        <v>2783</v>
      </c>
      <c r="I1716" s="12" t="s">
        <v>2553</v>
      </c>
      <c r="J1716" s="11" t="s">
        <v>2805</v>
      </c>
    </row>
    <row r="1717" spans="1:10" s="10" customFormat="1" x14ac:dyDescent="0.25">
      <c r="A1717" s="21" t="s">
        <v>2555</v>
      </c>
      <c r="D1717" s="25"/>
      <c r="E1717" s="11"/>
      <c r="F1717" s="26">
        <v>1917</v>
      </c>
      <c r="G1717" s="11" t="s">
        <v>2556</v>
      </c>
      <c r="H1717" s="11" t="s">
        <v>2783</v>
      </c>
      <c r="I1717" s="12" t="s">
        <v>2556</v>
      </c>
      <c r="J1717" s="11" t="s">
        <v>2805</v>
      </c>
    </row>
    <row r="1718" spans="1:10" s="10" customFormat="1" x14ac:dyDescent="0.25">
      <c r="A1718" s="21" t="s">
        <v>4774</v>
      </c>
      <c r="D1718" s="25"/>
      <c r="E1718" s="11"/>
      <c r="F1718" s="26">
        <v>1638</v>
      </c>
      <c r="G1718" s="11" t="s">
        <v>4775</v>
      </c>
      <c r="H1718" s="11" t="s">
        <v>2783</v>
      </c>
      <c r="I1718" s="12" t="s">
        <v>4775</v>
      </c>
      <c r="J1718" s="11" t="s">
        <v>2800</v>
      </c>
    </row>
    <row r="1719" spans="1:10" s="10" customFormat="1" x14ac:dyDescent="0.25">
      <c r="A1719" s="21" t="s">
        <v>4716</v>
      </c>
      <c r="D1719" s="25"/>
      <c r="E1719" s="11"/>
      <c r="F1719" s="26">
        <v>1644</v>
      </c>
      <c r="G1719" s="11" t="s">
        <v>4717</v>
      </c>
      <c r="H1719" s="11" t="s">
        <v>2783</v>
      </c>
      <c r="I1719" s="12" t="s">
        <v>4717</v>
      </c>
      <c r="J1719" s="11" t="s">
        <v>2800</v>
      </c>
    </row>
    <row r="1720" spans="1:10" s="10" customFormat="1" x14ac:dyDescent="0.25">
      <c r="A1720" s="21" t="s">
        <v>4778</v>
      </c>
      <c r="D1720" s="25"/>
      <c r="E1720" s="11"/>
      <c r="F1720" s="26">
        <v>1607</v>
      </c>
      <c r="G1720" s="11" t="s">
        <v>4779</v>
      </c>
      <c r="H1720" s="11" t="s">
        <v>2783</v>
      </c>
      <c r="I1720" s="12" t="s">
        <v>4779</v>
      </c>
      <c r="J1720" s="11" t="s">
        <v>2800</v>
      </c>
    </row>
    <row r="1721" spans="1:10" s="10" customFormat="1" x14ac:dyDescent="0.25">
      <c r="A1721" s="21" t="s">
        <v>4782</v>
      </c>
      <c r="D1721" s="25"/>
      <c r="E1721" s="11"/>
      <c r="F1721" s="26">
        <v>1653</v>
      </c>
      <c r="G1721" s="11" t="s">
        <v>4783</v>
      </c>
      <c r="H1721" s="11" t="s">
        <v>2783</v>
      </c>
      <c r="I1721" s="12" t="s">
        <v>4783</v>
      </c>
      <c r="J1721" s="11" t="s">
        <v>2800</v>
      </c>
    </row>
    <row r="1722" spans="1:10" s="10" customFormat="1" x14ac:dyDescent="0.25">
      <c r="A1722" s="21" t="s">
        <v>4323</v>
      </c>
      <c r="D1722" s="25"/>
      <c r="E1722" s="11"/>
      <c r="F1722" s="26">
        <v>1682</v>
      </c>
      <c r="G1722" s="11" t="s">
        <v>4324</v>
      </c>
      <c r="H1722" s="11" t="s">
        <v>2783</v>
      </c>
      <c r="I1722" s="12" t="s">
        <v>4324</v>
      </c>
      <c r="J1722" s="11" t="s">
        <v>2800</v>
      </c>
    </row>
    <row r="1723" spans="1:10" s="10" customFormat="1" x14ac:dyDescent="0.25">
      <c r="A1723" s="21" t="s">
        <v>1777</v>
      </c>
      <c r="D1723" s="25"/>
      <c r="E1723" s="11"/>
      <c r="F1723" s="26">
        <v>7005</v>
      </c>
      <c r="G1723" s="11" t="s">
        <v>1778</v>
      </c>
      <c r="H1723" s="11" t="s">
        <v>2783</v>
      </c>
      <c r="I1723" s="12" t="s">
        <v>1778</v>
      </c>
      <c r="J1723" s="11" t="s">
        <v>2805</v>
      </c>
    </row>
    <row r="1724" spans="1:10" s="10" customFormat="1" x14ac:dyDescent="0.25">
      <c r="A1724" s="21" t="s">
        <v>3390</v>
      </c>
      <c r="D1724" s="25"/>
      <c r="E1724" s="11"/>
      <c r="F1724" s="26">
        <v>1894</v>
      </c>
      <c r="G1724" s="11" t="s">
        <v>3405</v>
      </c>
      <c r="H1724" s="11" t="s">
        <v>2783</v>
      </c>
      <c r="I1724" s="12" t="s">
        <v>3405</v>
      </c>
      <c r="J1724" s="11" t="s">
        <v>2805</v>
      </c>
    </row>
    <row r="1725" spans="1:10" s="10" customFormat="1" x14ac:dyDescent="0.25">
      <c r="A1725" s="21" t="s">
        <v>2376</v>
      </c>
      <c r="D1725" s="25"/>
      <c r="E1725" s="11"/>
      <c r="F1725" s="26">
        <v>7165</v>
      </c>
      <c r="G1725" s="11" t="s">
        <v>2377</v>
      </c>
      <c r="H1725" s="11" t="s">
        <v>2783</v>
      </c>
      <c r="I1725" s="12" t="s">
        <v>2377</v>
      </c>
      <c r="J1725" s="11" t="s">
        <v>2805</v>
      </c>
    </row>
    <row r="1726" spans="1:10" s="10" customFormat="1" x14ac:dyDescent="0.25">
      <c r="A1726" s="21" t="s">
        <v>2476</v>
      </c>
      <c r="D1726" s="25"/>
      <c r="E1726" s="11"/>
      <c r="F1726" s="26">
        <v>7165</v>
      </c>
      <c r="G1726" s="11" t="s">
        <v>2377</v>
      </c>
      <c r="H1726" s="11" t="s">
        <v>2783</v>
      </c>
      <c r="I1726" s="12" t="s">
        <v>2377</v>
      </c>
      <c r="J1726" s="11" t="s">
        <v>2800</v>
      </c>
    </row>
    <row r="1727" spans="1:10" s="10" customFormat="1" x14ac:dyDescent="0.25">
      <c r="A1727" s="21" t="s">
        <v>420</v>
      </c>
      <c r="D1727" s="25"/>
      <c r="E1727" s="11"/>
      <c r="F1727" s="26">
        <v>8126</v>
      </c>
      <c r="G1727" s="11" t="s">
        <v>421</v>
      </c>
      <c r="H1727" s="11" t="s">
        <v>2783</v>
      </c>
      <c r="I1727" s="12" t="s">
        <v>421</v>
      </c>
      <c r="J1727" s="11" t="s">
        <v>2805</v>
      </c>
    </row>
    <row r="1728" spans="1:10" s="10" customFormat="1" x14ac:dyDescent="0.25">
      <c r="A1728" s="21" t="s">
        <v>4725</v>
      </c>
      <c r="D1728" s="25"/>
      <c r="E1728" s="11"/>
      <c r="F1728" s="26">
        <v>1672</v>
      </c>
      <c r="G1728" s="11" t="s">
        <v>4726</v>
      </c>
      <c r="H1728" s="11" t="s">
        <v>2783</v>
      </c>
      <c r="I1728" s="12" t="s">
        <v>4726</v>
      </c>
      <c r="J1728" s="11" t="s">
        <v>2800</v>
      </c>
    </row>
    <row r="1729" spans="1:10" s="10" customFormat="1" x14ac:dyDescent="0.25">
      <c r="A1729" s="21" t="s">
        <v>4786</v>
      </c>
      <c r="D1729" s="25"/>
      <c r="E1729" s="11"/>
      <c r="F1729" s="26">
        <v>1603</v>
      </c>
      <c r="G1729" s="11" t="s">
        <v>4787</v>
      </c>
      <c r="H1729" s="11" t="s">
        <v>2783</v>
      </c>
      <c r="I1729" s="12" t="s">
        <v>4787</v>
      </c>
      <c r="J1729" s="11" t="s">
        <v>2800</v>
      </c>
    </row>
    <row r="1730" spans="1:10" s="10" customFormat="1" x14ac:dyDescent="0.25">
      <c r="A1730" s="21" t="s">
        <v>3083</v>
      </c>
      <c r="D1730" s="25"/>
      <c r="E1730" s="11"/>
      <c r="F1730" s="26">
        <v>6343</v>
      </c>
      <c r="G1730" s="11" t="s">
        <v>501</v>
      </c>
      <c r="H1730" s="11" t="s">
        <v>2783</v>
      </c>
      <c r="I1730" s="12" t="s">
        <v>3084</v>
      </c>
      <c r="J1730" s="11" t="s">
        <v>2805</v>
      </c>
    </row>
    <row r="1731" spans="1:10" s="10" customFormat="1" x14ac:dyDescent="0.25">
      <c r="A1731" s="21" t="s">
        <v>2825</v>
      </c>
      <c r="D1731" s="25"/>
      <c r="E1731" s="11"/>
      <c r="F1731" s="26">
        <v>6625</v>
      </c>
      <c r="G1731" s="11" t="s">
        <v>2826</v>
      </c>
      <c r="H1731" s="11" t="s">
        <v>2783</v>
      </c>
      <c r="I1731" s="12" t="s">
        <v>2826</v>
      </c>
      <c r="J1731" s="11" t="s">
        <v>2805</v>
      </c>
    </row>
    <row r="1732" spans="1:10" s="10" customFormat="1" x14ac:dyDescent="0.25">
      <c r="A1732" s="21" t="s">
        <v>356</v>
      </c>
      <c r="D1732" s="25"/>
      <c r="E1732" s="11"/>
      <c r="F1732" s="26">
        <v>2914</v>
      </c>
      <c r="G1732" s="11" t="s">
        <v>359</v>
      </c>
      <c r="H1732" s="11" t="s">
        <v>2783</v>
      </c>
      <c r="I1732" s="12" t="s">
        <v>357</v>
      </c>
      <c r="J1732" s="11" t="s">
        <v>2805</v>
      </c>
    </row>
    <row r="1733" spans="1:10" s="10" customFormat="1" x14ac:dyDescent="0.25">
      <c r="A1733" s="21" t="s">
        <v>2209</v>
      </c>
      <c r="D1733" s="25"/>
      <c r="E1733" s="11"/>
      <c r="F1733" s="26">
        <v>1688</v>
      </c>
      <c r="G1733" s="11" t="s">
        <v>2211</v>
      </c>
      <c r="H1733" s="11" t="s">
        <v>2783</v>
      </c>
      <c r="I1733" s="12" t="s">
        <v>3963</v>
      </c>
      <c r="J1733" s="11" t="s">
        <v>2805</v>
      </c>
    </row>
    <row r="1734" spans="1:10" s="10" customFormat="1" x14ac:dyDescent="0.25">
      <c r="A1734" s="21" t="s">
        <v>424</v>
      </c>
      <c r="D1734" s="25"/>
      <c r="E1734" s="11"/>
      <c r="F1734" s="26">
        <v>8512</v>
      </c>
      <c r="G1734" s="11" t="s">
        <v>425</v>
      </c>
      <c r="H1734" s="11" t="s">
        <v>2783</v>
      </c>
      <c r="I1734" s="12" t="s">
        <v>425</v>
      </c>
      <c r="J1734" s="11" t="s">
        <v>2805</v>
      </c>
    </row>
    <row r="1735" spans="1:10" s="10" customFormat="1" x14ac:dyDescent="0.25">
      <c r="A1735" s="21" t="s">
        <v>1502</v>
      </c>
      <c r="D1735" s="25"/>
      <c r="E1735" s="11"/>
      <c r="F1735" s="26">
        <v>1875</v>
      </c>
      <c r="G1735" s="11" t="s">
        <v>1503</v>
      </c>
      <c r="H1735" s="11" t="s">
        <v>2783</v>
      </c>
      <c r="I1735" s="12" t="s">
        <v>1503</v>
      </c>
      <c r="J1735" s="11" t="s">
        <v>2800</v>
      </c>
    </row>
    <row r="1736" spans="1:10" s="10" customFormat="1" x14ac:dyDescent="0.25">
      <c r="A1736" s="21" t="s">
        <v>3441</v>
      </c>
      <c r="D1736" s="25"/>
      <c r="E1736" s="11"/>
      <c r="F1736" s="26">
        <v>1681</v>
      </c>
      <c r="G1736" s="11" t="s">
        <v>3445</v>
      </c>
      <c r="H1736" s="11" t="s">
        <v>2783</v>
      </c>
      <c r="I1736" s="12" t="s">
        <v>3442</v>
      </c>
      <c r="J1736" s="11" t="s">
        <v>2805</v>
      </c>
    </row>
    <row r="1737" spans="1:10" s="10" customFormat="1" x14ac:dyDescent="0.25">
      <c r="A1737" s="21" t="s">
        <v>360</v>
      </c>
      <c r="D1737" s="25"/>
      <c r="E1737" s="11"/>
      <c r="F1737" s="26">
        <v>2800</v>
      </c>
      <c r="G1737" s="11" t="s">
        <v>361</v>
      </c>
      <c r="H1737" s="11" t="s">
        <v>2783</v>
      </c>
      <c r="I1737" s="12" t="s">
        <v>361</v>
      </c>
      <c r="J1737" s="11" t="s">
        <v>2800</v>
      </c>
    </row>
    <row r="1738" spans="1:10" s="10" customFormat="1" x14ac:dyDescent="0.25">
      <c r="A1738" s="21" t="s">
        <v>895</v>
      </c>
      <c r="D1738" s="25"/>
      <c r="E1738" s="11"/>
      <c r="F1738" s="26">
        <v>1194</v>
      </c>
      <c r="G1738" s="11" t="s">
        <v>855</v>
      </c>
      <c r="H1738" s="11" t="s">
        <v>2788</v>
      </c>
      <c r="I1738" s="12" t="s">
        <v>896</v>
      </c>
      <c r="J1738" s="11" t="s">
        <v>2800</v>
      </c>
    </row>
    <row r="1739" spans="1:10" s="10" customFormat="1" x14ac:dyDescent="0.25">
      <c r="A1739" s="21" t="s">
        <v>866</v>
      </c>
      <c r="D1739" s="25"/>
      <c r="E1739" s="11"/>
      <c r="F1739" s="26">
        <v>1178</v>
      </c>
      <c r="G1739" s="11" t="s">
        <v>855</v>
      </c>
      <c r="H1739" s="11" t="s">
        <v>2788</v>
      </c>
      <c r="I1739" s="12" t="s">
        <v>867</v>
      </c>
      <c r="J1739" s="11" t="s">
        <v>2800</v>
      </c>
    </row>
    <row r="1740" spans="1:10" s="10" customFormat="1" x14ac:dyDescent="0.25">
      <c r="A1740" s="21" t="s">
        <v>856</v>
      </c>
      <c r="D1740" s="25"/>
      <c r="E1740" s="11"/>
      <c r="F1740" s="26">
        <v>1084</v>
      </c>
      <c r="G1740" s="11" t="s">
        <v>855</v>
      </c>
      <c r="H1740" s="11" t="s">
        <v>2788</v>
      </c>
      <c r="I1740" s="12" t="s">
        <v>857</v>
      </c>
      <c r="J1740" s="11" t="s">
        <v>2800</v>
      </c>
    </row>
    <row r="1741" spans="1:10" s="10" customFormat="1" x14ac:dyDescent="0.25">
      <c r="A1741" s="21" t="s">
        <v>3519</v>
      </c>
      <c r="D1741" s="25"/>
      <c r="E1741" s="11"/>
      <c r="F1741" s="26">
        <v>1270</v>
      </c>
      <c r="G1741" s="11" t="s">
        <v>855</v>
      </c>
      <c r="H1741" s="11" t="s">
        <v>2788</v>
      </c>
      <c r="I1741" s="12" t="s">
        <v>3520</v>
      </c>
      <c r="J1741" s="11" t="s">
        <v>2800</v>
      </c>
    </row>
    <row r="1742" spans="1:10" s="10" customFormat="1" x14ac:dyDescent="0.25">
      <c r="A1742" s="21" t="s">
        <v>891</v>
      </c>
      <c r="D1742" s="25"/>
      <c r="E1742" s="11"/>
      <c r="F1742" s="26">
        <v>1118</v>
      </c>
      <c r="G1742" s="11" t="s">
        <v>855</v>
      </c>
      <c r="H1742" s="11" t="s">
        <v>2788</v>
      </c>
      <c r="I1742" s="12" t="s">
        <v>892</v>
      </c>
      <c r="J1742" s="11" t="s">
        <v>2800</v>
      </c>
    </row>
    <row r="1743" spans="1:10" s="10" customFormat="1" x14ac:dyDescent="0.25">
      <c r="A1743" s="21" t="s">
        <v>3503</v>
      </c>
      <c r="D1743" s="25"/>
      <c r="E1743" s="11"/>
      <c r="F1743" s="26">
        <v>1428</v>
      </c>
      <c r="G1743" s="11" t="s">
        <v>855</v>
      </c>
      <c r="H1743" s="11" t="s">
        <v>2788</v>
      </c>
      <c r="I1743" s="12" t="s">
        <v>3504</v>
      </c>
      <c r="J1743" s="11" t="s">
        <v>2800</v>
      </c>
    </row>
    <row r="1744" spans="1:10" s="10" customFormat="1" x14ac:dyDescent="0.25">
      <c r="A1744" s="21" t="s">
        <v>1029</v>
      </c>
      <c r="D1744" s="25"/>
      <c r="E1744" s="11"/>
      <c r="F1744" s="26">
        <v>1424</v>
      </c>
      <c r="G1744" s="11" t="s">
        <v>855</v>
      </c>
      <c r="H1744" s="11" t="s">
        <v>2788</v>
      </c>
      <c r="I1744" s="12" t="s">
        <v>1030</v>
      </c>
      <c r="J1744" s="11" t="s">
        <v>2800</v>
      </c>
    </row>
    <row r="1745" spans="1:10" s="10" customFormat="1" x14ac:dyDescent="0.25">
      <c r="A1745" s="21" t="s">
        <v>3523</v>
      </c>
      <c r="D1745" s="25"/>
      <c r="E1745" s="11"/>
      <c r="F1745" s="26">
        <v>1152</v>
      </c>
      <c r="G1745" s="11" t="s">
        <v>855</v>
      </c>
      <c r="H1745" s="11" t="s">
        <v>2788</v>
      </c>
      <c r="I1745" s="12" t="s">
        <v>3524</v>
      </c>
      <c r="J1745" s="11" t="s">
        <v>2800</v>
      </c>
    </row>
    <row r="1746" spans="1:10" s="10" customFormat="1" x14ac:dyDescent="0.25">
      <c r="A1746" s="21" t="s">
        <v>1043</v>
      </c>
      <c r="D1746" s="25"/>
      <c r="E1746" s="11"/>
      <c r="F1746" s="26">
        <v>1054</v>
      </c>
      <c r="G1746" s="11" t="s">
        <v>855</v>
      </c>
      <c r="H1746" s="11" t="s">
        <v>2788</v>
      </c>
      <c r="I1746" s="12" t="s">
        <v>1044</v>
      </c>
      <c r="J1746" s="11" t="s">
        <v>2800</v>
      </c>
    </row>
    <row r="1747" spans="1:10" s="10" customFormat="1" x14ac:dyDescent="0.25">
      <c r="A1747" s="21" t="s">
        <v>853</v>
      </c>
      <c r="D1747" s="25"/>
      <c r="E1747" s="11"/>
      <c r="F1747" s="26">
        <v>1000</v>
      </c>
      <c r="G1747" s="11" t="s">
        <v>855</v>
      </c>
      <c r="H1747" s="11" t="s">
        <v>2788</v>
      </c>
      <c r="I1747" s="12" t="s">
        <v>3435</v>
      </c>
      <c r="J1747" s="11" t="s">
        <v>2800</v>
      </c>
    </row>
    <row r="1748" spans="1:10" s="10" customFormat="1" x14ac:dyDescent="0.25">
      <c r="A1748" s="21" t="s">
        <v>1913</v>
      </c>
      <c r="D1748" s="25"/>
      <c r="E1748" s="11"/>
      <c r="F1748" s="26">
        <v>1104</v>
      </c>
      <c r="G1748" s="11" t="s">
        <v>855</v>
      </c>
      <c r="H1748" s="11" t="s">
        <v>2788</v>
      </c>
      <c r="I1748" s="12" t="s">
        <v>1914</v>
      </c>
      <c r="J1748" s="11" t="s">
        <v>2800</v>
      </c>
    </row>
    <row r="1749" spans="1:10" s="10" customFormat="1" x14ac:dyDescent="0.25">
      <c r="A1749" s="21" t="s">
        <v>3615</v>
      </c>
      <c r="D1749" s="25"/>
      <c r="E1749" s="11"/>
      <c r="F1749" s="26">
        <v>1427</v>
      </c>
      <c r="G1749" s="11" t="s">
        <v>855</v>
      </c>
      <c r="H1749" s="11" t="s">
        <v>2788</v>
      </c>
      <c r="I1749" s="12" t="s">
        <v>1897</v>
      </c>
      <c r="J1749" s="11" t="s">
        <v>2800</v>
      </c>
    </row>
    <row r="1750" spans="1:10" s="10" customFormat="1" x14ac:dyDescent="0.25">
      <c r="A1750" s="21" t="s">
        <v>3509</v>
      </c>
      <c r="D1750" s="25"/>
      <c r="E1750" s="11"/>
      <c r="F1750" s="26">
        <v>1430</v>
      </c>
      <c r="G1750" s="11" t="s">
        <v>855</v>
      </c>
      <c r="H1750" s="11" t="s">
        <v>2788</v>
      </c>
      <c r="I1750" s="12" t="s">
        <v>3510</v>
      </c>
      <c r="J1750" s="11" t="s">
        <v>2800</v>
      </c>
    </row>
    <row r="1751" spans="1:10" s="10" customFormat="1" x14ac:dyDescent="0.25">
      <c r="A1751" s="21" t="s">
        <v>3499</v>
      </c>
      <c r="D1751" s="25"/>
      <c r="E1751" s="11"/>
      <c r="F1751" s="26">
        <v>1426</v>
      </c>
      <c r="G1751" s="11" t="s">
        <v>855</v>
      </c>
      <c r="H1751" s="11" t="s">
        <v>2788</v>
      </c>
      <c r="I1751" s="12" t="s">
        <v>3500</v>
      </c>
      <c r="J1751" s="11" t="s">
        <v>2800</v>
      </c>
    </row>
    <row r="1752" spans="1:10" s="10" customFormat="1" x14ac:dyDescent="0.25">
      <c r="A1752" s="21" t="s">
        <v>860</v>
      </c>
      <c r="D1752" s="25"/>
      <c r="E1752" s="11"/>
      <c r="F1752" s="26">
        <v>1022</v>
      </c>
      <c r="G1752" s="11" t="s">
        <v>855</v>
      </c>
      <c r="H1752" s="11" t="s">
        <v>2788</v>
      </c>
      <c r="I1752" s="12" t="s">
        <v>861</v>
      </c>
      <c r="J1752" s="11" t="s">
        <v>2800</v>
      </c>
    </row>
    <row r="1753" spans="1:10" s="10" customFormat="1" x14ac:dyDescent="0.25">
      <c r="A1753" s="21" t="s">
        <v>1906</v>
      </c>
      <c r="D1753" s="25"/>
      <c r="E1753" s="11"/>
      <c r="F1753" s="26">
        <v>1054</v>
      </c>
      <c r="G1753" s="11" t="s">
        <v>855</v>
      </c>
      <c r="H1753" s="11" t="s">
        <v>2788</v>
      </c>
      <c r="I1753" s="12" t="s">
        <v>1907</v>
      </c>
      <c r="J1753" s="11" t="s">
        <v>2800</v>
      </c>
    </row>
    <row r="1754" spans="1:10" s="10" customFormat="1" x14ac:dyDescent="0.25">
      <c r="A1754" s="21" t="s">
        <v>1910</v>
      </c>
      <c r="D1754" s="25"/>
      <c r="E1754" s="11"/>
      <c r="F1754" s="26">
        <v>1148</v>
      </c>
      <c r="G1754" s="11" t="s">
        <v>855</v>
      </c>
      <c r="H1754" s="11" t="s">
        <v>2788</v>
      </c>
      <c r="I1754" s="12" t="s">
        <v>1911</v>
      </c>
      <c r="J1754" s="11" t="s">
        <v>2800</v>
      </c>
    </row>
    <row r="1755" spans="1:10" s="10" customFormat="1" x14ac:dyDescent="0.25">
      <c r="A1755" s="21" t="s">
        <v>3493</v>
      </c>
      <c r="D1755" s="25"/>
      <c r="E1755" s="11"/>
      <c r="F1755" s="26">
        <v>1424</v>
      </c>
      <c r="G1755" s="11" t="s">
        <v>855</v>
      </c>
      <c r="H1755" s="11" t="s">
        <v>2788</v>
      </c>
      <c r="I1755" s="12" t="s">
        <v>3494</v>
      </c>
      <c r="J1755" s="11" t="s">
        <v>2800</v>
      </c>
    </row>
    <row r="1756" spans="1:10" s="10" customFormat="1" x14ac:dyDescent="0.25">
      <c r="A1756" s="21" t="s">
        <v>1032</v>
      </c>
      <c r="D1756" s="25"/>
      <c r="E1756" s="11"/>
      <c r="F1756" s="26">
        <v>1154</v>
      </c>
      <c r="G1756" s="11" t="s">
        <v>855</v>
      </c>
      <c r="H1756" s="11" t="s">
        <v>2788</v>
      </c>
      <c r="I1756" s="12" t="s">
        <v>1033</v>
      </c>
      <c r="J1756" s="11" t="s">
        <v>2800</v>
      </c>
    </row>
    <row r="1757" spans="1:10" s="10" customFormat="1" x14ac:dyDescent="0.25">
      <c r="A1757" s="21" t="s">
        <v>1047</v>
      </c>
      <c r="D1757" s="25"/>
      <c r="E1757" s="11"/>
      <c r="F1757" s="26">
        <v>1104</v>
      </c>
      <c r="G1757" s="11" t="s">
        <v>855</v>
      </c>
      <c r="H1757" s="11" t="s">
        <v>2788</v>
      </c>
      <c r="I1757" s="12" t="s">
        <v>3603</v>
      </c>
      <c r="J1757" s="11" t="s">
        <v>2800</v>
      </c>
    </row>
    <row r="1758" spans="1:10" s="10" customFormat="1" x14ac:dyDescent="0.25">
      <c r="A1758" s="21" t="s">
        <v>1036</v>
      </c>
      <c r="D1758" s="25"/>
      <c r="E1758" s="11"/>
      <c r="F1758" s="26">
        <v>1120</v>
      </c>
      <c r="G1758" s="11" t="s">
        <v>855</v>
      </c>
      <c r="H1758" s="11" t="s">
        <v>2788</v>
      </c>
      <c r="I1758" s="12" t="s">
        <v>1037</v>
      </c>
      <c r="J1758" s="11" t="s">
        <v>2800</v>
      </c>
    </row>
    <row r="1759" spans="1:10" s="10" customFormat="1" x14ac:dyDescent="0.25">
      <c r="A1759" s="21" t="s">
        <v>1899</v>
      </c>
      <c r="D1759" s="25"/>
      <c r="E1759" s="11"/>
      <c r="F1759" s="26">
        <v>1406</v>
      </c>
      <c r="G1759" s="11" t="s">
        <v>855</v>
      </c>
      <c r="H1759" s="11" t="s">
        <v>2788</v>
      </c>
      <c r="I1759" s="12" t="s">
        <v>1900</v>
      </c>
      <c r="J1759" s="11" t="s">
        <v>2800</v>
      </c>
    </row>
    <row r="1760" spans="1:10" s="10" customFormat="1" x14ac:dyDescent="0.25">
      <c r="A1760" s="21" t="s">
        <v>874</v>
      </c>
      <c r="D1760" s="25"/>
      <c r="E1760" s="11"/>
      <c r="F1760" s="26">
        <v>1407</v>
      </c>
      <c r="G1760" s="11" t="s">
        <v>855</v>
      </c>
      <c r="H1760" s="11" t="s">
        <v>2788</v>
      </c>
      <c r="I1760" s="12" t="s">
        <v>875</v>
      </c>
      <c r="J1760" s="11" t="s">
        <v>2800</v>
      </c>
    </row>
    <row r="1761" spans="1:10" s="10" customFormat="1" x14ac:dyDescent="0.25">
      <c r="A1761" s="21" t="s">
        <v>3516</v>
      </c>
      <c r="D1761" s="25"/>
      <c r="E1761" s="11"/>
      <c r="F1761" s="26">
        <v>1155</v>
      </c>
      <c r="G1761" s="11" t="s">
        <v>855</v>
      </c>
      <c r="H1761" s="11" t="s">
        <v>2788</v>
      </c>
      <c r="I1761" s="12" t="s">
        <v>3517</v>
      </c>
      <c r="J1761" s="11" t="s">
        <v>2800</v>
      </c>
    </row>
    <row r="1762" spans="1:10" s="10" customFormat="1" x14ac:dyDescent="0.25">
      <c r="A1762" s="21" t="s">
        <v>878</v>
      </c>
      <c r="D1762" s="25"/>
      <c r="E1762" s="11"/>
      <c r="F1762" s="26">
        <v>1408</v>
      </c>
      <c r="G1762" s="11" t="s">
        <v>855</v>
      </c>
      <c r="H1762" s="11" t="s">
        <v>2788</v>
      </c>
      <c r="I1762" s="12" t="s">
        <v>2328</v>
      </c>
      <c r="J1762" s="11" t="s">
        <v>2800</v>
      </c>
    </row>
    <row r="1763" spans="1:10" s="10" customFormat="1" x14ac:dyDescent="0.25">
      <c r="A1763" s="21" t="s">
        <v>1020</v>
      </c>
      <c r="D1763" s="25"/>
      <c r="E1763" s="11"/>
      <c r="F1763" s="26">
        <v>1440</v>
      </c>
      <c r="G1763" s="11" t="s">
        <v>855</v>
      </c>
      <c r="H1763" s="11" t="s">
        <v>2788</v>
      </c>
      <c r="I1763" s="12" t="s">
        <v>1021</v>
      </c>
      <c r="J1763" s="11" t="s">
        <v>2800</v>
      </c>
    </row>
    <row r="1764" spans="1:10" s="10" customFormat="1" x14ac:dyDescent="0.25">
      <c r="A1764" s="21" t="s">
        <v>916</v>
      </c>
      <c r="D1764" s="25"/>
      <c r="E1764" s="11"/>
      <c r="F1764" s="26">
        <v>1100</v>
      </c>
      <c r="G1764" s="11" t="s">
        <v>855</v>
      </c>
      <c r="H1764" s="11" t="s">
        <v>2788</v>
      </c>
      <c r="I1764" s="12" t="s">
        <v>917</v>
      </c>
      <c r="J1764" s="11" t="s">
        <v>2800</v>
      </c>
    </row>
    <row r="1765" spans="1:10" s="10" customFormat="1" x14ac:dyDescent="0.25">
      <c r="A1765" s="21" t="s">
        <v>880</v>
      </c>
      <c r="D1765" s="25"/>
      <c r="E1765" s="11"/>
      <c r="F1765" s="26">
        <v>1407</v>
      </c>
      <c r="G1765" s="11" t="s">
        <v>855</v>
      </c>
      <c r="H1765" s="11" t="s">
        <v>2788</v>
      </c>
      <c r="I1765" s="12" t="s">
        <v>881</v>
      </c>
      <c r="J1765" s="11" t="s">
        <v>2800</v>
      </c>
    </row>
    <row r="1766" spans="1:10" s="10" customFormat="1" x14ac:dyDescent="0.25">
      <c r="A1766" s="21" t="s">
        <v>1008</v>
      </c>
      <c r="D1766" s="25"/>
      <c r="E1766" s="11"/>
      <c r="F1766" s="26">
        <v>1437</v>
      </c>
      <c r="G1766" s="11" t="s">
        <v>855</v>
      </c>
      <c r="H1766" s="11" t="s">
        <v>2788</v>
      </c>
      <c r="I1766" s="12" t="s">
        <v>1009</v>
      </c>
      <c r="J1766" s="11" t="s">
        <v>2800</v>
      </c>
    </row>
    <row r="1767" spans="1:10" s="10" customFormat="1" x14ac:dyDescent="0.25">
      <c r="A1767" s="21" t="s">
        <v>3506</v>
      </c>
      <c r="D1767" s="25"/>
      <c r="E1767" s="11"/>
      <c r="F1767" s="26">
        <v>1429</v>
      </c>
      <c r="G1767" s="11" t="s">
        <v>855</v>
      </c>
      <c r="H1767" s="11" t="s">
        <v>2788</v>
      </c>
      <c r="I1767" s="12" t="s">
        <v>3507</v>
      </c>
      <c r="J1767" s="11" t="s">
        <v>2800</v>
      </c>
    </row>
    <row r="1768" spans="1:10" s="10" customFormat="1" x14ac:dyDescent="0.25">
      <c r="A1768" s="21" t="s">
        <v>863</v>
      </c>
      <c r="D1768" s="25"/>
      <c r="E1768" s="11"/>
      <c r="F1768" s="26">
        <v>1032</v>
      </c>
      <c r="G1768" s="11" t="s">
        <v>855</v>
      </c>
      <c r="H1768" s="11" t="s">
        <v>2788</v>
      </c>
      <c r="I1768" s="12" t="s">
        <v>864</v>
      </c>
      <c r="J1768" s="11" t="s">
        <v>2800</v>
      </c>
    </row>
    <row r="1769" spans="1:10" s="10" customFormat="1" x14ac:dyDescent="0.25">
      <c r="A1769" s="21" t="s">
        <v>1916</v>
      </c>
      <c r="D1769" s="25"/>
      <c r="E1769" s="11"/>
      <c r="F1769" s="26">
        <v>1425</v>
      </c>
      <c r="G1769" s="11" t="s">
        <v>855</v>
      </c>
      <c r="H1769" s="11" t="s">
        <v>2788</v>
      </c>
      <c r="I1769" s="12" t="s">
        <v>1917</v>
      </c>
      <c r="J1769" s="11" t="s">
        <v>2800</v>
      </c>
    </row>
    <row r="1770" spans="1:10" s="10" customFormat="1" x14ac:dyDescent="0.25">
      <c r="A1770" s="21" t="s">
        <v>870</v>
      </c>
      <c r="D1770" s="25"/>
      <c r="E1770" s="11"/>
      <c r="F1770" s="26">
        <v>1405</v>
      </c>
      <c r="G1770" s="11" t="s">
        <v>855</v>
      </c>
      <c r="H1770" s="11" t="s">
        <v>2788</v>
      </c>
      <c r="I1770" s="12" t="s">
        <v>871</v>
      </c>
      <c r="J1770" s="11" t="s">
        <v>2800</v>
      </c>
    </row>
    <row r="1771" spans="1:10" s="10" customFormat="1" x14ac:dyDescent="0.25">
      <c r="A1771" s="21" t="s">
        <v>887</v>
      </c>
      <c r="D1771" s="25"/>
      <c r="E1771" s="11"/>
      <c r="F1771" s="26">
        <v>1406</v>
      </c>
      <c r="G1771" s="11" t="s">
        <v>855</v>
      </c>
      <c r="H1771" s="11" t="s">
        <v>2788</v>
      </c>
      <c r="I1771" s="12" t="s">
        <v>888</v>
      </c>
      <c r="J1771" s="11" t="s">
        <v>2800</v>
      </c>
    </row>
    <row r="1772" spans="1:10" s="10" customFormat="1" x14ac:dyDescent="0.25">
      <c r="A1772" s="21" t="s">
        <v>1023</v>
      </c>
      <c r="D1772" s="25"/>
      <c r="E1772" s="11"/>
      <c r="F1772" s="26">
        <v>1427</v>
      </c>
      <c r="G1772" s="11" t="s">
        <v>855</v>
      </c>
      <c r="H1772" s="11" t="s">
        <v>2788</v>
      </c>
      <c r="I1772" s="12" t="s">
        <v>1024</v>
      </c>
      <c r="J1772" s="11" t="s">
        <v>2800</v>
      </c>
    </row>
    <row r="1773" spans="1:10" s="10" customFormat="1" x14ac:dyDescent="0.25">
      <c r="A1773" s="21" t="s">
        <v>1004</v>
      </c>
      <c r="D1773" s="25"/>
      <c r="E1773" s="11"/>
      <c r="F1773" s="26">
        <v>1244</v>
      </c>
      <c r="G1773" s="11" t="s">
        <v>855</v>
      </c>
      <c r="H1773" s="11" t="s">
        <v>2788</v>
      </c>
      <c r="I1773" s="12" t="s">
        <v>1005</v>
      </c>
      <c r="J1773" s="11" t="s">
        <v>2800</v>
      </c>
    </row>
    <row r="1774" spans="1:10" s="10" customFormat="1" x14ac:dyDescent="0.25">
      <c r="A1774" s="21" t="s">
        <v>899</v>
      </c>
      <c r="D1774" s="25"/>
      <c r="E1774" s="11"/>
      <c r="F1774" s="26">
        <v>1416</v>
      </c>
      <c r="G1774" s="11" t="s">
        <v>855</v>
      </c>
      <c r="H1774" s="11" t="s">
        <v>2788</v>
      </c>
      <c r="I1774" s="12" t="s">
        <v>900</v>
      </c>
      <c r="J1774" s="11" t="s">
        <v>2800</v>
      </c>
    </row>
    <row r="1775" spans="1:10" s="10" customFormat="1" x14ac:dyDescent="0.25">
      <c r="A1775" s="21" t="s">
        <v>3496</v>
      </c>
      <c r="D1775" s="25"/>
      <c r="E1775" s="11"/>
      <c r="F1775" s="26">
        <v>1425</v>
      </c>
      <c r="G1775" s="11" t="s">
        <v>855</v>
      </c>
      <c r="H1775" s="11" t="s">
        <v>2788</v>
      </c>
      <c r="I1775" s="12" t="s">
        <v>3497</v>
      </c>
      <c r="J1775" s="11" t="s">
        <v>2800</v>
      </c>
    </row>
    <row r="1776" spans="1:10" s="10" customFormat="1" x14ac:dyDescent="0.25">
      <c r="A1776" s="21" t="s">
        <v>3605</v>
      </c>
      <c r="D1776" s="25"/>
      <c r="E1776" s="11"/>
      <c r="F1776" s="26">
        <v>1425</v>
      </c>
      <c r="G1776" s="11" t="s">
        <v>855</v>
      </c>
      <c r="H1776" s="11" t="s">
        <v>2788</v>
      </c>
      <c r="I1776" s="12" t="s">
        <v>3606</v>
      </c>
      <c r="J1776" s="11" t="s">
        <v>2800</v>
      </c>
    </row>
    <row r="1777" spans="1:10" s="10" customFormat="1" x14ac:dyDescent="0.25">
      <c r="A1777" s="21" t="s">
        <v>1026</v>
      </c>
      <c r="D1777" s="25"/>
      <c r="E1777" s="11"/>
      <c r="F1777" s="26">
        <v>1060</v>
      </c>
      <c r="G1777" s="11" t="s">
        <v>855</v>
      </c>
      <c r="H1777" s="11" t="s">
        <v>2788</v>
      </c>
      <c r="I1777" s="12" t="s">
        <v>1027</v>
      </c>
      <c r="J1777" s="11" t="s">
        <v>2800</v>
      </c>
    </row>
    <row r="1778" spans="1:10" s="10" customFormat="1" x14ac:dyDescent="0.25">
      <c r="A1778" s="21" t="s">
        <v>3612</v>
      </c>
      <c r="D1778" s="25"/>
      <c r="E1778" s="11"/>
      <c r="F1778" s="26">
        <v>1059</v>
      </c>
      <c r="G1778" s="11" t="s">
        <v>855</v>
      </c>
      <c r="H1778" s="11" t="s">
        <v>2788</v>
      </c>
      <c r="I1778" s="12" t="s">
        <v>3613</v>
      </c>
      <c r="J1778" s="11" t="s">
        <v>2800</v>
      </c>
    </row>
    <row r="1779" spans="1:10" s="10" customFormat="1" x14ac:dyDescent="0.25">
      <c r="A1779" s="21" t="s">
        <v>884</v>
      </c>
      <c r="D1779" s="25"/>
      <c r="E1779" s="11"/>
      <c r="F1779" s="26">
        <v>1024</v>
      </c>
      <c r="G1779" s="11" t="s">
        <v>855</v>
      </c>
      <c r="H1779" s="11" t="s">
        <v>2788</v>
      </c>
      <c r="I1779" s="12" t="s">
        <v>885</v>
      </c>
      <c r="J1779" s="11" t="s">
        <v>2800</v>
      </c>
    </row>
    <row r="1780" spans="1:10" s="10" customFormat="1" x14ac:dyDescent="0.25">
      <c r="A1780" s="21" t="s">
        <v>1040</v>
      </c>
      <c r="D1780" s="25"/>
      <c r="E1780" s="11"/>
      <c r="F1780" s="26">
        <v>1430</v>
      </c>
      <c r="G1780" s="11" t="s">
        <v>855</v>
      </c>
      <c r="H1780" s="11" t="s">
        <v>2788</v>
      </c>
      <c r="I1780" s="12" t="s">
        <v>2343</v>
      </c>
      <c r="J1780" s="11" t="s">
        <v>2800</v>
      </c>
    </row>
    <row r="1781" spans="1:10" s="10" customFormat="1" x14ac:dyDescent="0.25">
      <c r="A1781" s="21" t="s">
        <v>3489</v>
      </c>
      <c r="D1781" s="25"/>
      <c r="E1781" s="11"/>
      <c r="F1781" s="26">
        <v>1233</v>
      </c>
      <c r="G1781" s="11" t="s">
        <v>855</v>
      </c>
      <c r="H1781" s="11" t="s">
        <v>2788</v>
      </c>
      <c r="I1781" s="12" t="s">
        <v>3490</v>
      </c>
      <c r="J1781" s="11" t="s">
        <v>2800</v>
      </c>
    </row>
    <row r="1782" spans="1:10" s="10" customFormat="1" x14ac:dyDescent="0.25">
      <c r="A1782" s="21" t="s">
        <v>913</v>
      </c>
      <c r="D1782" s="25"/>
      <c r="E1782" s="11"/>
      <c r="F1782" s="26">
        <v>1099</v>
      </c>
      <c r="G1782" s="11" t="s">
        <v>855</v>
      </c>
      <c r="H1782" s="11" t="s">
        <v>2788</v>
      </c>
      <c r="I1782" s="12" t="s">
        <v>914</v>
      </c>
      <c r="J1782" s="11" t="s">
        <v>2800</v>
      </c>
    </row>
    <row r="1783" spans="1:10" s="10" customFormat="1" x14ac:dyDescent="0.25">
      <c r="A1783" s="21" t="s">
        <v>1903</v>
      </c>
      <c r="D1783" s="25"/>
      <c r="E1783" s="11"/>
      <c r="F1783" s="26">
        <v>1015</v>
      </c>
      <c r="G1783" s="11" t="s">
        <v>855</v>
      </c>
      <c r="H1783" s="11" t="s">
        <v>2788</v>
      </c>
      <c r="I1783" s="12" t="s">
        <v>1904</v>
      </c>
      <c r="J1783" s="11" t="s">
        <v>2800</v>
      </c>
    </row>
    <row r="1784" spans="1:10" s="10" customFormat="1" x14ac:dyDescent="0.25">
      <c r="A1784" s="21" t="s">
        <v>919</v>
      </c>
      <c r="D1784" s="25"/>
      <c r="E1784" s="11"/>
      <c r="F1784" s="26">
        <v>1414</v>
      </c>
      <c r="G1784" s="11" t="s">
        <v>855</v>
      </c>
      <c r="H1784" s="11" t="s">
        <v>2788</v>
      </c>
      <c r="I1784" s="12" t="s">
        <v>920</v>
      </c>
      <c r="J1784" s="11" t="s">
        <v>2800</v>
      </c>
    </row>
    <row r="1785" spans="1:10" s="10" customFormat="1" x14ac:dyDescent="0.25">
      <c r="A1785" s="21" t="s">
        <v>902</v>
      </c>
      <c r="D1785" s="25"/>
      <c r="E1785" s="11"/>
      <c r="F1785" s="26">
        <v>1417</v>
      </c>
      <c r="G1785" s="11" t="s">
        <v>855</v>
      </c>
      <c r="H1785" s="11" t="s">
        <v>2788</v>
      </c>
      <c r="I1785" s="12" t="s">
        <v>903</v>
      </c>
      <c r="J1785" s="11" t="s">
        <v>2800</v>
      </c>
    </row>
    <row r="1786" spans="1:10" s="10" customFormat="1" x14ac:dyDescent="0.25">
      <c r="A1786" s="21" t="s">
        <v>910</v>
      </c>
      <c r="D1786" s="25"/>
      <c r="E1786" s="11"/>
      <c r="F1786" s="26">
        <v>1419</v>
      </c>
      <c r="G1786" s="11" t="s">
        <v>855</v>
      </c>
      <c r="H1786" s="11" t="s">
        <v>2788</v>
      </c>
      <c r="I1786" s="12" t="s">
        <v>911</v>
      </c>
      <c r="J1786" s="11" t="s">
        <v>2800</v>
      </c>
    </row>
    <row r="1787" spans="1:10" s="10" customFormat="1" x14ac:dyDescent="0.25">
      <c r="A1787" s="21" t="s">
        <v>1016</v>
      </c>
      <c r="D1787" s="25"/>
      <c r="E1787" s="11"/>
      <c r="F1787" s="26">
        <v>1439</v>
      </c>
      <c r="G1787" s="11" t="s">
        <v>855</v>
      </c>
      <c r="H1787" s="11" t="s">
        <v>2788</v>
      </c>
      <c r="I1787" s="12" t="s">
        <v>1017</v>
      </c>
      <c r="J1787" s="11" t="s">
        <v>2800</v>
      </c>
    </row>
    <row r="1788" spans="1:10" s="10" customFormat="1" x14ac:dyDescent="0.25">
      <c r="A1788" s="21" t="s">
        <v>906</v>
      </c>
      <c r="D1788" s="25"/>
      <c r="E1788" s="11"/>
      <c r="F1788" s="26">
        <v>1419</v>
      </c>
      <c r="G1788" s="11" t="s">
        <v>855</v>
      </c>
      <c r="H1788" s="11" t="s">
        <v>2788</v>
      </c>
      <c r="I1788" s="12" t="s">
        <v>907</v>
      </c>
      <c r="J1788" s="11" t="s">
        <v>2800</v>
      </c>
    </row>
    <row r="1789" spans="1:10" s="10" customFormat="1" x14ac:dyDescent="0.25">
      <c r="A1789" s="21" t="s">
        <v>3608</v>
      </c>
      <c r="D1789" s="25"/>
      <c r="E1789" s="11"/>
      <c r="F1789" s="26">
        <v>1417</v>
      </c>
      <c r="G1789" s="11" t="s">
        <v>855</v>
      </c>
      <c r="H1789" s="11" t="s">
        <v>2788</v>
      </c>
      <c r="I1789" s="12" t="s">
        <v>3609</v>
      </c>
      <c r="J1789" s="11" t="s">
        <v>2800</v>
      </c>
    </row>
    <row r="1790" spans="1:10" s="10" customFormat="1" x14ac:dyDescent="0.25">
      <c r="A1790" s="21" t="s">
        <v>1012</v>
      </c>
      <c r="D1790" s="25"/>
      <c r="E1790" s="11"/>
      <c r="F1790" s="26">
        <v>1437</v>
      </c>
      <c r="G1790" s="11" t="s">
        <v>855</v>
      </c>
      <c r="H1790" s="11" t="s">
        <v>2788</v>
      </c>
      <c r="I1790" s="12" t="s">
        <v>1013</v>
      </c>
      <c r="J1790" s="11" t="s">
        <v>2800</v>
      </c>
    </row>
    <row r="1791" spans="1:10" s="10" customFormat="1" x14ac:dyDescent="0.25">
      <c r="A1791" s="21" t="s">
        <v>3513</v>
      </c>
      <c r="D1791" s="25"/>
      <c r="E1791" s="11"/>
      <c r="F1791" s="26">
        <v>1431</v>
      </c>
      <c r="G1791" s="11" t="s">
        <v>855</v>
      </c>
      <c r="H1791" s="11" t="s">
        <v>2788</v>
      </c>
      <c r="I1791" s="12" t="s">
        <v>3514</v>
      </c>
      <c r="J1791" s="11" t="s">
        <v>2800</v>
      </c>
    </row>
    <row r="1792" spans="1:10" s="10" customFormat="1" x14ac:dyDescent="0.25">
      <c r="A1792" s="21" t="s">
        <v>1888</v>
      </c>
      <c r="D1792" s="25"/>
      <c r="E1792" s="11"/>
      <c r="F1792" s="26">
        <v>4723</v>
      </c>
      <c r="G1792" s="11" t="s">
        <v>1889</v>
      </c>
      <c r="H1792" s="11" t="s">
        <v>1803</v>
      </c>
      <c r="I1792" s="12" t="s">
        <v>1889</v>
      </c>
      <c r="J1792" s="11" t="s">
        <v>2805</v>
      </c>
    </row>
    <row r="1793" spans="1:10" s="10" customFormat="1" x14ac:dyDescent="0.25">
      <c r="A1793" s="21" t="s">
        <v>1806</v>
      </c>
      <c r="D1793" s="25"/>
      <c r="E1793" s="11"/>
      <c r="F1793" s="26">
        <v>4740</v>
      </c>
      <c r="G1793" s="11" t="s">
        <v>1807</v>
      </c>
      <c r="H1793" s="11" t="s">
        <v>1803</v>
      </c>
      <c r="I1793" s="12" t="s">
        <v>1807</v>
      </c>
      <c r="J1793" s="11" t="s">
        <v>2805</v>
      </c>
    </row>
    <row r="1794" spans="1:10" s="10" customFormat="1" x14ac:dyDescent="0.25">
      <c r="A1794" s="21" t="s">
        <v>1809</v>
      </c>
      <c r="D1794" s="25"/>
      <c r="E1794" s="11"/>
      <c r="F1794" s="26">
        <v>4721</v>
      </c>
      <c r="G1794" s="11" t="s">
        <v>1810</v>
      </c>
      <c r="H1794" s="11" t="s">
        <v>1803</v>
      </c>
      <c r="I1794" s="12" t="s">
        <v>1810</v>
      </c>
      <c r="J1794" s="11" t="s">
        <v>2805</v>
      </c>
    </row>
    <row r="1795" spans="1:10" s="10" customFormat="1" x14ac:dyDescent="0.25">
      <c r="A1795" s="21" t="s">
        <v>1812</v>
      </c>
      <c r="D1795" s="25"/>
      <c r="E1795" s="11"/>
      <c r="F1795" s="26">
        <v>4750</v>
      </c>
      <c r="G1795" s="11" t="s">
        <v>1813</v>
      </c>
      <c r="H1795" s="11" t="s">
        <v>1803</v>
      </c>
      <c r="I1795" s="12" t="s">
        <v>1813</v>
      </c>
      <c r="J1795" s="11" t="s">
        <v>2805</v>
      </c>
    </row>
    <row r="1796" spans="1:10" s="10" customFormat="1" x14ac:dyDescent="0.25">
      <c r="A1796" s="21" t="s">
        <v>1815</v>
      </c>
      <c r="D1796" s="25"/>
      <c r="E1796" s="11"/>
      <c r="F1796" s="26">
        <v>4728</v>
      </c>
      <c r="G1796" s="11" t="s">
        <v>1816</v>
      </c>
      <c r="H1796" s="11" t="s">
        <v>1803</v>
      </c>
      <c r="I1796" s="12" t="s">
        <v>1816</v>
      </c>
      <c r="J1796" s="11" t="s">
        <v>2805</v>
      </c>
    </row>
    <row r="1797" spans="1:10" s="10" customFormat="1" x14ac:dyDescent="0.25">
      <c r="A1797" s="21" t="s">
        <v>1818</v>
      </c>
      <c r="D1797" s="25"/>
      <c r="E1797" s="11"/>
      <c r="F1797" s="26">
        <v>4743</v>
      </c>
      <c r="G1797" s="11" t="s">
        <v>1819</v>
      </c>
      <c r="H1797" s="11" t="s">
        <v>1803</v>
      </c>
      <c r="I1797" s="12" t="s">
        <v>1819</v>
      </c>
      <c r="J1797" s="11" t="s">
        <v>2805</v>
      </c>
    </row>
    <row r="1798" spans="1:10" s="10" customFormat="1" x14ac:dyDescent="0.25">
      <c r="A1798" s="21" t="s">
        <v>1822</v>
      </c>
      <c r="D1798" s="25"/>
      <c r="E1798" s="11"/>
      <c r="F1798" s="26">
        <v>4715</v>
      </c>
      <c r="G1798" s="11" t="s">
        <v>1823</v>
      </c>
      <c r="H1798" s="11" t="s">
        <v>1803</v>
      </c>
      <c r="I1798" s="12" t="s">
        <v>1823</v>
      </c>
      <c r="J1798" s="11" t="s">
        <v>2805</v>
      </c>
    </row>
    <row r="1799" spans="1:10" s="10" customFormat="1" x14ac:dyDescent="0.25">
      <c r="A1799" s="21" t="s">
        <v>1826</v>
      </c>
      <c r="D1799" s="25"/>
      <c r="E1799" s="11"/>
      <c r="F1799" s="26">
        <v>5345</v>
      </c>
      <c r="G1799" s="11" t="s">
        <v>1827</v>
      </c>
      <c r="H1799" s="11" t="s">
        <v>1803</v>
      </c>
      <c r="I1799" s="12" t="s">
        <v>1827</v>
      </c>
      <c r="J1799" s="11" t="s">
        <v>2805</v>
      </c>
    </row>
    <row r="1800" spans="1:10" s="10" customFormat="1" x14ac:dyDescent="0.25">
      <c r="A1800" s="21" t="s">
        <v>1830</v>
      </c>
      <c r="D1800" s="25"/>
      <c r="E1800" s="11"/>
      <c r="F1800" s="26">
        <v>4728</v>
      </c>
      <c r="G1800" s="11" t="s">
        <v>1831</v>
      </c>
      <c r="H1800" s="11" t="s">
        <v>1803</v>
      </c>
      <c r="I1800" s="12" t="s">
        <v>1831</v>
      </c>
      <c r="J1800" s="11" t="s">
        <v>2805</v>
      </c>
    </row>
    <row r="1801" spans="1:10" s="10" customFormat="1" x14ac:dyDescent="0.25">
      <c r="A1801" s="21" t="s">
        <v>1891</v>
      </c>
      <c r="D1801" s="25"/>
      <c r="E1801" s="11"/>
      <c r="F1801" s="26">
        <v>5265</v>
      </c>
      <c r="G1801" s="11" t="s">
        <v>3178</v>
      </c>
      <c r="H1801" s="11" t="s">
        <v>1803</v>
      </c>
      <c r="I1801" s="12" t="s">
        <v>3178</v>
      </c>
      <c r="J1801" s="11" t="s">
        <v>2805</v>
      </c>
    </row>
    <row r="1802" spans="1:10" s="10" customFormat="1" x14ac:dyDescent="0.25">
      <c r="A1802" s="21" t="s">
        <v>1834</v>
      </c>
      <c r="D1802" s="25"/>
      <c r="E1802" s="11"/>
      <c r="F1802" s="26">
        <v>4718</v>
      </c>
      <c r="G1802" s="11" t="s">
        <v>1835</v>
      </c>
      <c r="H1802" s="11" t="s">
        <v>1803</v>
      </c>
      <c r="I1802" s="12" t="s">
        <v>1835</v>
      </c>
      <c r="J1802" s="11" t="s">
        <v>2805</v>
      </c>
    </row>
    <row r="1803" spans="1:10" s="10" customFormat="1" x14ac:dyDescent="0.25">
      <c r="A1803" s="21" t="s">
        <v>1838</v>
      </c>
      <c r="D1803" s="25"/>
      <c r="E1803" s="11"/>
      <c r="F1803" s="26">
        <v>4711</v>
      </c>
      <c r="G1803" s="11" t="s">
        <v>1839</v>
      </c>
      <c r="H1803" s="11" t="s">
        <v>1803</v>
      </c>
      <c r="I1803" s="12" t="s">
        <v>1839</v>
      </c>
      <c r="J1803" s="11" t="s">
        <v>2805</v>
      </c>
    </row>
    <row r="1804" spans="1:10" s="10" customFormat="1" x14ac:dyDescent="0.25">
      <c r="A1804" s="21" t="s">
        <v>1883</v>
      </c>
      <c r="D1804" s="25"/>
      <c r="E1804" s="11"/>
      <c r="F1804" s="26">
        <v>4707</v>
      </c>
      <c r="G1804" s="11" t="s">
        <v>1887</v>
      </c>
      <c r="H1804" s="11" t="s">
        <v>1803</v>
      </c>
      <c r="I1804" s="12" t="s">
        <v>1884</v>
      </c>
      <c r="J1804" s="11" t="s">
        <v>2805</v>
      </c>
    </row>
    <row r="1805" spans="1:10" s="10" customFormat="1" x14ac:dyDescent="0.25">
      <c r="A1805" s="21" t="s">
        <v>1841</v>
      </c>
      <c r="D1805" s="25"/>
      <c r="E1805" s="11"/>
      <c r="F1805" s="26">
        <v>5347</v>
      </c>
      <c r="G1805" s="11" t="s">
        <v>1842</v>
      </c>
      <c r="H1805" s="11" t="s">
        <v>1803</v>
      </c>
      <c r="I1805" s="12" t="s">
        <v>1842</v>
      </c>
      <c r="J1805" s="11" t="s">
        <v>2805</v>
      </c>
    </row>
    <row r="1806" spans="1:10" s="10" customFormat="1" x14ac:dyDescent="0.25">
      <c r="A1806" s="21" t="s">
        <v>1844</v>
      </c>
      <c r="D1806" s="25"/>
      <c r="E1806" s="11"/>
      <c r="F1806" s="26">
        <v>4753</v>
      </c>
      <c r="G1806" s="11" t="s">
        <v>1848</v>
      </c>
      <c r="H1806" s="11" t="s">
        <v>1803</v>
      </c>
      <c r="I1806" s="12" t="s">
        <v>1845</v>
      </c>
      <c r="J1806" s="11" t="s">
        <v>2805</v>
      </c>
    </row>
    <row r="1807" spans="1:10" s="10" customFormat="1" x14ac:dyDescent="0.25">
      <c r="A1807" s="21" t="s">
        <v>1849</v>
      </c>
      <c r="D1807" s="25"/>
      <c r="E1807" s="11"/>
      <c r="F1807" s="26">
        <v>4723</v>
      </c>
      <c r="G1807" s="11" t="s">
        <v>1850</v>
      </c>
      <c r="H1807" s="11" t="s">
        <v>1803</v>
      </c>
      <c r="I1807" s="12" t="s">
        <v>1850</v>
      </c>
      <c r="J1807" s="11" t="s">
        <v>2805</v>
      </c>
    </row>
    <row r="1808" spans="1:10" s="10" customFormat="1" x14ac:dyDescent="0.25">
      <c r="A1808" s="21" t="s">
        <v>1857</v>
      </c>
      <c r="D1808" s="25"/>
      <c r="E1808" s="11"/>
      <c r="F1808" s="26">
        <v>5315</v>
      </c>
      <c r="G1808" s="11" t="s">
        <v>1858</v>
      </c>
      <c r="H1808" s="11" t="s">
        <v>1803</v>
      </c>
      <c r="I1808" s="12" t="s">
        <v>1858</v>
      </c>
      <c r="J1808" s="11" t="s">
        <v>2805</v>
      </c>
    </row>
    <row r="1809" spans="1:10" s="10" customFormat="1" x14ac:dyDescent="0.25">
      <c r="A1809" s="21" t="s">
        <v>1861</v>
      </c>
      <c r="D1809" s="25"/>
      <c r="E1809" s="11"/>
      <c r="F1809" s="26">
        <v>5260</v>
      </c>
      <c r="G1809" s="11" t="s">
        <v>1862</v>
      </c>
      <c r="H1809" s="11" t="s">
        <v>1803</v>
      </c>
      <c r="I1809" s="12" t="s">
        <v>1862</v>
      </c>
      <c r="J1809" s="11" t="s">
        <v>2805</v>
      </c>
    </row>
    <row r="1810" spans="1:10" s="10" customFormat="1" x14ac:dyDescent="0.25">
      <c r="A1810" s="21" t="s">
        <v>1865</v>
      </c>
      <c r="D1810" s="25"/>
      <c r="E1810" s="11"/>
      <c r="F1810" s="26">
        <v>5264</v>
      </c>
      <c r="G1810" s="11" t="s">
        <v>1866</v>
      </c>
      <c r="H1810" s="11" t="s">
        <v>1803</v>
      </c>
      <c r="I1810" s="12" t="s">
        <v>1866</v>
      </c>
      <c r="J1810" s="11" t="s">
        <v>2805</v>
      </c>
    </row>
    <row r="1811" spans="1:10" s="10" customFormat="1" x14ac:dyDescent="0.25">
      <c r="A1811" s="21" t="s">
        <v>1802</v>
      </c>
      <c r="D1811" s="25"/>
      <c r="E1811" s="11"/>
      <c r="F1811" s="26">
        <v>4700</v>
      </c>
      <c r="G1811" s="11" t="s">
        <v>1805</v>
      </c>
      <c r="H1811" s="11" t="s">
        <v>1803</v>
      </c>
      <c r="I1811" s="12" t="s">
        <v>1803</v>
      </c>
      <c r="J1811" s="11" t="s">
        <v>2800</v>
      </c>
    </row>
    <row r="1812" spans="1:10" s="10" customFormat="1" x14ac:dyDescent="0.25">
      <c r="A1812" s="21" t="s">
        <v>1869</v>
      </c>
      <c r="D1812" s="25"/>
      <c r="E1812" s="11"/>
      <c r="F1812" s="26">
        <v>4139</v>
      </c>
      <c r="G1812" s="11" t="s">
        <v>1275</v>
      </c>
      <c r="H1812" s="11" t="s">
        <v>1803</v>
      </c>
      <c r="I1812" s="12" t="s">
        <v>1275</v>
      </c>
      <c r="J1812" s="11" t="s">
        <v>2805</v>
      </c>
    </row>
    <row r="1813" spans="1:10" s="10" customFormat="1" x14ac:dyDescent="0.25">
      <c r="A1813" s="21" t="s">
        <v>1853</v>
      </c>
      <c r="D1813" s="25"/>
      <c r="E1813" s="11"/>
      <c r="F1813" s="26">
        <v>4709</v>
      </c>
      <c r="G1813" s="11" t="s">
        <v>1856</v>
      </c>
      <c r="H1813" s="11" t="s">
        <v>1803</v>
      </c>
      <c r="I1813" s="12" t="s">
        <v>1854</v>
      </c>
      <c r="J1813" s="11" t="s">
        <v>2805</v>
      </c>
    </row>
    <row r="1814" spans="1:10" s="10" customFormat="1" x14ac:dyDescent="0.25">
      <c r="A1814" s="21" t="s">
        <v>1872</v>
      </c>
      <c r="D1814" s="25"/>
      <c r="E1814" s="11"/>
      <c r="F1814" s="26">
        <v>4011</v>
      </c>
      <c r="G1814" s="11" t="s">
        <v>1873</v>
      </c>
      <c r="H1814" s="11" t="s">
        <v>1803</v>
      </c>
      <c r="I1814" s="12" t="s">
        <v>1873</v>
      </c>
      <c r="J1814" s="11" t="s">
        <v>2805</v>
      </c>
    </row>
    <row r="1815" spans="1:10" s="10" customFormat="1" x14ac:dyDescent="0.25">
      <c r="A1815" s="21" t="s">
        <v>1876</v>
      </c>
      <c r="D1815" s="25"/>
      <c r="E1815" s="11"/>
      <c r="F1815" s="26">
        <v>5321</v>
      </c>
      <c r="G1815" s="11" t="s">
        <v>1877</v>
      </c>
      <c r="H1815" s="11" t="s">
        <v>1803</v>
      </c>
      <c r="I1815" s="12" t="s">
        <v>1877</v>
      </c>
      <c r="J1815" s="11" t="s">
        <v>2805</v>
      </c>
    </row>
    <row r="1816" spans="1:10" s="10" customFormat="1" x14ac:dyDescent="0.25">
      <c r="A1816" s="21" t="s">
        <v>1880</v>
      </c>
      <c r="D1816" s="25"/>
      <c r="E1816" s="11"/>
      <c r="F1816" s="26">
        <v>5340</v>
      </c>
      <c r="G1816" s="11" t="s">
        <v>1881</v>
      </c>
      <c r="H1816" s="11" t="s">
        <v>1803</v>
      </c>
      <c r="I1816" s="12" t="s">
        <v>1881</v>
      </c>
      <c r="J1816" s="11" t="s">
        <v>2805</v>
      </c>
    </row>
    <row r="1817" spans="1:10" s="10" customFormat="1" x14ac:dyDescent="0.25">
      <c r="A1817" s="21" t="s">
        <v>3222</v>
      </c>
      <c r="D1817" s="25"/>
      <c r="E1817" s="11"/>
      <c r="F1817" s="26">
        <v>3706</v>
      </c>
      <c r="G1817" s="11" t="s">
        <v>3223</v>
      </c>
      <c r="H1817" s="11" t="s">
        <v>3221</v>
      </c>
      <c r="I1817" s="12" t="s">
        <v>3223</v>
      </c>
      <c r="J1817" s="11" t="s">
        <v>2805</v>
      </c>
    </row>
    <row r="1818" spans="1:10" s="10" customFormat="1" x14ac:dyDescent="0.25">
      <c r="A1818" s="21" t="s">
        <v>3225</v>
      </c>
      <c r="D1818" s="25"/>
      <c r="E1818" s="11"/>
      <c r="F1818" s="26">
        <v>3503</v>
      </c>
      <c r="G1818" s="11" t="s">
        <v>3226</v>
      </c>
      <c r="H1818" s="11" t="s">
        <v>3221</v>
      </c>
      <c r="I1818" s="12" t="s">
        <v>3226</v>
      </c>
      <c r="J1818" s="11" t="s">
        <v>2805</v>
      </c>
    </row>
    <row r="1819" spans="1:10" s="10" customFormat="1" x14ac:dyDescent="0.25">
      <c r="A1819" s="21" t="s">
        <v>3228</v>
      </c>
      <c r="D1819" s="25"/>
      <c r="E1819" s="11"/>
      <c r="F1819" s="26">
        <v>3516</v>
      </c>
      <c r="G1819" s="11" t="s">
        <v>3229</v>
      </c>
      <c r="H1819" s="11" t="s">
        <v>3221</v>
      </c>
      <c r="I1819" s="12" t="s">
        <v>3229</v>
      </c>
      <c r="J1819" s="11" t="s">
        <v>2805</v>
      </c>
    </row>
    <row r="1820" spans="1:10" s="10" customFormat="1" x14ac:dyDescent="0.25">
      <c r="A1820" s="21" t="s">
        <v>3232</v>
      </c>
      <c r="D1820" s="25"/>
      <c r="E1820" s="11"/>
      <c r="F1820" s="26">
        <v>3716</v>
      </c>
      <c r="G1820" s="11" t="s">
        <v>3233</v>
      </c>
      <c r="H1820" s="11" t="s">
        <v>3221</v>
      </c>
      <c r="I1820" s="12" t="s">
        <v>3233</v>
      </c>
      <c r="J1820" s="11" t="s">
        <v>2805</v>
      </c>
    </row>
    <row r="1821" spans="1:10" s="10" customFormat="1" x14ac:dyDescent="0.25">
      <c r="A1821" s="21" t="s">
        <v>3235</v>
      </c>
      <c r="D1821" s="25"/>
      <c r="E1821" s="11"/>
      <c r="F1821" s="26">
        <v>3730</v>
      </c>
      <c r="G1821" s="11" t="s">
        <v>3236</v>
      </c>
      <c r="H1821" s="11" t="s">
        <v>3221</v>
      </c>
      <c r="I1821" s="12" t="s">
        <v>3236</v>
      </c>
      <c r="J1821" s="11" t="s">
        <v>2805</v>
      </c>
    </row>
    <row r="1822" spans="1:10" s="10" customFormat="1" x14ac:dyDescent="0.25">
      <c r="A1822" s="21" t="s">
        <v>3239</v>
      </c>
      <c r="D1822" s="25"/>
      <c r="E1822" s="11"/>
      <c r="F1822" s="26">
        <v>3515</v>
      </c>
      <c r="G1822" s="11" t="s">
        <v>3240</v>
      </c>
      <c r="H1822" s="11" t="s">
        <v>3221</v>
      </c>
      <c r="I1822" s="12" t="s">
        <v>3240</v>
      </c>
      <c r="J1822" s="11" t="s">
        <v>2805</v>
      </c>
    </row>
    <row r="1823" spans="1:10" s="10" customFormat="1" x14ac:dyDescent="0.25">
      <c r="A1823" s="21" t="s">
        <v>3277</v>
      </c>
      <c r="D1823" s="25"/>
      <c r="E1823" s="11"/>
      <c r="F1823" s="26">
        <v>3705</v>
      </c>
      <c r="G1823" s="11" t="s">
        <v>3281</v>
      </c>
      <c r="H1823" s="11" t="s">
        <v>3221</v>
      </c>
      <c r="I1823" s="12" t="s">
        <v>3278</v>
      </c>
      <c r="J1823" s="11" t="s">
        <v>2805</v>
      </c>
    </row>
    <row r="1824" spans="1:10" s="10" customFormat="1" x14ac:dyDescent="0.25">
      <c r="A1824" s="21" t="s">
        <v>3243</v>
      </c>
      <c r="D1824" s="25"/>
      <c r="E1824" s="11"/>
      <c r="F1824" s="26">
        <v>3532</v>
      </c>
      <c r="G1824" s="11" t="s">
        <v>3244</v>
      </c>
      <c r="H1824" s="11" t="s">
        <v>3221</v>
      </c>
      <c r="I1824" s="12" t="s">
        <v>3244</v>
      </c>
      <c r="J1824" s="11" t="s">
        <v>2805</v>
      </c>
    </row>
    <row r="1825" spans="1:10" s="10" customFormat="1" x14ac:dyDescent="0.25">
      <c r="A1825" s="21" t="s">
        <v>3247</v>
      </c>
      <c r="D1825" s="25"/>
      <c r="E1825" s="11"/>
      <c r="F1825" s="26">
        <v>3708</v>
      </c>
      <c r="G1825" s="11" t="s">
        <v>3250</v>
      </c>
      <c r="H1825" s="11" t="s">
        <v>3221</v>
      </c>
      <c r="I1825" s="12" t="s">
        <v>3248</v>
      </c>
      <c r="J1825" s="11" t="s">
        <v>2805</v>
      </c>
    </row>
    <row r="1826" spans="1:10" s="10" customFormat="1" x14ac:dyDescent="0.25">
      <c r="A1826" s="21" t="s">
        <v>3254</v>
      </c>
      <c r="D1826" s="25"/>
      <c r="E1826" s="11"/>
      <c r="F1826" s="26">
        <v>3541</v>
      </c>
      <c r="G1826" s="11" t="s">
        <v>3257</v>
      </c>
      <c r="H1826" s="11" t="s">
        <v>3221</v>
      </c>
      <c r="I1826" s="12" t="s">
        <v>3255</v>
      </c>
      <c r="J1826" s="11" t="s">
        <v>2805</v>
      </c>
    </row>
    <row r="1827" spans="1:10" s="10" customFormat="1" x14ac:dyDescent="0.25">
      <c r="A1827" s="21" t="s">
        <v>3251</v>
      </c>
      <c r="D1827" s="25"/>
      <c r="E1827" s="11"/>
      <c r="F1827" s="26">
        <v>3718</v>
      </c>
      <c r="G1827" s="11" t="s">
        <v>3252</v>
      </c>
      <c r="H1827" s="11" t="s">
        <v>3221</v>
      </c>
      <c r="I1827" s="12" t="s">
        <v>3252</v>
      </c>
      <c r="J1827" s="11" t="s">
        <v>2805</v>
      </c>
    </row>
    <row r="1828" spans="1:10" s="10" customFormat="1" x14ac:dyDescent="0.25">
      <c r="A1828" s="21" t="s">
        <v>3322</v>
      </c>
      <c r="D1828" s="25"/>
      <c r="E1828" s="11"/>
      <c r="F1828" s="26">
        <v>3514</v>
      </c>
      <c r="G1828" s="11" t="s">
        <v>3323</v>
      </c>
      <c r="H1828" s="11" t="s">
        <v>3221</v>
      </c>
      <c r="I1828" s="12" t="s">
        <v>3323</v>
      </c>
      <c r="J1828" s="11" t="s">
        <v>2805</v>
      </c>
    </row>
    <row r="1829" spans="1:10" s="10" customFormat="1" x14ac:dyDescent="0.25">
      <c r="A1829" s="21" t="s">
        <v>3258</v>
      </c>
      <c r="D1829" s="25"/>
      <c r="E1829" s="11"/>
      <c r="F1829" s="26">
        <v>3734</v>
      </c>
      <c r="G1829" s="11" t="s">
        <v>3259</v>
      </c>
      <c r="H1829" s="11" t="s">
        <v>3221</v>
      </c>
      <c r="I1829" s="12" t="s">
        <v>3259</v>
      </c>
      <c r="J1829" s="11" t="s">
        <v>2805</v>
      </c>
    </row>
    <row r="1830" spans="1:10" s="10" customFormat="1" x14ac:dyDescent="0.25">
      <c r="A1830" s="21" t="s">
        <v>3262</v>
      </c>
      <c r="D1830" s="25"/>
      <c r="E1830" s="11"/>
      <c r="F1830" s="26">
        <v>3509</v>
      </c>
      <c r="G1830" s="11" t="s">
        <v>3265</v>
      </c>
      <c r="H1830" s="11" t="s">
        <v>3221</v>
      </c>
      <c r="I1830" s="12" t="s">
        <v>3263</v>
      </c>
      <c r="J1830" s="11" t="s">
        <v>2805</v>
      </c>
    </row>
    <row r="1831" spans="1:10" s="10" customFormat="1" x14ac:dyDescent="0.25">
      <c r="A1831" s="21" t="s">
        <v>3266</v>
      </c>
      <c r="D1831" s="25"/>
      <c r="E1831" s="11"/>
      <c r="F1831" s="26">
        <v>3732</v>
      </c>
      <c r="G1831" s="11" t="s">
        <v>3269</v>
      </c>
      <c r="H1831" s="11" t="s">
        <v>3221</v>
      </c>
      <c r="I1831" s="12" t="s">
        <v>3267</v>
      </c>
      <c r="J1831" s="11" t="s">
        <v>2805</v>
      </c>
    </row>
    <row r="1832" spans="1:10" s="10" customFormat="1" x14ac:dyDescent="0.25">
      <c r="A1832" s="21" t="s">
        <v>3270</v>
      </c>
      <c r="D1832" s="25"/>
      <c r="E1832" s="11"/>
      <c r="F1832" s="26">
        <v>3520</v>
      </c>
      <c r="G1832" s="11" t="s">
        <v>3273</v>
      </c>
      <c r="H1832" s="11" t="s">
        <v>3221</v>
      </c>
      <c r="I1832" s="12" t="s">
        <v>3271</v>
      </c>
      <c r="J1832" s="11" t="s">
        <v>2805</v>
      </c>
    </row>
    <row r="1833" spans="1:10" s="10" customFormat="1" x14ac:dyDescent="0.25">
      <c r="A1833" s="21" t="s">
        <v>3274</v>
      </c>
      <c r="D1833" s="25"/>
      <c r="E1833" s="11"/>
      <c r="F1833" s="26">
        <v>3733</v>
      </c>
      <c r="G1833" s="11" t="s">
        <v>3275</v>
      </c>
      <c r="H1833" s="11" t="s">
        <v>3221</v>
      </c>
      <c r="I1833" s="12" t="s">
        <v>3275</v>
      </c>
      <c r="J1833" s="11" t="s">
        <v>2805</v>
      </c>
    </row>
    <row r="1834" spans="1:10" s="10" customFormat="1" x14ac:dyDescent="0.25">
      <c r="A1834" s="21" t="s">
        <v>654</v>
      </c>
      <c r="D1834" s="25"/>
      <c r="E1834" s="11"/>
      <c r="F1834" s="26">
        <v>3514</v>
      </c>
      <c r="G1834" s="11" t="s">
        <v>655</v>
      </c>
      <c r="H1834" s="11" t="s">
        <v>3221</v>
      </c>
      <c r="I1834" s="12" t="s">
        <v>655</v>
      </c>
      <c r="J1834" s="11" t="s">
        <v>2805</v>
      </c>
    </row>
    <row r="1835" spans="1:10" s="10" customFormat="1" x14ac:dyDescent="0.25">
      <c r="A1835" s="21" t="s">
        <v>3282</v>
      </c>
      <c r="D1835" s="25"/>
      <c r="E1835" s="11"/>
      <c r="F1835" s="26">
        <v>3518</v>
      </c>
      <c r="G1835" s="11" t="s">
        <v>3283</v>
      </c>
      <c r="H1835" s="11" t="s">
        <v>3221</v>
      </c>
      <c r="I1835" s="12" t="s">
        <v>3283</v>
      </c>
      <c r="J1835" s="11" t="s">
        <v>2805</v>
      </c>
    </row>
    <row r="1836" spans="1:10" s="10" customFormat="1" x14ac:dyDescent="0.25">
      <c r="A1836" s="21" t="s">
        <v>668</v>
      </c>
      <c r="D1836" s="25"/>
      <c r="E1836" s="11"/>
      <c r="F1836" s="26">
        <v>3701</v>
      </c>
      <c r="G1836" s="11" t="s">
        <v>669</v>
      </c>
      <c r="H1836" s="11" t="s">
        <v>3221</v>
      </c>
      <c r="I1836" s="12" t="s">
        <v>669</v>
      </c>
      <c r="J1836" s="11" t="s">
        <v>2805</v>
      </c>
    </row>
    <row r="1837" spans="1:10" s="10" customFormat="1" x14ac:dyDescent="0.25">
      <c r="A1837" s="21" t="s">
        <v>658</v>
      </c>
      <c r="D1837" s="25"/>
      <c r="E1837" s="11"/>
      <c r="F1837" s="26">
        <v>3527</v>
      </c>
      <c r="G1837" s="11" t="s">
        <v>659</v>
      </c>
      <c r="H1837" s="11" t="s">
        <v>3221</v>
      </c>
      <c r="I1837" s="12" t="s">
        <v>659</v>
      </c>
      <c r="J1837" s="11" t="s">
        <v>2805</v>
      </c>
    </row>
    <row r="1838" spans="1:10" s="10" customFormat="1" x14ac:dyDescent="0.25">
      <c r="A1838" s="21" t="s">
        <v>661</v>
      </c>
      <c r="D1838" s="25"/>
      <c r="E1838" s="11"/>
      <c r="F1838" s="26">
        <v>3724</v>
      </c>
      <c r="G1838" s="11" t="s">
        <v>662</v>
      </c>
      <c r="H1838" s="11" t="s">
        <v>3221</v>
      </c>
      <c r="I1838" s="12" t="s">
        <v>662</v>
      </c>
      <c r="J1838" s="11" t="s">
        <v>2805</v>
      </c>
    </row>
    <row r="1839" spans="1:10" s="10" customFormat="1" x14ac:dyDescent="0.25">
      <c r="A1839" s="21" t="s">
        <v>664</v>
      </c>
      <c r="D1839" s="25"/>
      <c r="E1839" s="11"/>
      <c r="F1839" s="26">
        <v>3523</v>
      </c>
      <c r="G1839" s="11" t="s">
        <v>665</v>
      </c>
      <c r="H1839" s="11" t="s">
        <v>3221</v>
      </c>
      <c r="I1839" s="12" t="s">
        <v>665</v>
      </c>
      <c r="J1839" s="11" t="s">
        <v>2805</v>
      </c>
    </row>
    <row r="1840" spans="1:10" s="10" customFormat="1" x14ac:dyDescent="0.25">
      <c r="A1840" s="21" t="s">
        <v>671</v>
      </c>
      <c r="D1840" s="25"/>
      <c r="E1840" s="11"/>
      <c r="F1840" s="26">
        <v>3535</v>
      </c>
      <c r="G1840" s="11" t="s">
        <v>672</v>
      </c>
      <c r="H1840" s="11" t="s">
        <v>3221</v>
      </c>
      <c r="I1840" s="12" t="s">
        <v>672</v>
      </c>
      <c r="J1840" s="11" t="s">
        <v>2805</v>
      </c>
    </row>
    <row r="1841" spans="1:10" s="10" customFormat="1" x14ac:dyDescent="0.25">
      <c r="A1841" s="21" t="s">
        <v>3285</v>
      </c>
      <c r="D1841" s="25"/>
      <c r="E1841" s="11"/>
      <c r="F1841" s="26">
        <v>3528</v>
      </c>
      <c r="G1841" s="11" t="s">
        <v>3286</v>
      </c>
      <c r="H1841" s="11" t="s">
        <v>3221</v>
      </c>
      <c r="I1841" s="12" t="s">
        <v>3286</v>
      </c>
      <c r="J1841" s="11" t="s">
        <v>2805</v>
      </c>
    </row>
    <row r="1842" spans="1:10" s="10" customFormat="1" x14ac:dyDescent="0.25">
      <c r="A1842" s="21" t="s">
        <v>3288</v>
      </c>
      <c r="D1842" s="25"/>
      <c r="E1842" s="11"/>
      <c r="F1842" s="26">
        <v>3505</v>
      </c>
      <c r="G1842" s="11" t="s">
        <v>3289</v>
      </c>
      <c r="H1842" s="11" t="s">
        <v>3221</v>
      </c>
      <c r="I1842" s="12" t="s">
        <v>3289</v>
      </c>
      <c r="J1842" s="11" t="s">
        <v>2805</v>
      </c>
    </row>
    <row r="1843" spans="1:10" s="10" customFormat="1" x14ac:dyDescent="0.25">
      <c r="A1843" s="21" t="s">
        <v>3291</v>
      </c>
      <c r="D1843" s="25"/>
      <c r="E1843" s="11"/>
      <c r="F1843" s="26">
        <v>3531</v>
      </c>
      <c r="G1843" s="11" t="s">
        <v>3292</v>
      </c>
      <c r="H1843" s="11" t="s">
        <v>3221</v>
      </c>
      <c r="I1843" s="12" t="s">
        <v>3292</v>
      </c>
      <c r="J1843" s="11" t="s">
        <v>2805</v>
      </c>
    </row>
    <row r="1844" spans="1:10" s="10" customFormat="1" x14ac:dyDescent="0.25">
      <c r="A1844" s="21" t="s">
        <v>698</v>
      </c>
      <c r="D1844" s="25"/>
      <c r="E1844" s="11"/>
      <c r="F1844" s="26">
        <v>3721</v>
      </c>
      <c r="G1844" s="11" t="s">
        <v>699</v>
      </c>
      <c r="H1844" s="11" t="s">
        <v>3221</v>
      </c>
      <c r="I1844" s="12" t="s">
        <v>699</v>
      </c>
      <c r="J1844" s="11" t="s">
        <v>2805</v>
      </c>
    </row>
    <row r="1845" spans="1:10" s="10" customFormat="1" x14ac:dyDescent="0.25">
      <c r="A1845" s="21" t="s">
        <v>701</v>
      </c>
      <c r="D1845" s="25"/>
      <c r="E1845" s="11"/>
      <c r="F1845" s="26">
        <v>3536</v>
      </c>
      <c r="G1845" s="11" t="s">
        <v>704</v>
      </c>
      <c r="H1845" s="11" t="s">
        <v>3221</v>
      </c>
      <c r="I1845" s="12" t="s">
        <v>702</v>
      </c>
      <c r="J1845" s="11" t="s">
        <v>2805</v>
      </c>
    </row>
    <row r="1846" spans="1:10" s="10" customFormat="1" x14ac:dyDescent="0.25">
      <c r="A1846" s="21" t="s">
        <v>705</v>
      </c>
      <c r="D1846" s="25"/>
      <c r="E1846" s="11"/>
      <c r="F1846" s="26">
        <v>3511</v>
      </c>
      <c r="G1846" s="11" t="s">
        <v>708</v>
      </c>
      <c r="H1846" s="11" t="s">
        <v>3221</v>
      </c>
      <c r="I1846" s="12" t="s">
        <v>706</v>
      </c>
      <c r="J1846" s="11" t="s">
        <v>2805</v>
      </c>
    </row>
    <row r="1847" spans="1:10" s="10" customFormat="1" x14ac:dyDescent="0.25">
      <c r="A1847" s="21" t="s">
        <v>709</v>
      </c>
      <c r="D1847" s="25"/>
      <c r="E1847" s="11"/>
      <c r="F1847" s="26">
        <v>3700</v>
      </c>
      <c r="G1847" s="11" t="s">
        <v>1546</v>
      </c>
      <c r="H1847" s="11" t="s">
        <v>3221</v>
      </c>
      <c r="I1847" s="12" t="s">
        <v>1544</v>
      </c>
      <c r="J1847" s="11" t="s">
        <v>2800</v>
      </c>
    </row>
    <row r="1848" spans="1:10" s="10" customFormat="1" x14ac:dyDescent="0.25">
      <c r="A1848" s="21" t="s">
        <v>3293</v>
      </c>
      <c r="D1848" s="25"/>
      <c r="E1848" s="11"/>
      <c r="F1848" s="26">
        <v>3521</v>
      </c>
      <c r="G1848" s="11" t="s">
        <v>3294</v>
      </c>
      <c r="H1848" s="11" t="s">
        <v>3221</v>
      </c>
      <c r="I1848" s="12" t="s">
        <v>3294</v>
      </c>
      <c r="J1848" s="11" t="s">
        <v>2805</v>
      </c>
    </row>
    <row r="1849" spans="1:10" s="10" customFormat="1" x14ac:dyDescent="0.25">
      <c r="A1849" s="21" t="s">
        <v>3296</v>
      </c>
      <c r="D1849" s="25"/>
      <c r="E1849" s="11"/>
      <c r="F1849" s="26">
        <v>3512</v>
      </c>
      <c r="G1849" s="11" t="s">
        <v>3297</v>
      </c>
      <c r="H1849" s="11" t="s">
        <v>3221</v>
      </c>
      <c r="I1849" s="12" t="s">
        <v>3297</v>
      </c>
      <c r="J1849" s="11" t="s">
        <v>2805</v>
      </c>
    </row>
    <row r="1850" spans="1:10" s="10" customFormat="1" x14ac:dyDescent="0.25">
      <c r="A1850" s="21" t="s">
        <v>3300</v>
      </c>
      <c r="D1850" s="25"/>
      <c r="E1850" s="11"/>
      <c r="F1850" s="26">
        <v>3530</v>
      </c>
      <c r="G1850" s="11" t="s">
        <v>3301</v>
      </c>
      <c r="H1850" s="11" t="s">
        <v>3221</v>
      </c>
      <c r="I1850" s="12" t="s">
        <v>3301</v>
      </c>
      <c r="J1850" s="11" t="s">
        <v>2805</v>
      </c>
    </row>
    <row r="1851" spans="1:10" s="10" customFormat="1" x14ac:dyDescent="0.25">
      <c r="A1851" s="21" t="s">
        <v>3218</v>
      </c>
      <c r="D1851" s="25"/>
      <c r="E1851" s="11"/>
      <c r="F1851" s="26">
        <v>3500</v>
      </c>
      <c r="G1851" s="11" t="s">
        <v>3219</v>
      </c>
      <c r="H1851" s="11" t="s">
        <v>3221</v>
      </c>
      <c r="I1851" s="12" t="s">
        <v>3219</v>
      </c>
      <c r="J1851" s="11" t="s">
        <v>2800</v>
      </c>
    </row>
    <row r="1852" spans="1:10" s="10" customFormat="1" x14ac:dyDescent="0.25">
      <c r="A1852" s="21" t="s">
        <v>3303</v>
      </c>
      <c r="D1852" s="25"/>
      <c r="E1852" s="11"/>
      <c r="F1852" s="26">
        <v>3726</v>
      </c>
      <c r="G1852" s="11" t="s">
        <v>3304</v>
      </c>
      <c r="H1852" s="11" t="s">
        <v>3221</v>
      </c>
      <c r="I1852" s="12" t="s">
        <v>3304</v>
      </c>
      <c r="J1852" s="11" t="s">
        <v>2805</v>
      </c>
    </row>
    <row r="1853" spans="1:10" s="10" customFormat="1" x14ac:dyDescent="0.25">
      <c r="A1853" s="21" t="s">
        <v>3306</v>
      </c>
      <c r="D1853" s="25"/>
      <c r="E1853" s="11"/>
      <c r="F1853" s="26">
        <v>3542</v>
      </c>
      <c r="G1853" s="11" t="s">
        <v>3307</v>
      </c>
      <c r="H1853" s="11" t="s">
        <v>3221</v>
      </c>
      <c r="I1853" s="12" t="s">
        <v>3307</v>
      </c>
      <c r="J1853" s="11" t="s">
        <v>2805</v>
      </c>
    </row>
    <row r="1854" spans="1:10" s="10" customFormat="1" x14ac:dyDescent="0.25">
      <c r="A1854" s="21" t="s">
        <v>3310</v>
      </c>
      <c r="D1854" s="25"/>
      <c r="E1854" s="11"/>
      <c r="F1854" s="26">
        <v>3717</v>
      </c>
      <c r="G1854" s="11" t="s">
        <v>3311</v>
      </c>
      <c r="H1854" s="11" t="s">
        <v>3221</v>
      </c>
      <c r="I1854" s="12" t="s">
        <v>3311</v>
      </c>
      <c r="J1854" s="11" t="s">
        <v>2805</v>
      </c>
    </row>
    <row r="1855" spans="1:10" s="10" customFormat="1" x14ac:dyDescent="0.25">
      <c r="A1855" s="21" t="s">
        <v>3313</v>
      </c>
      <c r="D1855" s="25"/>
      <c r="E1855" s="11"/>
      <c r="F1855" s="26">
        <v>3703</v>
      </c>
      <c r="G1855" s="11" t="s">
        <v>3314</v>
      </c>
      <c r="H1855" s="11" t="s">
        <v>3221</v>
      </c>
      <c r="I1855" s="12" t="s">
        <v>3314</v>
      </c>
      <c r="J1855" s="11" t="s">
        <v>2805</v>
      </c>
    </row>
    <row r="1856" spans="1:10" s="10" customFormat="1" x14ac:dyDescent="0.25">
      <c r="A1856" s="21" t="s">
        <v>3316</v>
      </c>
      <c r="D1856" s="25"/>
      <c r="E1856" s="11"/>
      <c r="F1856" s="26">
        <v>3540</v>
      </c>
      <c r="G1856" s="11" t="s">
        <v>3317</v>
      </c>
      <c r="H1856" s="11" t="s">
        <v>3221</v>
      </c>
      <c r="I1856" s="12" t="s">
        <v>3317</v>
      </c>
      <c r="J1856" s="11" t="s">
        <v>2805</v>
      </c>
    </row>
    <row r="1857" spans="1:10" s="10" customFormat="1" x14ac:dyDescent="0.25">
      <c r="A1857" s="21" t="s">
        <v>3319</v>
      </c>
      <c r="D1857" s="25"/>
      <c r="E1857" s="11"/>
      <c r="F1857" s="26">
        <v>3545</v>
      </c>
      <c r="G1857" s="11" t="s">
        <v>3320</v>
      </c>
      <c r="H1857" s="11" t="s">
        <v>3221</v>
      </c>
      <c r="I1857" s="12" t="s">
        <v>3320</v>
      </c>
      <c r="J1857" s="11" t="s">
        <v>2805</v>
      </c>
    </row>
    <row r="1858" spans="1:10" s="10" customFormat="1" x14ac:dyDescent="0.25">
      <c r="A1858" s="21" t="s">
        <v>531</v>
      </c>
      <c r="D1858" s="25"/>
      <c r="E1858" s="11"/>
      <c r="F1858" s="26">
        <v>9037</v>
      </c>
      <c r="G1858" s="11" t="s">
        <v>532</v>
      </c>
      <c r="H1858" s="11" t="s">
        <v>523</v>
      </c>
      <c r="I1858" s="12" t="s">
        <v>532</v>
      </c>
      <c r="J1858" s="11" t="s">
        <v>2805</v>
      </c>
    </row>
    <row r="1859" spans="1:10" s="10" customFormat="1" x14ac:dyDescent="0.25">
      <c r="A1859" s="21" t="s">
        <v>535</v>
      </c>
      <c r="D1859" s="25"/>
      <c r="E1859" s="11"/>
      <c r="F1859" s="26">
        <v>9033</v>
      </c>
      <c r="G1859" s="11" t="s">
        <v>536</v>
      </c>
      <c r="H1859" s="11" t="s">
        <v>523</v>
      </c>
      <c r="I1859" s="12" t="s">
        <v>536</v>
      </c>
      <c r="J1859" s="11" t="s">
        <v>2805</v>
      </c>
    </row>
    <row r="1860" spans="1:10" s="10" customFormat="1" x14ac:dyDescent="0.25">
      <c r="A1860" s="21" t="s">
        <v>538</v>
      </c>
      <c r="D1860" s="25"/>
      <c r="E1860" s="11"/>
      <c r="F1860" s="26">
        <v>9111</v>
      </c>
      <c r="G1860" s="11" t="s">
        <v>539</v>
      </c>
      <c r="H1860" s="11" t="s">
        <v>523</v>
      </c>
      <c r="I1860" s="12" t="s">
        <v>539</v>
      </c>
      <c r="J1860" s="11" t="s">
        <v>2805</v>
      </c>
    </row>
    <row r="1861" spans="1:10" s="10" customFormat="1" x14ac:dyDescent="0.25">
      <c r="A1861" s="21" t="s">
        <v>568</v>
      </c>
      <c r="D1861" s="25"/>
      <c r="E1861" s="11"/>
      <c r="F1861" s="26">
        <v>9217</v>
      </c>
      <c r="G1861" s="11" t="s">
        <v>569</v>
      </c>
      <c r="H1861" s="11" t="s">
        <v>523</v>
      </c>
      <c r="I1861" s="12" t="s">
        <v>569</v>
      </c>
      <c r="J1861" s="11" t="s">
        <v>2805</v>
      </c>
    </row>
    <row r="1862" spans="1:10" s="10" customFormat="1" x14ac:dyDescent="0.25">
      <c r="A1862" s="21" t="s">
        <v>524</v>
      </c>
      <c r="D1862" s="25"/>
      <c r="E1862" s="11"/>
      <c r="F1862" s="26">
        <v>9005</v>
      </c>
      <c r="G1862" s="11" t="s">
        <v>521</v>
      </c>
      <c r="H1862" s="11" t="s">
        <v>523</v>
      </c>
      <c r="I1862" s="12" t="s">
        <v>525</v>
      </c>
      <c r="J1862" s="11" t="s">
        <v>2805</v>
      </c>
    </row>
    <row r="1863" spans="1:10" s="10" customFormat="1" x14ac:dyDescent="0.25">
      <c r="A1863" s="21" t="s">
        <v>527</v>
      </c>
      <c r="D1863" s="25"/>
      <c r="E1863" s="11"/>
      <c r="F1863" s="26">
        <v>9006</v>
      </c>
      <c r="G1863" s="11" t="s">
        <v>521</v>
      </c>
      <c r="H1863" s="11" t="s">
        <v>523</v>
      </c>
      <c r="I1863" s="12" t="s">
        <v>528</v>
      </c>
      <c r="J1863" s="11" t="s">
        <v>2805</v>
      </c>
    </row>
    <row r="1864" spans="1:10" s="10" customFormat="1" x14ac:dyDescent="0.25">
      <c r="A1864" s="21" t="s">
        <v>520</v>
      </c>
      <c r="D1864" s="25"/>
      <c r="E1864" s="11"/>
      <c r="F1864" s="26">
        <v>9000</v>
      </c>
      <c r="G1864" s="11" t="s">
        <v>521</v>
      </c>
      <c r="H1864" s="11" t="s">
        <v>523</v>
      </c>
      <c r="I1864" s="12" t="s">
        <v>521</v>
      </c>
      <c r="J1864" s="11" t="s">
        <v>2800</v>
      </c>
    </row>
    <row r="1865" spans="1:10" s="10" customFormat="1" x14ac:dyDescent="0.25">
      <c r="A1865" s="21" t="s">
        <v>541</v>
      </c>
      <c r="D1865" s="25"/>
      <c r="E1865" s="11"/>
      <c r="F1865" s="26">
        <v>9204</v>
      </c>
      <c r="G1865" s="11" t="s">
        <v>542</v>
      </c>
      <c r="H1865" s="11" t="s">
        <v>523</v>
      </c>
      <c r="I1865" s="12" t="s">
        <v>542</v>
      </c>
      <c r="J1865" s="11" t="s">
        <v>2805</v>
      </c>
    </row>
    <row r="1866" spans="1:10" s="10" customFormat="1" x14ac:dyDescent="0.25">
      <c r="A1866" s="21" t="s">
        <v>572</v>
      </c>
      <c r="D1866" s="25"/>
      <c r="E1866" s="11"/>
      <c r="F1866" s="26">
        <v>9107</v>
      </c>
      <c r="G1866" s="11" t="s">
        <v>573</v>
      </c>
      <c r="H1866" s="11" t="s">
        <v>523</v>
      </c>
      <c r="I1866" s="12" t="s">
        <v>573</v>
      </c>
      <c r="J1866" s="11" t="s">
        <v>2805</v>
      </c>
    </row>
    <row r="1867" spans="1:10" s="10" customFormat="1" x14ac:dyDescent="0.25">
      <c r="A1867" s="21" t="s">
        <v>2385</v>
      </c>
      <c r="D1867" s="25"/>
      <c r="E1867" s="11"/>
      <c r="F1867" s="26">
        <v>9210</v>
      </c>
      <c r="G1867" s="11" t="s">
        <v>2386</v>
      </c>
      <c r="H1867" s="11" t="s">
        <v>523</v>
      </c>
      <c r="I1867" s="12" t="s">
        <v>2386</v>
      </c>
      <c r="J1867" s="11" t="s">
        <v>2805</v>
      </c>
    </row>
    <row r="1868" spans="1:10" s="10" customFormat="1" x14ac:dyDescent="0.25">
      <c r="A1868" s="21" t="s">
        <v>2388</v>
      </c>
      <c r="D1868" s="25"/>
      <c r="E1868" s="11"/>
      <c r="F1868" s="26">
        <v>9211</v>
      </c>
      <c r="G1868" s="11" t="s">
        <v>2389</v>
      </c>
      <c r="H1868" s="11" t="s">
        <v>523</v>
      </c>
      <c r="I1868" s="12" t="s">
        <v>2389</v>
      </c>
      <c r="J1868" s="11" t="s">
        <v>2805</v>
      </c>
    </row>
    <row r="1869" spans="1:10" s="10" customFormat="1" x14ac:dyDescent="0.25">
      <c r="A1869" s="21" t="s">
        <v>593</v>
      </c>
      <c r="D1869" s="25"/>
      <c r="E1869" s="11"/>
      <c r="F1869" s="26">
        <v>9200</v>
      </c>
      <c r="G1869" s="11" t="s">
        <v>594</v>
      </c>
      <c r="H1869" s="11" t="s">
        <v>523</v>
      </c>
      <c r="I1869" s="12" t="s">
        <v>594</v>
      </c>
      <c r="J1869" s="11" t="s">
        <v>2800</v>
      </c>
    </row>
    <row r="1870" spans="1:10" s="10" customFormat="1" x14ac:dyDescent="0.25">
      <c r="A1870" s="21" t="s">
        <v>596</v>
      </c>
      <c r="D1870" s="25"/>
      <c r="E1870" s="11"/>
      <c r="F1870" s="26">
        <v>9105</v>
      </c>
      <c r="G1870" s="11" t="s">
        <v>597</v>
      </c>
      <c r="H1870" s="11" t="s">
        <v>523</v>
      </c>
      <c r="I1870" s="12" t="s">
        <v>597</v>
      </c>
      <c r="J1870" s="11" t="s">
        <v>2805</v>
      </c>
    </row>
    <row r="1871" spans="1:10" s="10" customFormat="1" x14ac:dyDescent="0.25">
      <c r="A1871" s="21" t="s">
        <v>544</v>
      </c>
      <c r="D1871" s="25"/>
      <c r="E1871" s="11"/>
      <c r="F1871" s="26">
        <v>9223</v>
      </c>
      <c r="G1871" s="11" t="s">
        <v>545</v>
      </c>
      <c r="H1871" s="11" t="s">
        <v>523</v>
      </c>
      <c r="I1871" s="12" t="s">
        <v>545</v>
      </c>
      <c r="J1871" s="11" t="s">
        <v>2805</v>
      </c>
    </row>
    <row r="1872" spans="1:10" s="10" customFormat="1" x14ac:dyDescent="0.25">
      <c r="A1872" s="21" t="s">
        <v>547</v>
      </c>
      <c r="D1872" s="25"/>
      <c r="E1872" s="11"/>
      <c r="F1872" s="26">
        <v>9220</v>
      </c>
      <c r="G1872" s="11" t="s">
        <v>548</v>
      </c>
      <c r="H1872" s="11" t="s">
        <v>523</v>
      </c>
      <c r="I1872" s="12" t="s">
        <v>548</v>
      </c>
      <c r="J1872" s="11" t="s">
        <v>2805</v>
      </c>
    </row>
    <row r="1873" spans="1:10" s="10" customFormat="1" x14ac:dyDescent="0.25">
      <c r="A1873" s="21" t="s">
        <v>608</v>
      </c>
      <c r="D1873" s="25"/>
      <c r="E1873" s="11"/>
      <c r="F1873" s="26">
        <v>9211</v>
      </c>
      <c r="G1873" s="11" t="s">
        <v>609</v>
      </c>
      <c r="H1873" s="11" t="s">
        <v>523</v>
      </c>
      <c r="I1873" s="12" t="s">
        <v>609</v>
      </c>
      <c r="J1873" s="11" t="s">
        <v>2805</v>
      </c>
    </row>
    <row r="1874" spans="1:10" s="10" customFormat="1" x14ac:dyDescent="0.25">
      <c r="A1874" s="21" t="s">
        <v>600</v>
      </c>
      <c r="D1874" s="25"/>
      <c r="E1874" s="11"/>
      <c r="F1874" s="26">
        <v>9207</v>
      </c>
      <c r="G1874" s="11" t="s">
        <v>601</v>
      </c>
      <c r="H1874" s="11" t="s">
        <v>523</v>
      </c>
      <c r="I1874" s="12" t="s">
        <v>601</v>
      </c>
      <c r="J1874" s="11" t="s">
        <v>2805</v>
      </c>
    </row>
    <row r="1875" spans="1:10" s="10" customFormat="1" x14ac:dyDescent="0.25">
      <c r="A1875" s="21" t="s">
        <v>604</v>
      </c>
      <c r="D1875" s="25"/>
      <c r="E1875" s="11"/>
      <c r="F1875" s="26">
        <v>9120</v>
      </c>
      <c r="G1875" s="11" t="s">
        <v>605</v>
      </c>
      <c r="H1875" s="11" t="s">
        <v>523</v>
      </c>
      <c r="I1875" s="12" t="s">
        <v>605</v>
      </c>
      <c r="J1875" s="11" t="s">
        <v>2800</v>
      </c>
    </row>
    <row r="1876" spans="1:10" s="10" customFormat="1" x14ac:dyDescent="0.25">
      <c r="A1876" s="21" t="s">
        <v>550</v>
      </c>
      <c r="D1876" s="25"/>
      <c r="E1876" s="11"/>
      <c r="F1876" s="26">
        <v>9001</v>
      </c>
      <c r="G1876" s="11" t="s">
        <v>551</v>
      </c>
      <c r="H1876" s="11" t="s">
        <v>523</v>
      </c>
      <c r="I1876" s="12" t="s">
        <v>551</v>
      </c>
      <c r="J1876" s="11" t="s">
        <v>2805</v>
      </c>
    </row>
    <row r="1877" spans="1:10" s="10" customFormat="1" x14ac:dyDescent="0.25">
      <c r="A1877" s="21" t="s">
        <v>612</v>
      </c>
      <c r="D1877" s="25"/>
      <c r="E1877" s="11"/>
      <c r="F1877" s="26">
        <v>9103</v>
      </c>
      <c r="G1877" s="11" t="s">
        <v>995</v>
      </c>
      <c r="H1877" s="11" t="s">
        <v>523</v>
      </c>
      <c r="I1877" s="12" t="s">
        <v>995</v>
      </c>
      <c r="J1877" s="11" t="s">
        <v>2800</v>
      </c>
    </row>
    <row r="1878" spans="1:10" s="10" customFormat="1" x14ac:dyDescent="0.25">
      <c r="A1878" s="21" t="s">
        <v>553</v>
      </c>
      <c r="D1878" s="25"/>
      <c r="E1878" s="11"/>
      <c r="F1878" s="26">
        <v>9030</v>
      </c>
      <c r="G1878" s="11" t="s">
        <v>554</v>
      </c>
      <c r="H1878" s="11" t="s">
        <v>523</v>
      </c>
      <c r="I1878" s="12" t="s">
        <v>554</v>
      </c>
      <c r="J1878" s="11" t="s">
        <v>2805</v>
      </c>
    </row>
    <row r="1879" spans="1:10" s="10" customFormat="1" x14ac:dyDescent="0.25">
      <c r="A1879" s="21" t="s">
        <v>556</v>
      </c>
      <c r="D1879" s="25"/>
      <c r="E1879" s="11"/>
      <c r="F1879" s="26">
        <v>9225</v>
      </c>
      <c r="G1879" s="11" t="s">
        <v>557</v>
      </c>
      <c r="H1879" s="11" t="s">
        <v>523</v>
      </c>
      <c r="I1879" s="12" t="s">
        <v>557</v>
      </c>
      <c r="J1879" s="11" t="s">
        <v>2805</v>
      </c>
    </row>
    <row r="1880" spans="1:10" s="10" customFormat="1" x14ac:dyDescent="0.25">
      <c r="A1880" s="21" t="s">
        <v>559</v>
      </c>
      <c r="D1880" s="25"/>
      <c r="E1880" s="11"/>
      <c r="F1880" s="26">
        <v>9020</v>
      </c>
      <c r="G1880" s="11" t="s">
        <v>4655</v>
      </c>
      <c r="H1880" s="11" t="s">
        <v>523</v>
      </c>
      <c r="I1880" s="12" t="s">
        <v>4655</v>
      </c>
      <c r="J1880" s="11" t="s">
        <v>2805</v>
      </c>
    </row>
    <row r="1881" spans="1:10" s="10" customFormat="1" x14ac:dyDescent="0.25">
      <c r="A1881" s="21" t="s">
        <v>615</v>
      </c>
      <c r="D1881" s="25"/>
      <c r="E1881" s="11"/>
      <c r="F1881" s="26">
        <v>9201</v>
      </c>
      <c r="G1881" s="11" t="s">
        <v>616</v>
      </c>
      <c r="H1881" s="11" t="s">
        <v>523</v>
      </c>
      <c r="I1881" s="12" t="s">
        <v>616</v>
      </c>
      <c r="J1881" s="11" t="s">
        <v>2805</v>
      </c>
    </row>
    <row r="1882" spans="1:10" s="10" customFormat="1" x14ac:dyDescent="0.25">
      <c r="A1882" s="21" t="s">
        <v>618</v>
      </c>
      <c r="D1882" s="25"/>
      <c r="E1882" s="11"/>
      <c r="F1882" s="26">
        <v>9121</v>
      </c>
      <c r="G1882" s="11" t="s">
        <v>619</v>
      </c>
      <c r="H1882" s="11" t="s">
        <v>523</v>
      </c>
      <c r="I1882" s="12" t="s">
        <v>619</v>
      </c>
      <c r="J1882" s="11" t="s">
        <v>2805</v>
      </c>
    </row>
    <row r="1883" spans="1:10" s="10" customFormat="1" x14ac:dyDescent="0.25">
      <c r="A1883" s="21" t="s">
        <v>565</v>
      </c>
      <c r="D1883" s="25"/>
      <c r="E1883" s="11"/>
      <c r="F1883" s="26">
        <v>9100</v>
      </c>
      <c r="G1883" s="11" t="s">
        <v>566</v>
      </c>
      <c r="H1883" s="11" t="s">
        <v>523</v>
      </c>
      <c r="I1883" s="12" t="s">
        <v>566</v>
      </c>
      <c r="J1883" s="11" t="s">
        <v>2800</v>
      </c>
    </row>
    <row r="1884" spans="1:10" s="10" customFormat="1" x14ac:dyDescent="0.25">
      <c r="A1884" s="21" t="s">
        <v>562</v>
      </c>
      <c r="D1884" s="25"/>
      <c r="E1884" s="11"/>
      <c r="F1884" s="26">
        <v>9203</v>
      </c>
      <c r="G1884" s="11" t="s">
        <v>563</v>
      </c>
      <c r="H1884" s="11" t="s">
        <v>523</v>
      </c>
      <c r="I1884" s="12" t="s">
        <v>563</v>
      </c>
      <c r="J1884" s="11" t="s">
        <v>2805</v>
      </c>
    </row>
    <row r="1885" spans="1:10" s="10" customFormat="1" x14ac:dyDescent="0.25">
      <c r="A1885" s="21" t="s">
        <v>2028</v>
      </c>
      <c r="D1885" s="25"/>
      <c r="E1885" s="11"/>
      <c r="F1885" s="26">
        <v>5833</v>
      </c>
      <c r="G1885" s="11" t="s">
        <v>2029</v>
      </c>
      <c r="H1885" s="11" t="s">
        <v>1908</v>
      </c>
      <c r="I1885" s="12" t="s">
        <v>2029</v>
      </c>
      <c r="J1885" s="11" t="s">
        <v>2805</v>
      </c>
    </row>
    <row r="1886" spans="1:10" s="10" customFormat="1" x14ac:dyDescent="0.25">
      <c r="A1886" s="21" t="s">
        <v>3753</v>
      </c>
      <c r="D1886" s="25"/>
      <c r="E1886" s="11"/>
      <c r="F1886" s="26">
        <v>5843</v>
      </c>
      <c r="G1886" s="11" t="s">
        <v>3754</v>
      </c>
      <c r="H1886" s="11" t="s">
        <v>1908</v>
      </c>
      <c r="I1886" s="12" t="s">
        <v>3754</v>
      </c>
      <c r="J1886" s="11" t="s">
        <v>2805</v>
      </c>
    </row>
    <row r="1887" spans="1:10" s="10" customFormat="1" x14ac:dyDescent="0.25">
      <c r="A1887" s="21" t="s">
        <v>3346</v>
      </c>
      <c r="D1887" s="25"/>
      <c r="E1887" s="11"/>
      <c r="F1887" s="26">
        <v>5107</v>
      </c>
      <c r="G1887" s="11" t="s">
        <v>3350</v>
      </c>
      <c r="H1887" s="11" t="s">
        <v>1908</v>
      </c>
      <c r="I1887" s="12" t="s">
        <v>3347</v>
      </c>
      <c r="J1887" s="11" t="s">
        <v>2805</v>
      </c>
    </row>
    <row r="1888" spans="1:10" s="10" customFormat="1" x14ac:dyDescent="0.25">
      <c r="A1888" s="21" t="s">
        <v>4603</v>
      </c>
      <c r="D1888" s="25"/>
      <c r="E1888" s="11"/>
      <c r="F1888" s="26">
        <v>5813</v>
      </c>
      <c r="G1888" s="11" t="s">
        <v>4606</v>
      </c>
      <c r="H1888" s="11" t="s">
        <v>1908</v>
      </c>
      <c r="I1888" s="12" t="s">
        <v>4604</v>
      </c>
      <c r="J1888" s="11" t="s">
        <v>2805</v>
      </c>
    </row>
    <row r="1889" spans="1:10" s="10" customFormat="1" x14ac:dyDescent="0.25">
      <c r="A1889" s="21" t="s">
        <v>3756</v>
      </c>
      <c r="D1889" s="25"/>
      <c r="E1889" s="11"/>
      <c r="F1889" s="26">
        <v>2686</v>
      </c>
      <c r="G1889" s="11" t="s">
        <v>3759</v>
      </c>
      <c r="H1889" s="11" t="s">
        <v>1908</v>
      </c>
      <c r="I1889" s="12" t="s">
        <v>3757</v>
      </c>
      <c r="J1889" s="11" t="s">
        <v>2805</v>
      </c>
    </row>
    <row r="1890" spans="1:10" s="10" customFormat="1" x14ac:dyDescent="0.25">
      <c r="A1890" s="21" t="s">
        <v>3760</v>
      </c>
      <c r="D1890" s="25"/>
      <c r="E1890" s="11"/>
      <c r="F1890" s="26">
        <v>2662</v>
      </c>
      <c r="G1890" s="11" t="s">
        <v>3761</v>
      </c>
      <c r="H1890" s="11" t="s">
        <v>1908</v>
      </c>
      <c r="I1890" s="12" t="s">
        <v>3761</v>
      </c>
      <c r="J1890" s="11" t="s">
        <v>2805</v>
      </c>
    </row>
    <row r="1891" spans="1:10" s="10" customFormat="1" x14ac:dyDescent="0.25">
      <c r="A1891" s="21" t="s">
        <v>3343</v>
      </c>
      <c r="D1891" s="25"/>
      <c r="E1891" s="11"/>
      <c r="F1891" s="26">
        <v>5949</v>
      </c>
      <c r="G1891" s="11" t="s">
        <v>3344</v>
      </c>
      <c r="H1891" s="11" t="s">
        <v>1908</v>
      </c>
      <c r="I1891" s="12" t="s">
        <v>3344</v>
      </c>
      <c r="J1891" s="11" t="s">
        <v>2805</v>
      </c>
    </row>
    <row r="1892" spans="1:10" s="10" customFormat="1" x14ac:dyDescent="0.25">
      <c r="A1892" s="21" t="s">
        <v>1192</v>
      </c>
      <c r="D1892" s="25"/>
      <c r="E1892" s="11"/>
      <c r="F1892" s="26">
        <v>5854</v>
      </c>
      <c r="G1892" s="11" t="s">
        <v>2290</v>
      </c>
      <c r="H1892" s="11" t="s">
        <v>1908</v>
      </c>
      <c r="I1892" s="12" t="s">
        <v>2290</v>
      </c>
      <c r="J1892" s="11" t="s">
        <v>2805</v>
      </c>
    </row>
    <row r="1893" spans="1:10" s="10" customFormat="1" x14ac:dyDescent="0.25">
      <c r="A1893" s="21" t="s">
        <v>3351</v>
      </c>
      <c r="D1893" s="25"/>
      <c r="E1893" s="11"/>
      <c r="F1893" s="26">
        <v>5186</v>
      </c>
      <c r="G1893" s="11" t="s">
        <v>3352</v>
      </c>
      <c r="H1893" s="11" t="s">
        <v>1908</v>
      </c>
      <c r="I1893" s="12" t="s">
        <v>3352</v>
      </c>
      <c r="J1893" s="11" t="s">
        <v>2800</v>
      </c>
    </row>
    <row r="1894" spans="1:10" s="10" customFormat="1" x14ac:dyDescent="0.25">
      <c r="A1894" s="21" t="s">
        <v>3354</v>
      </c>
      <c r="D1894" s="25"/>
      <c r="E1894" s="11"/>
      <c r="F1894" s="26">
        <v>2417</v>
      </c>
      <c r="G1894" s="11" t="s">
        <v>3355</v>
      </c>
      <c r="H1894" s="11" t="s">
        <v>1908</v>
      </c>
      <c r="I1894" s="12" t="s">
        <v>3355</v>
      </c>
      <c r="J1894" s="11" t="s">
        <v>2805</v>
      </c>
    </row>
    <row r="1895" spans="1:10" s="10" customFormat="1" x14ac:dyDescent="0.25">
      <c r="A1895" s="21" t="s">
        <v>2175</v>
      </c>
      <c r="D1895" s="25"/>
      <c r="E1895" s="11"/>
      <c r="F1895" s="26">
        <v>5189</v>
      </c>
      <c r="G1895" s="11" t="s">
        <v>2178</v>
      </c>
      <c r="H1895" s="11" t="s">
        <v>1908</v>
      </c>
      <c r="I1895" s="12" t="s">
        <v>2176</v>
      </c>
      <c r="J1895" s="11" t="s">
        <v>2805</v>
      </c>
    </row>
    <row r="1896" spans="1:10" s="10" customFormat="1" x14ac:dyDescent="0.25">
      <c r="A1896" s="21" t="s">
        <v>3763</v>
      </c>
      <c r="D1896" s="25"/>
      <c r="E1896" s="11"/>
      <c r="F1896" s="26">
        <v>2624</v>
      </c>
      <c r="G1896" s="11" t="s">
        <v>3764</v>
      </c>
      <c r="H1896" s="11" t="s">
        <v>1908</v>
      </c>
      <c r="I1896" s="12" t="s">
        <v>3764</v>
      </c>
      <c r="J1896" s="11" t="s">
        <v>2805</v>
      </c>
    </row>
    <row r="1897" spans="1:10" s="10" customFormat="1" x14ac:dyDescent="0.25">
      <c r="A1897" s="21" t="s">
        <v>3357</v>
      </c>
      <c r="D1897" s="25"/>
      <c r="E1897" s="11"/>
      <c r="F1897" s="26">
        <v>2434</v>
      </c>
      <c r="G1897" s="11" t="s">
        <v>3358</v>
      </c>
      <c r="H1897" s="11" t="s">
        <v>1908</v>
      </c>
      <c r="I1897" s="12" t="s">
        <v>3358</v>
      </c>
      <c r="J1897" s="11" t="s">
        <v>2805</v>
      </c>
    </row>
    <row r="1898" spans="1:10" s="10" customFormat="1" x14ac:dyDescent="0.25">
      <c r="A1898" s="21" t="s">
        <v>3766</v>
      </c>
      <c r="D1898" s="25"/>
      <c r="E1898" s="11"/>
      <c r="F1898" s="26">
        <v>5917</v>
      </c>
      <c r="G1898" s="11" t="s">
        <v>3767</v>
      </c>
      <c r="H1898" s="11" t="s">
        <v>1908</v>
      </c>
      <c r="I1898" s="12" t="s">
        <v>3767</v>
      </c>
      <c r="J1898" s="11" t="s">
        <v>2805</v>
      </c>
    </row>
    <row r="1899" spans="1:10" s="10" customFormat="1" x14ac:dyDescent="0.25">
      <c r="A1899" s="21" t="s">
        <v>1194</v>
      </c>
      <c r="D1899" s="25"/>
      <c r="E1899" s="11"/>
      <c r="F1899" s="26">
        <v>2572</v>
      </c>
      <c r="G1899" s="11" t="s">
        <v>1195</v>
      </c>
      <c r="H1899" s="11" t="s">
        <v>1908</v>
      </c>
      <c r="I1899" s="12" t="s">
        <v>1195</v>
      </c>
      <c r="J1899" s="11" t="s">
        <v>2805</v>
      </c>
    </row>
    <row r="1900" spans="1:10" s="10" customFormat="1" x14ac:dyDescent="0.25">
      <c r="A1900" s="21" t="s">
        <v>3360</v>
      </c>
      <c r="D1900" s="25"/>
      <c r="E1900" s="11"/>
      <c r="F1900" s="26">
        <v>5141</v>
      </c>
      <c r="G1900" s="11" t="s">
        <v>3361</v>
      </c>
      <c r="H1900" s="11" t="s">
        <v>1908</v>
      </c>
      <c r="I1900" s="12" t="s">
        <v>3361</v>
      </c>
      <c r="J1900" s="11" t="s">
        <v>2805</v>
      </c>
    </row>
    <row r="1901" spans="1:10" s="10" customFormat="1" x14ac:dyDescent="0.25">
      <c r="A1901" s="21" t="s">
        <v>1198</v>
      </c>
      <c r="D1901" s="25"/>
      <c r="E1901" s="11"/>
      <c r="F1901" s="26">
        <v>2550</v>
      </c>
      <c r="G1901" s="11" t="s">
        <v>1199</v>
      </c>
      <c r="H1901" s="11" t="s">
        <v>1908</v>
      </c>
      <c r="I1901" s="12" t="s">
        <v>1199</v>
      </c>
      <c r="J1901" s="11" t="s">
        <v>2800</v>
      </c>
    </row>
    <row r="1902" spans="1:10" s="10" customFormat="1" x14ac:dyDescent="0.25">
      <c r="A1902" s="21" t="s">
        <v>1201</v>
      </c>
      <c r="D1902" s="25"/>
      <c r="E1902" s="11"/>
      <c r="F1902" s="26">
        <v>5817</v>
      </c>
      <c r="G1902" s="11" t="s">
        <v>1202</v>
      </c>
      <c r="H1902" s="11" t="s">
        <v>1908</v>
      </c>
      <c r="I1902" s="12" t="s">
        <v>1202</v>
      </c>
      <c r="J1902" s="11" t="s">
        <v>2805</v>
      </c>
    </row>
    <row r="1903" spans="1:10" s="10" customFormat="1" x14ac:dyDescent="0.25">
      <c r="A1903" s="21" t="s">
        <v>3364</v>
      </c>
      <c r="D1903" s="25"/>
      <c r="E1903" s="11"/>
      <c r="F1903" s="26">
        <v>2419</v>
      </c>
      <c r="G1903" s="11" t="s">
        <v>3400</v>
      </c>
      <c r="H1903" s="11" t="s">
        <v>1908</v>
      </c>
      <c r="I1903" s="12" t="s">
        <v>3400</v>
      </c>
      <c r="J1903" s="11" t="s">
        <v>2805</v>
      </c>
    </row>
    <row r="1904" spans="1:10" s="10" customFormat="1" x14ac:dyDescent="0.25">
      <c r="A1904" s="21" t="s">
        <v>147</v>
      </c>
      <c r="D1904" s="25"/>
      <c r="E1904" s="11"/>
      <c r="F1904" s="26">
        <v>2585</v>
      </c>
      <c r="G1904" s="11" t="s">
        <v>148</v>
      </c>
      <c r="H1904" s="11" t="s">
        <v>1908</v>
      </c>
      <c r="I1904" s="12" t="s">
        <v>148</v>
      </c>
      <c r="J1904" s="11" t="s">
        <v>2805</v>
      </c>
    </row>
    <row r="1905" spans="1:10" s="10" customFormat="1" x14ac:dyDescent="0.25">
      <c r="A1905" s="21" t="s">
        <v>150</v>
      </c>
      <c r="D1905" s="25"/>
      <c r="E1905" s="11"/>
      <c r="F1905" s="26">
        <v>2650</v>
      </c>
      <c r="G1905" s="11" t="s">
        <v>151</v>
      </c>
      <c r="H1905" s="11" t="s">
        <v>1908</v>
      </c>
      <c r="I1905" s="12" t="s">
        <v>151</v>
      </c>
      <c r="J1905" s="11" t="s">
        <v>2805</v>
      </c>
    </row>
    <row r="1906" spans="1:10" s="10" customFormat="1" x14ac:dyDescent="0.25">
      <c r="A1906" s="21" t="s">
        <v>3403</v>
      </c>
      <c r="D1906" s="25"/>
      <c r="E1906" s="11"/>
      <c r="F1906" s="26">
        <v>5184</v>
      </c>
      <c r="G1906" s="11" t="s">
        <v>3404</v>
      </c>
      <c r="H1906" s="11" t="s">
        <v>1908</v>
      </c>
      <c r="I1906" s="12" t="s">
        <v>3404</v>
      </c>
      <c r="J1906" s="11" t="s">
        <v>2805</v>
      </c>
    </row>
    <row r="1907" spans="1:10" s="10" customFormat="1" x14ac:dyDescent="0.25">
      <c r="A1907" s="21" t="s">
        <v>153</v>
      </c>
      <c r="D1907" s="25"/>
      <c r="E1907" s="11"/>
      <c r="F1907" s="26">
        <v>2675</v>
      </c>
      <c r="G1907" s="11" t="s">
        <v>154</v>
      </c>
      <c r="H1907" s="11" t="s">
        <v>1908</v>
      </c>
      <c r="I1907" s="12" t="s">
        <v>154</v>
      </c>
      <c r="J1907" s="11" t="s">
        <v>2805</v>
      </c>
    </row>
    <row r="1908" spans="1:10" s="10" customFormat="1" x14ac:dyDescent="0.25">
      <c r="A1908" s="21" t="s">
        <v>156</v>
      </c>
      <c r="D1908" s="25"/>
      <c r="E1908" s="11"/>
      <c r="F1908" s="26">
        <v>2559</v>
      </c>
      <c r="G1908" s="11" t="s">
        <v>157</v>
      </c>
      <c r="H1908" s="11" t="s">
        <v>1908</v>
      </c>
      <c r="I1908" s="12" t="s">
        <v>157</v>
      </c>
      <c r="J1908" s="11" t="s">
        <v>2805</v>
      </c>
    </row>
    <row r="1909" spans="1:10" s="10" customFormat="1" x14ac:dyDescent="0.25">
      <c r="A1909" s="21" t="s">
        <v>2064</v>
      </c>
      <c r="D1909" s="25"/>
      <c r="E1909" s="11"/>
      <c r="F1909" s="26">
        <v>5971</v>
      </c>
      <c r="G1909" s="11" t="s">
        <v>2065</v>
      </c>
      <c r="H1909" s="11" t="s">
        <v>1908</v>
      </c>
      <c r="I1909" s="12" t="s">
        <v>2065</v>
      </c>
      <c r="J1909" s="11" t="s">
        <v>2805</v>
      </c>
    </row>
    <row r="1910" spans="1:10" s="10" customFormat="1" x14ac:dyDescent="0.25">
      <c r="A1910" s="21" t="s">
        <v>1677</v>
      </c>
      <c r="D1910" s="25"/>
      <c r="E1910" s="11"/>
      <c r="F1910" s="26">
        <v>5223</v>
      </c>
      <c r="G1910" s="11" t="s">
        <v>1680</v>
      </c>
      <c r="H1910" s="11" t="s">
        <v>1908</v>
      </c>
      <c r="I1910" s="12" t="s">
        <v>1678</v>
      </c>
      <c r="J1910" s="11" t="s">
        <v>2805</v>
      </c>
    </row>
    <row r="1911" spans="1:10" s="10" customFormat="1" x14ac:dyDescent="0.25">
      <c r="A1911" s="21" t="s">
        <v>2068</v>
      </c>
      <c r="D1911" s="25"/>
      <c r="E1911" s="11"/>
      <c r="F1911" s="26">
        <v>5000</v>
      </c>
      <c r="G1911" s="11" t="s">
        <v>3875</v>
      </c>
      <c r="H1911" s="11" t="s">
        <v>1908</v>
      </c>
      <c r="I1911" s="12" t="s">
        <v>2094</v>
      </c>
      <c r="J1911" s="11" t="s">
        <v>2805</v>
      </c>
    </row>
    <row r="1912" spans="1:10" s="10" customFormat="1" x14ac:dyDescent="0.25">
      <c r="A1912" s="21" t="s">
        <v>729</v>
      </c>
      <c r="D1912" s="25"/>
      <c r="E1912" s="11"/>
      <c r="F1912" s="26">
        <v>5001</v>
      </c>
      <c r="G1912" s="11" t="s">
        <v>1908</v>
      </c>
      <c r="H1912" s="11" t="s">
        <v>1908</v>
      </c>
      <c r="I1912" s="12" t="s">
        <v>730</v>
      </c>
      <c r="J1912" s="11" t="s">
        <v>2805</v>
      </c>
    </row>
    <row r="1913" spans="1:10" s="10" customFormat="1" x14ac:dyDescent="0.25">
      <c r="A1913" s="21" t="s">
        <v>3879</v>
      </c>
      <c r="D1913" s="25"/>
      <c r="E1913" s="11"/>
      <c r="F1913" s="26">
        <v>5014</v>
      </c>
      <c r="G1913" s="11" t="s">
        <v>1908</v>
      </c>
      <c r="H1913" s="11" t="s">
        <v>1908</v>
      </c>
      <c r="I1913" s="12" t="s">
        <v>3880</v>
      </c>
      <c r="J1913" s="11" t="s">
        <v>2805</v>
      </c>
    </row>
    <row r="1914" spans="1:10" s="10" customFormat="1" x14ac:dyDescent="0.25">
      <c r="A1914" s="21" t="s">
        <v>743</v>
      </c>
      <c r="D1914" s="25"/>
      <c r="E1914" s="11"/>
      <c r="F1914" s="26">
        <v>5000</v>
      </c>
      <c r="G1914" s="11" t="s">
        <v>1908</v>
      </c>
      <c r="H1914" s="11" t="s">
        <v>1908</v>
      </c>
      <c r="I1914" s="12" t="s">
        <v>744</v>
      </c>
      <c r="J1914" s="11" t="s">
        <v>2800</v>
      </c>
    </row>
    <row r="1915" spans="1:10" s="10" customFormat="1" x14ac:dyDescent="0.25">
      <c r="A1915" s="21" t="s">
        <v>720</v>
      </c>
      <c r="D1915" s="25"/>
      <c r="E1915" s="11"/>
      <c r="F1915" s="26">
        <v>5000</v>
      </c>
      <c r="G1915" s="11" t="s">
        <v>1908</v>
      </c>
      <c r="H1915" s="11" t="s">
        <v>1908</v>
      </c>
      <c r="I1915" s="12" t="s">
        <v>1908</v>
      </c>
      <c r="J1915" s="11" t="s">
        <v>2800</v>
      </c>
    </row>
    <row r="1916" spans="1:10" s="10" customFormat="1" x14ac:dyDescent="0.25">
      <c r="A1916" s="21" t="s">
        <v>722</v>
      </c>
      <c r="D1916" s="25"/>
      <c r="E1916" s="11"/>
      <c r="F1916" s="26">
        <v>5001</v>
      </c>
      <c r="G1916" s="11" t="s">
        <v>1908</v>
      </c>
      <c r="H1916" s="11" t="s">
        <v>1908</v>
      </c>
      <c r="I1916" s="12" t="s">
        <v>3741</v>
      </c>
      <c r="J1916" s="11" t="s">
        <v>2800</v>
      </c>
    </row>
    <row r="1917" spans="1:10" s="10" customFormat="1" x14ac:dyDescent="0.25">
      <c r="A1917" s="21" t="s">
        <v>739</v>
      </c>
      <c r="D1917" s="25"/>
      <c r="E1917" s="11"/>
      <c r="F1917" s="26">
        <v>5010</v>
      </c>
      <c r="G1917" s="11" t="s">
        <v>1908</v>
      </c>
      <c r="H1917" s="11" t="s">
        <v>1908</v>
      </c>
      <c r="I1917" s="12" t="s">
        <v>740</v>
      </c>
      <c r="J1917" s="11" t="s">
        <v>2800</v>
      </c>
    </row>
    <row r="1918" spans="1:10" s="10" customFormat="1" x14ac:dyDescent="0.25">
      <c r="A1918" s="21" t="s">
        <v>747</v>
      </c>
      <c r="D1918" s="25"/>
      <c r="E1918" s="11"/>
      <c r="F1918" s="26">
        <v>5012</v>
      </c>
      <c r="G1918" s="11" t="s">
        <v>1908</v>
      </c>
      <c r="H1918" s="11" t="s">
        <v>1908</v>
      </c>
      <c r="I1918" s="12" t="s">
        <v>748</v>
      </c>
      <c r="J1918" s="11" t="s">
        <v>2805</v>
      </c>
    </row>
    <row r="1919" spans="1:10" s="10" customFormat="1" x14ac:dyDescent="0.25">
      <c r="A1919" s="21" t="s">
        <v>750</v>
      </c>
      <c r="D1919" s="25"/>
      <c r="E1919" s="11"/>
      <c r="F1919" s="26">
        <v>5016</v>
      </c>
      <c r="G1919" s="11" t="s">
        <v>1908</v>
      </c>
      <c r="H1919" s="11" t="s">
        <v>1908</v>
      </c>
      <c r="I1919" s="12" t="s">
        <v>3341</v>
      </c>
      <c r="J1919" s="11" t="s">
        <v>2800</v>
      </c>
    </row>
    <row r="1920" spans="1:10" s="10" customFormat="1" x14ac:dyDescent="0.25">
      <c r="A1920" s="21" t="s">
        <v>724</v>
      </c>
      <c r="D1920" s="25"/>
      <c r="E1920" s="11"/>
      <c r="F1920" s="26">
        <v>5003</v>
      </c>
      <c r="G1920" s="11" t="s">
        <v>1908</v>
      </c>
      <c r="H1920" s="11" t="s">
        <v>1908</v>
      </c>
      <c r="I1920" s="12" t="s">
        <v>3748</v>
      </c>
      <c r="J1920" s="11" t="s">
        <v>2800</v>
      </c>
    </row>
    <row r="1921" spans="1:10" s="10" customFormat="1" x14ac:dyDescent="0.25">
      <c r="A1921" s="21" t="s">
        <v>726</v>
      </c>
      <c r="D1921" s="25"/>
      <c r="E1921" s="11"/>
      <c r="F1921" s="26">
        <v>5006</v>
      </c>
      <c r="G1921" s="11" t="s">
        <v>1908</v>
      </c>
      <c r="H1921" s="11" t="s">
        <v>1908</v>
      </c>
      <c r="I1921" s="12" t="s">
        <v>4287</v>
      </c>
      <c r="J1921" s="11" t="s">
        <v>2800</v>
      </c>
    </row>
    <row r="1922" spans="1:10" s="10" customFormat="1" x14ac:dyDescent="0.25">
      <c r="A1922" s="21" t="s">
        <v>733</v>
      </c>
      <c r="D1922" s="25"/>
      <c r="E1922" s="11"/>
      <c r="F1922" s="26">
        <v>5008</v>
      </c>
      <c r="G1922" s="11" t="s">
        <v>1908</v>
      </c>
      <c r="H1922" s="11" t="s">
        <v>1908</v>
      </c>
      <c r="I1922" s="12" t="s">
        <v>4294</v>
      </c>
      <c r="J1922" s="11" t="s">
        <v>2800</v>
      </c>
    </row>
    <row r="1923" spans="1:10" s="10" customFormat="1" x14ac:dyDescent="0.25">
      <c r="A1923" s="21" t="s">
        <v>736</v>
      </c>
      <c r="D1923" s="25"/>
      <c r="E1923" s="11"/>
      <c r="F1923" s="26">
        <v>5009</v>
      </c>
      <c r="G1923" s="11" t="s">
        <v>1908</v>
      </c>
      <c r="H1923" s="11" t="s">
        <v>1908</v>
      </c>
      <c r="I1923" s="12" t="s">
        <v>737</v>
      </c>
      <c r="J1923" s="11" t="s">
        <v>2800</v>
      </c>
    </row>
    <row r="1924" spans="1:10" s="10" customFormat="1" x14ac:dyDescent="0.25">
      <c r="A1924" s="21" t="s">
        <v>160</v>
      </c>
      <c r="D1924" s="25"/>
      <c r="E1924" s="11"/>
      <c r="F1924" s="26">
        <v>5847</v>
      </c>
      <c r="G1924" s="11" t="s">
        <v>161</v>
      </c>
      <c r="H1924" s="11" t="s">
        <v>1908</v>
      </c>
      <c r="I1924" s="12" t="s">
        <v>161</v>
      </c>
      <c r="J1924" s="11" t="s">
        <v>2805</v>
      </c>
    </row>
    <row r="1925" spans="1:10" s="10" customFormat="1" x14ac:dyDescent="0.25">
      <c r="A1925" s="21" t="s">
        <v>163</v>
      </c>
      <c r="D1925" s="25"/>
      <c r="E1925" s="11"/>
      <c r="F1925" s="26">
        <v>2645</v>
      </c>
      <c r="G1925" s="11" t="s">
        <v>164</v>
      </c>
      <c r="H1925" s="11" t="s">
        <v>1908</v>
      </c>
      <c r="I1925" s="12" t="s">
        <v>164</v>
      </c>
      <c r="J1925" s="11" t="s">
        <v>2805</v>
      </c>
    </row>
    <row r="1926" spans="1:10" s="10" customFormat="1" x14ac:dyDescent="0.25">
      <c r="A1926" s="21" t="s">
        <v>1681</v>
      </c>
      <c r="D1926" s="25"/>
      <c r="E1926" s="11"/>
      <c r="F1926" s="26">
        <v>5166</v>
      </c>
      <c r="G1926" s="11" t="s">
        <v>637</v>
      </c>
      <c r="H1926" s="11" t="s">
        <v>1908</v>
      </c>
      <c r="I1926" s="12" t="s">
        <v>637</v>
      </c>
      <c r="J1926" s="11" t="s">
        <v>2800</v>
      </c>
    </row>
    <row r="1927" spans="1:10" s="10" customFormat="1" x14ac:dyDescent="0.25">
      <c r="A1927" s="21" t="s">
        <v>166</v>
      </c>
      <c r="D1927" s="25"/>
      <c r="E1927" s="11"/>
      <c r="F1927" s="26">
        <v>2189</v>
      </c>
      <c r="G1927" s="11" t="s">
        <v>2767</v>
      </c>
      <c r="H1927" s="11" t="s">
        <v>1908</v>
      </c>
      <c r="I1927" s="12" t="s">
        <v>2767</v>
      </c>
      <c r="J1927" s="11" t="s">
        <v>2805</v>
      </c>
    </row>
    <row r="1928" spans="1:10" s="10" customFormat="1" x14ac:dyDescent="0.25">
      <c r="A1928" s="21" t="s">
        <v>1683</v>
      </c>
      <c r="D1928" s="25"/>
      <c r="E1928" s="11"/>
      <c r="F1928" s="26">
        <v>5280</v>
      </c>
      <c r="G1928" s="11" t="s">
        <v>1684</v>
      </c>
      <c r="H1928" s="11" t="s">
        <v>1908</v>
      </c>
      <c r="I1928" s="12" t="s">
        <v>1684</v>
      </c>
      <c r="J1928" s="11" t="s">
        <v>2805</v>
      </c>
    </row>
    <row r="1929" spans="1:10" s="10" customFormat="1" x14ac:dyDescent="0.25">
      <c r="A1929" s="21" t="s">
        <v>1686</v>
      </c>
      <c r="D1929" s="25"/>
      <c r="E1929" s="11"/>
      <c r="F1929" s="26">
        <v>5200</v>
      </c>
      <c r="G1929" s="11" t="s">
        <v>1687</v>
      </c>
      <c r="H1929" s="11" t="s">
        <v>1908</v>
      </c>
      <c r="I1929" s="12" t="s">
        <v>1687</v>
      </c>
      <c r="J1929" s="11" t="s">
        <v>2805</v>
      </c>
    </row>
    <row r="1930" spans="1:10" s="10" customFormat="1" x14ac:dyDescent="0.25">
      <c r="A1930" s="21" t="s">
        <v>2770</v>
      </c>
      <c r="D1930" s="25"/>
      <c r="E1930" s="11"/>
      <c r="F1930" s="26">
        <v>6271</v>
      </c>
      <c r="G1930" s="11" t="s">
        <v>2771</v>
      </c>
      <c r="H1930" s="11" t="s">
        <v>1908</v>
      </c>
      <c r="I1930" s="12" t="s">
        <v>2771</v>
      </c>
      <c r="J1930" s="11" t="s">
        <v>2805</v>
      </c>
    </row>
    <row r="1931" spans="1:10" s="10" customFormat="1" x14ac:dyDescent="0.25">
      <c r="A1931" s="21" t="s">
        <v>1689</v>
      </c>
      <c r="D1931" s="25"/>
      <c r="E1931" s="11"/>
      <c r="F1931" s="26">
        <v>5121</v>
      </c>
      <c r="G1931" s="11" t="s">
        <v>1692</v>
      </c>
      <c r="H1931" s="11" t="s">
        <v>1908</v>
      </c>
      <c r="I1931" s="12" t="s">
        <v>1690</v>
      </c>
      <c r="J1931" s="11" t="s">
        <v>2805</v>
      </c>
    </row>
    <row r="1932" spans="1:10" s="10" customFormat="1" x14ac:dyDescent="0.25">
      <c r="A1932" s="21" t="s">
        <v>1693</v>
      </c>
      <c r="D1932" s="25"/>
      <c r="E1932" s="11"/>
      <c r="F1932" s="26">
        <v>2424</v>
      </c>
      <c r="G1932" s="11" t="s">
        <v>1694</v>
      </c>
      <c r="H1932" s="11" t="s">
        <v>1908</v>
      </c>
      <c r="I1932" s="12" t="s">
        <v>1694</v>
      </c>
      <c r="J1932" s="11" t="s">
        <v>2805</v>
      </c>
    </row>
    <row r="1933" spans="1:10" s="10" customFormat="1" x14ac:dyDescent="0.25">
      <c r="A1933" s="21" t="s">
        <v>1696</v>
      </c>
      <c r="D1933" s="25"/>
      <c r="E1933" s="11"/>
      <c r="F1933" s="26">
        <v>5947</v>
      </c>
      <c r="G1933" s="11" t="s">
        <v>1697</v>
      </c>
      <c r="H1933" s="11" t="s">
        <v>1908</v>
      </c>
      <c r="I1933" s="12" t="s">
        <v>1697</v>
      </c>
      <c r="J1933" s="11" t="s">
        <v>2805</v>
      </c>
    </row>
    <row r="1934" spans="1:10" s="10" customFormat="1" x14ac:dyDescent="0.25">
      <c r="A1934" s="21" t="s">
        <v>1699</v>
      </c>
      <c r="D1934" s="25"/>
      <c r="E1934" s="11"/>
      <c r="F1934" s="26">
        <v>2432</v>
      </c>
      <c r="G1934" s="11" t="s">
        <v>1700</v>
      </c>
      <c r="H1934" s="11" t="s">
        <v>1908</v>
      </c>
      <c r="I1934" s="12" t="s">
        <v>1700</v>
      </c>
      <c r="J1934" s="11" t="s">
        <v>2805</v>
      </c>
    </row>
    <row r="1935" spans="1:10" s="10" customFormat="1" x14ac:dyDescent="0.25">
      <c r="A1935" s="21" t="s">
        <v>1217</v>
      </c>
      <c r="D1935" s="25"/>
      <c r="E1935" s="11"/>
      <c r="F1935" s="26">
        <v>5815</v>
      </c>
      <c r="G1935" s="11" t="s">
        <v>1218</v>
      </c>
      <c r="H1935" s="11" t="s">
        <v>1908</v>
      </c>
      <c r="I1935" s="12" t="s">
        <v>1218</v>
      </c>
      <c r="J1935" s="11" t="s">
        <v>2805</v>
      </c>
    </row>
    <row r="1936" spans="1:10" s="10" customFormat="1" x14ac:dyDescent="0.25">
      <c r="A1936" s="21" t="s">
        <v>2774</v>
      </c>
      <c r="D1936" s="25"/>
      <c r="E1936" s="11"/>
      <c r="F1936" s="26">
        <v>5856</v>
      </c>
      <c r="G1936" s="11" t="s">
        <v>2775</v>
      </c>
      <c r="H1936" s="11" t="s">
        <v>1908</v>
      </c>
      <c r="I1936" s="12" t="s">
        <v>2775</v>
      </c>
      <c r="J1936" s="11" t="s">
        <v>2805</v>
      </c>
    </row>
    <row r="1937" spans="1:10" s="10" customFormat="1" x14ac:dyDescent="0.25">
      <c r="A1937" s="21" t="s">
        <v>1702</v>
      </c>
      <c r="D1937" s="25"/>
      <c r="E1937" s="11"/>
      <c r="F1937" s="26">
        <v>5969</v>
      </c>
      <c r="G1937" s="11" t="s">
        <v>1703</v>
      </c>
      <c r="H1937" s="11" t="s">
        <v>1908</v>
      </c>
      <c r="I1937" s="12" t="s">
        <v>1703</v>
      </c>
      <c r="J1937" s="11" t="s">
        <v>2805</v>
      </c>
    </row>
    <row r="1938" spans="1:10" s="10" customFormat="1" x14ac:dyDescent="0.25">
      <c r="A1938" s="21" t="s">
        <v>1220</v>
      </c>
      <c r="D1938" s="25"/>
      <c r="E1938" s="11"/>
      <c r="F1938" s="26">
        <v>2681</v>
      </c>
      <c r="G1938" s="11" t="s">
        <v>1221</v>
      </c>
      <c r="H1938" s="11" t="s">
        <v>1908</v>
      </c>
      <c r="I1938" s="12" t="s">
        <v>1221</v>
      </c>
      <c r="J1938" s="11" t="s">
        <v>2805</v>
      </c>
    </row>
    <row r="1939" spans="1:10" s="10" customFormat="1" x14ac:dyDescent="0.25">
      <c r="A1939" s="21" t="s">
        <v>1706</v>
      </c>
      <c r="D1939" s="25"/>
      <c r="E1939" s="11"/>
      <c r="F1939" s="26">
        <v>2413</v>
      </c>
      <c r="G1939" s="11" t="s">
        <v>1707</v>
      </c>
      <c r="H1939" s="11" t="s">
        <v>1908</v>
      </c>
      <c r="I1939" s="12" t="s">
        <v>1707</v>
      </c>
      <c r="J1939" s="11" t="s">
        <v>2805</v>
      </c>
    </row>
    <row r="1940" spans="1:10" s="10" customFormat="1" x14ac:dyDescent="0.25">
      <c r="A1940" s="21" t="s">
        <v>1224</v>
      </c>
      <c r="D1940" s="25"/>
      <c r="E1940" s="11"/>
      <c r="F1940" s="26">
        <v>2583</v>
      </c>
      <c r="G1940" s="11" t="s">
        <v>1225</v>
      </c>
      <c r="H1940" s="11" t="s">
        <v>1908</v>
      </c>
      <c r="I1940" s="12" t="s">
        <v>1225</v>
      </c>
      <c r="J1940" s="11" t="s">
        <v>2805</v>
      </c>
    </row>
    <row r="1941" spans="1:10" s="10" customFormat="1" x14ac:dyDescent="0.25">
      <c r="A1941" s="21" t="s">
        <v>1227</v>
      </c>
      <c r="D1941" s="25"/>
      <c r="E1941" s="11"/>
      <c r="F1941" s="26">
        <v>5809</v>
      </c>
      <c r="G1941" s="11" t="s">
        <v>1228</v>
      </c>
      <c r="H1941" s="11" t="s">
        <v>1908</v>
      </c>
      <c r="I1941" s="12" t="s">
        <v>1228</v>
      </c>
      <c r="J1941" s="11" t="s">
        <v>2805</v>
      </c>
    </row>
    <row r="1942" spans="1:10" s="10" customFormat="1" x14ac:dyDescent="0.25">
      <c r="A1942" s="21" t="s">
        <v>1230</v>
      </c>
      <c r="D1942" s="25"/>
      <c r="E1942" s="11"/>
      <c r="F1942" s="26">
        <v>5923</v>
      </c>
      <c r="G1942" s="11" t="s">
        <v>3802</v>
      </c>
      <c r="H1942" s="11" t="s">
        <v>1908</v>
      </c>
      <c r="I1942" s="12" t="s">
        <v>3802</v>
      </c>
      <c r="J1942" s="11" t="s">
        <v>2805</v>
      </c>
    </row>
    <row r="1943" spans="1:10" s="10" customFormat="1" x14ac:dyDescent="0.25">
      <c r="A1943" s="21" t="s">
        <v>4598</v>
      </c>
      <c r="D1943" s="25"/>
      <c r="E1943" s="11"/>
      <c r="F1943" s="26">
        <v>6132</v>
      </c>
      <c r="G1943" s="11" t="s">
        <v>4599</v>
      </c>
      <c r="H1943" s="11" t="s">
        <v>1908</v>
      </c>
      <c r="I1943" s="12" t="s">
        <v>4599</v>
      </c>
      <c r="J1943" s="11" t="s">
        <v>2805</v>
      </c>
    </row>
    <row r="1944" spans="1:10" s="10" customFormat="1" x14ac:dyDescent="0.25">
      <c r="A1944" s="21" t="s">
        <v>4601</v>
      </c>
      <c r="D1944" s="25"/>
      <c r="E1944" s="11"/>
      <c r="F1944" s="26">
        <v>2592</v>
      </c>
      <c r="G1944" s="11" t="s">
        <v>1600</v>
      </c>
      <c r="H1944" s="11" t="s">
        <v>1908</v>
      </c>
      <c r="I1944" s="12" t="s">
        <v>1600</v>
      </c>
      <c r="J1944" s="11" t="s">
        <v>2805</v>
      </c>
    </row>
    <row r="1945" spans="1:10" s="10" customFormat="1" x14ac:dyDescent="0.25">
      <c r="A1945" s="21" t="s">
        <v>4607</v>
      </c>
      <c r="D1945" s="25"/>
      <c r="E1945" s="11"/>
      <c r="F1945" s="26">
        <v>2627</v>
      </c>
      <c r="G1945" s="11" t="s">
        <v>4610</v>
      </c>
      <c r="H1945" s="11" t="s">
        <v>1908</v>
      </c>
      <c r="I1945" s="12" t="s">
        <v>4608</v>
      </c>
      <c r="J1945" s="11" t="s">
        <v>2805</v>
      </c>
    </row>
    <row r="1946" spans="1:10" s="10" customFormat="1" x14ac:dyDescent="0.25">
      <c r="A1946" s="21" t="s">
        <v>4611</v>
      </c>
      <c r="D1946" s="25"/>
      <c r="E1946" s="11"/>
      <c r="F1946" s="26">
        <v>5968</v>
      </c>
      <c r="G1946" s="11" t="s">
        <v>4612</v>
      </c>
      <c r="H1946" s="11" t="s">
        <v>1908</v>
      </c>
      <c r="I1946" s="12" t="s">
        <v>4612</v>
      </c>
      <c r="J1946" s="11" t="s">
        <v>2805</v>
      </c>
    </row>
    <row r="1947" spans="1:10" s="10" customFormat="1" x14ac:dyDescent="0.25">
      <c r="A1947" s="21" t="s">
        <v>4614</v>
      </c>
      <c r="D1947" s="25"/>
      <c r="E1947" s="11"/>
      <c r="F1947" s="26">
        <v>6225</v>
      </c>
      <c r="G1947" s="11" t="s">
        <v>4615</v>
      </c>
      <c r="H1947" s="11" t="s">
        <v>1908</v>
      </c>
      <c r="I1947" s="12" t="s">
        <v>4615</v>
      </c>
      <c r="J1947" s="11" t="s">
        <v>2805</v>
      </c>
    </row>
    <row r="1948" spans="1:10" s="10" customFormat="1" x14ac:dyDescent="0.25">
      <c r="A1948" s="21" t="s">
        <v>4617</v>
      </c>
      <c r="D1948" s="25"/>
      <c r="E1948" s="11"/>
      <c r="F1948" s="26">
        <v>5825</v>
      </c>
      <c r="G1948" s="11" t="s">
        <v>4618</v>
      </c>
      <c r="H1948" s="11" t="s">
        <v>1908</v>
      </c>
      <c r="I1948" s="12" t="s">
        <v>4618</v>
      </c>
      <c r="J1948" s="11" t="s">
        <v>2805</v>
      </c>
    </row>
    <row r="1949" spans="1:10" s="10" customFormat="1" x14ac:dyDescent="0.25">
      <c r="A1949" s="21" t="s">
        <v>4621</v>
      </c>
      <c r="D1949" s="25"/>
      <c r="E1949" s="11"/>
      <c r="F1949" s="26">
        <v>6270</v>
      </c>
      <c r="G1949" s="11" t="s">
        <v>4622</v>
      </c>
      <c r="H1949" s="11" t="s">
        <v>1908</v>
      </c>
      <c r="I1949" s="12" t="s">
        <v>4622</v>
      </c>
      <c r="J1949" s="11" t="s">
        <v>2805</v>
      </c>
    </row>
    <row r="1950" spans="1:10" s="10" customFormat="1" x14ac:dyDescent="0.25">
      <c r="A1950" s="21" t="s">
        <v>4624</v>
      </c>
      <c r="D1950" s="25"/>
      <c r="E1950" s="11"/>
      <c r="F1950" s="26">
        <v>2557</v>
      </c>
      <c r="G1950" s="11" t="s">
        <v>4625</v>
      </c>
      <c r="H1950" s="11" t="s">
        <v>1908</v>
      </c>
      <c r="I1950" s="12" t="s">
        <v>4625</v>
      </c>
      <c r="J1950" s="11" t="s">
        <v>2805</v>
      </c>
    </row>
    <row r="1951" spans="1:10" s="10" customFormat="1" x14ac:dyDescent="0.25">
      <c r="A1951" s="21" t="s">
        <v>4627</v>
      </c>
      <c r="D1951" s="25"/>
      <c r="E1951" s="11"/>
      <c r="F1951" s="26">
        <v>2587</v>
      </c>
      <c r="G1951" s="11" t="s">
        <v>4628</v>
      </c>
      <c r="H1951" s="11" t="s">
        <v>1908</v>
      </c>
      <c r="I1951" s="12" t="s">
        <v>4628</v>
      </c>
      <c r="J1951" s="11" t="s">
        <v>2805</v>
      </c>
    </row>
    <row r="1952" spans="1:10" s="10" customFormat="1" x14ac:dyDescent="0.25">
      <c r="A1952" s="21" t="s">
        <v>4630</v>
      </c>
      <c r="D1952" s="25"/>
      <c r="E1952" s="11"/>
      <c r="F1952" s="26">
        <v>2661</v>
      </c>
      <c r="G1952" s="11" t="s">
        <v>4631</v>
      </c>
      <c r="H1952" s="11" t="s">
        <v>1908</v>
      </c>
      <c r="I1952" s="12" t="s">
        <v>4631</v>
      </c>
      <c r="J1952" s="11" t="s">
        <v>2805</v>
      </c>
    </row>
    <row r="1953" spans="1:10" s="10" customFormat="1" x14ac:dyDescent="0.25">
      <c r="A1953" s="21" t="s">
        <v>4633</v>
      </c>
      <c r="D1953" s="25"/>
      <c r="E1953" s="11"/>
      <c r="F1953" s="26">
        <v>6276</v>
      </c>
      <c r="G1953" s="11" t="s">
        <v>4634</v>
      </c>
      <c r="H1953" s="11" t="s">
        <v>1908</v>
      </c>
      <c r="I1953" s="12" t="s">
        <v>4634</v>
      </c>
      <c r="J1953" s="11" t="s">
        <v>2805</v>
      </c>
    </row>
    <row r="1954" spans="1:10" s="10" customFormat="1" x14ac:dyDescent="0.25">
      <c r="A1954" s="21" t="s">
        <v>4642</v>
      </c>
      <c r="D1954" s="25"/>
      <c r="E1954" s="11"/>
      <c r="F1954" s="26">
        <v>5984</v>
      </c>
      <c r="G1954" s="11" t="s">
        <v>4643</v>
      </c>
      <c r="H1954" s="11" t="s">
        <v>1908</v>
      </c>
      <c r="I1954" s="12" t="s">
        <v>4643</v>
      </c>
      <c r="J1954" s="11" t="s">
        <v>2805</v>
      </c>
    </row>
    <row r="1955" spans="1:10" s="10" customFormat="1" x14ac:dyDescent="0.25">
      <c r="A1955" s="21" t="s">
        <v>1709</v>
      </c>
      <c r="D1955" s="25"/>
      <c r="E1955" s="11"/>
      <c r="F1955" s="26">
        <v>5220</v>
      </c>
      <c r="G1955" s="11" t="s">
        <v>1710</v>
      </c>
      <c r="H1955" s="11" t="s">
        <v>1908</v>
      </c>
      <c r="I1955" s="12" t="s">
        <v>1710</v>
      </c>
      <c r="J1955" s="11" t="s">
        <v>2800</v>
      </c>
    </row>
    <row r="1956" spans="1:10" s="10" customFormat="1" x14ac:dyDescent="0.25">
      <c r="A1956" s="21" t="s">
        <v>4636</v>
      </c>
      <c r="D1956" s="25"/>
      <c r="E1956" s="11"/>
      <c r="F1956" s="26">
        <v>6127</v>
      </c>
      <c r="G1956" s="11" t="s">
        <v>4637</v>
      </c>
      <c r="H1956" s="11" t="s">
        <v>1908</v>
      </c>
      <c r="I1956" s="12" t="s">
        <v>4637</v>
      </c>
      <c r="J1956" s="11" t="s">
        <v>2805</v>
      </c>
    </row>
    <row r="1957" spans="1:10" s="10" customFormat="1" x14ac:dyDescent="0.25">
      <c r="A1957" s="21" t="s">
        <v>4639</v>
      </c>
      <c r="D1957" s="25"/>
      <c r="E1957" s="11"/>
      <c r="F1957" s="26">
        <v>2553</v>
      </c>
      <c r="G1957" s="11" t="s">
        <v>4640</v>
      </c>
      <c r="H1957" s="11" t="s">
        <v>1908</v>
      </c>
      <c r="I1957" s="12" t="s">
        <v>4640</v>
      </c>
      <c r="J1957" s="11" t="s">
        <v>2805</v>
      </c>
    </row>
    <row r="1958" spans="1:10" s="10" customFormat="1" x14ac:dyDescent="0.25">
      <c r="A1958" s="21" t="s">
        <v>1715</v>
      </c>
      <c r="D1958" s="25"/>
      <c r="E1958" s="11"/>
      <c r="F1958" s="26">
        <v>5151</v>
      </c>
      <c r="G1958" s="11" t="s">
        <v>1716</v>
      </c>
      <c r="H1958" s="11" t="s">
        <v>1908</v>
      </c>
      <c r="I1958" s="12" t="s">
        <v>1716</v>
      </c>
      <c r="J1958" s="11" t="s">
        <v>2805</v>
      </c>
    </row>
    <row r="1959" spans="1:10" s="10" customFormat="1" x14ac:dyDescent="0.25">
      <c r="A1959" s="21" t="s">
        <v>2035</v>
      </c>
      <c r="D1959" s="25"/>
      <c r="E1959" s="11"/>
      <c r="F1959" s="26">
        <v>2670</v>
      </c>
      <c r="G1959" s="11" t="s">
        <v>2036</v>
      </c>
      <c r="H1959" s="11" t="s">
        <v>1908</v>
      </c>
      <c r="I1959" s="12" t="s">
        <v>2036</v>
      </c>
      <c r="J1959" s="11" t="s">
        <v>2805</v>
      </c>
    </row>
    <row r="1960" spans="1:10" s="10" customFormat="1" x14ac:dyDescent="0.25">
      <c r="A1960" s="21" t="s">
        <v>2030</v>
      </c>
      <c r="D1960" s="25"/>
      <c r="E1960" s="11"/>
      <c r="F1960" s="26">
        <v>5859</v>
      </c>
      <c r="G1960" s="11" t="s">
        <v>675</v>
      </c>
      <c r="H1960" s="11" t="s">
        <v>1908</v>
      </c>
      <c r="I1960" s="12" t="s">
        <v>675</v>
      </c>
      <c r="J1960" s="11" t="s">
        <v>2805</v>
      </c>
    </row>
    <row r="1961" spans="1:10" s="10" customFormat="1" x14ac:dyDescent="0.25">
      <c r="A1961" s="21" t="s">
        <v>1718</v>
      </c>
      <c r="D1961" s="25"/>
      <c r="E1961" s="11"/>
      <c r="F1961" s="26">
        <v>5180</v>
      </c>
      <c r="G1961" s="11" t="s">
        <v>1719</v>
      </c>
      <c r="H1961" s="11" t="s">
        <v>1908</v>
      </c>
      <c r="I1961" s="12" t="s">
        <v>1719</v>
      </c>
      <c r="J1961" s="11" t="s">
        <v>2805</v>
      </c>
    </row>
    <row r="1962" spans="1:10" s="10" customFormat="1" x14ac:dyDescent="0.25">
      <c r="A1962" s="21" t="s">
        <v>1721</v>
      </c>
      <c r="D1962" s="25"/>
      <c r="E1962" s="11"/>
      <c r="F1962" s="26">
        <v>5172</v>
      </c>
      <c r="G1962" s="11" t="s">
        <v>1722</v>
      </c>
      <c r="H1962" s="11" t="s">
        <v>1908</v>
      </c>
      <c r="I1962" s="12" t="s">
        <v>1722</v>
      </c>
      <c r="J1962" s="11" t="s">
        <v>2800</v>
      </c>
    </row>
    <row r="1963" spans="1:10" s="10" customFormat="1" x14ac:dyDescent="0.25">
      <c r="A1963" s="21" t="s">
        <v>1724</v>
      </c>
      <c r="D1963" s="25"/>
      <c r="E1963" s="11"/>
      <c r="F1963" s="26">
        <v>2425</v>
      </c>
      <c r="G1963" s="11" t="s">
        <v>1725</v>
      </c>
      <c r="H1963" s="11" t="s">
        <v>1908</v>
      </c>
      <c r="I1963" s="12" t="s">
        <v>1725</v>
      </c>
      <c r="J1963" s="11" t="s">
        <v>2805</v>
      </c>
    </row>
    <row r="1964" spans="1:10" s="10" customFormat="1" x14ac:dyDescent="0.25">
      <c r="A1964" s="21" t="s">
        <v>1728</v>
      </c>
      <c r="D1964" s="25"/>
      <c r="E1964" s="11"/>
      <c r="F1964" s="26">
        <v>5115</v>
      </c>
      <c r="G1964" s="11" t="s">
        <v>1732</v>
      </c>
      <c r="H1964" s="11" t="s">
        <v>1908</v>
      </c>
      <c r="I1964" s="12" t="s">
        <v>1729</v>
      </c>
      <c r="J1964" s="11" t="s">
        <v>2805</v>
      </c>
    </row>
    <row r="1965" spans="1:10" s="10" customFormat="1" x14ac:dyDescent="0.25">
      <c r="A1965" s="21" t="s">
        <v>1733</v>
      </c>
      <c r="D1965" s="25"/>
      <c r="E1965" s="11"/>
      <c r="F1965" s="26">
        <v>5137</v>
      </c>
      <c r="G1965" s="11" t="s">
        <v>1734</v>
      </c>
      <c r="H1965" s="11" t="s">
        <v>1908</v>
      </c>
      <c r="I1965" s="12" t="s">
        <v>1734</v>
      </c>
      <c r="J1965" s="11" t="s">
        <v>2805</v>
      </c>
    </row>
    <row r="1966" spans="1:10" s="10" customFormat="1" x14ac:dyDescent="0.25">
      <c r="A1966" s="21" t="s">
        <v>1712</v>
      </c>
      <c r="D1966" s="25"/>
      <c r="E1966" s="11"/>
      <c r="F1966" s="26">
        <v>5879</v>
      </c>
      <c r="G1966" s="11" t="s">
        <v>346</v>
      </c>
      <c r="H1966" s="11" t="s">
        <v>1908</v>
      </c>
      <c r="I1966" s="12" t="s">
        <v>1713</v>
      </c>
      <c r="J1966" s="11" t="s">
        <v>2805</v>
      </c>
    </row>
    <row r="1967" spans="1:10" s="10" customFormat="1" x14ac:dyDescent="0.25">
      <c r="A1967" s="21" t="s">
        <v>2032</v>
      </c>
      <c r="D1967" s="25"/>
      <c r="E1967" s="11"/>
      <c r="F1967" s="26">
        <v>5911</v>
      </c>
      <c r="G1967" s="11" t="s">
        <v>2033</v>
      </c>
      <c r="H1967" s="11" t="s">
        <v>1908</v>
      </c>
      <c r="I1967" s="12" t="s">
        <v>2033</v>
      </c>
      <c r="J1967" s="11" t="s">
        <v>2805</v>
      </c>
    </row>
    <row r="1968" spans="1:10" s="10" customFormat="1" x14ac:dyDescent="0.25">
      <c r="A1968" s="21" t="s">
        <v>1736</v>
      </c>
      <c r="D1968" s="25"/>
      <c r="E1968" s="11"/>
      <c r="F1968" s="26">
        <v>4872</v>
      </c>
      <c r="G1968" s="11" t="s">
        <v>1839</v>
      </c>
      <c r="H1968" s="11" t="s">
        <v>1908</v>
      </c>
      <c r="I1968" s="12" t="s">
        <v>1839</v>
      </c>
      <c r="J1968" s="11" t="s">
        <v>2805</v>
      </c>
    </row>
    <row r="1969" spans="1:10" s="10" customFormat="1" x14ac:dyDescent="0.25">
      <c r="A1969" s="21" t="s">
        <v>2038</v>
      </c>
      <c r="D1969" s="25"/>
      <c r="E1969" s="11"/>
      <c r="F1969" s="26">
        <v>2657</v>
      </c>
      <c r="G1969" s="11" t="s">
        <v>2039</v>
      </c>
      <c r="H1969" s="11" t="s">
        <v>1908</v>
      </c>
      <c r="I1969" s="12" t="s">
        <v>2039</v>
      </c>
      <c r="J1969" s="11" t="s">
        <v>2805</v>
      </c>
    </row>
    <row r="1970" spans="1:10" s="10" customFormat="1" x14ac:dyDescent="0.25">
      <c r="A1970" s="21" t="s">
        <v>2041</v>
      </c>
      <c r="D1970" s="25"/>
      <c r="E1970" s="11"/>
      <c r="F1970" s="26">
        <v>6120</v>
      </c>
      <c r="G1970" s="11" t="s">
        <v>2042</v>
      </c>
      <c r="H1970" s="11" t="s">
        <v>1908</v>
      </c>
      <c r="I1970" s="12" t="s">
        <v>2042</v>
      </c>
      <c r="J1970" s="11" t="s">
        <v>2805</v>
      </c>
    </row>
    <row r="1971" spans="1:10" s="10" customFormat="1" x14ac:dyDescent="0.25">
      <c r="A1971" s="21" t="s">
        <v>1739</v>
      </c>
      <c r="D1971" s="25"/>
      <c r="E1971" s="11"/>
      <c r="F1971" s="26">
        <v>5974</v>
      </c>
      <c r="G1971" s="11" t="s">
        <v>1740</v>
      </c>
      <c r="H1971" s="11" t="s">
        <v>1908</v>
      </c>
      <c r="I1971" s="12" t="s">
        <v>1740</v>
      </c>
      <c r="J1971" s="11" t="s">
        <v>2805</v>
      </c>
    </row>
    <row r="1972" spans="1:10" s="10" customFormat="1" x14ac:dyDescent="0.25">
      <c r="A1972" s="21" t="s">
        <v>2058</v>
      </c>
      <c r="D1972" s="25"/>
      <c r="E1972" s="11"/>
      <c r="F1972" s="26">
        <v>5805</v>
      </c>
      <c r="G1972" s="11" t="s">
        <v>3768</v>
      </c>
      <c r="H1972" s="11" t="s">
        <v>1908</v>
      </c>
      <c r="I1972" s="12" t="s">
        <v>2059</v>
      </c>
      <c r="J1972" s="11" t="s">
        <v>2805</v>
      </c>
    </row>
    <row r="1973" spans="1:10" s="10" customFormat="1" x14ac:dyDescent="0.25">
      <c r="A1973" s="21" t="s">
        <v>1742</v>
      </c>
      <c r="D1973" s="25"/>
      <c r="E1973" s="11"/>
      <c r="F1973" s="26">
        <v>5965</v>
      </c>
      <c r="G1973" s="11" t="s">
        <v>1743</v>
      </c>
      <c r="H1973" s="11" t="s">
        <v>1908</v>
      </c>
      <c r="I1973" s="12" t="s">
        <v>1743</v>
      </c>
      <c r="J1973" s="11" t="s">
        <v>2805</v>
      </c>
    </row>
    <row r="1974" spans="1:10" s="10" customFormat="1" x14ac:dyDescent="0.25">
      <c r="A1974" s="21" t="s">
        <v>1745</v>
      </c>
      <c r="D1974" s="25"/>
      <c r="E1974" s="11"/>
      <c r="F1974" s="26">
        <v>5238</v>
      </c>
      <c r="G1974" s="11" t="s">
        <v>3529</v>
      </c>
      <c r="H1974" s="11" t="s">
        <v>1908</v>
      </c>
      <c r="I1974" s="12" t="s">
        <v>3526</v>
      </c>
      <c r="J1974" s="11" t="s">
        <v>2805</v>
      </c>
    </row>
    <row r="1975" spans="1:10" s="10" customFormat="1" x14ac:dyDescent="0.25">
      <c r="A1975" s="21" t="s">
        <v>2044</v>
      </c>
      <c r="D1975" s="25"/>
      <c r="E1975" s="11"/>
      <c r="F1975" s="26">
        <v>5921</v>
      </c>
      <c r="G1975" s="11" t="s">
        <v>2045</v>
      </c>
      <c r="H1975" s="11" t="s">
        <v>1908</v>
      </c>
      <c r="I1975" s="12" t="s">
        <v>2045</v>
      </c>
      <c r="J1975" s="11" t="s">
        <v>2805</v>
      </c>
    </row>
    <row r="1976" spans="1:10" s="10" customFormat="1" x14ac:dyDescent="0.25">
      <c r="A1976" s="21" t="s">
        <v>3530</v>
      </c>
      <c r="D1976" s="25"/>
      <c r="E1976" s="11"/>
      <c r="F1976" s="26">
        <v>5941</v>
      </c>
      <c r="G1976" s="11" t="s">
        <v>3531</v>
      </c>
      <c r="H1976" s="11" t="s">
        <v>1908</v>
      </c>
      <c r="I1976" s="12" t="s">
        <v>3531</v>
      </c>
      <c r="J1976" s="11" t="s">
        <v>2805</v>
      </c>
    </row>
    <row r="1977" spans="1:10" s="10" customFormat="1" x14ac:dyDescent="0.25">
      <c r="A1977" s="21" t="s">
        <v>3534</v>
      </c>
      <c r="D1977" s="25"/>
      <c r="E1977" s="11"/>
      <c r="F1977" s="26">
        <v>5992</v>
      </c>
      <c r="G1977" s="11" t="s">
        <v>3535</v>
      </c>
      <c r="H1977" s="11" t="s">
        <v>1908</v>
      </c>
      <c r="I1977" s="12" t="s">
        <v>3535</v>
      </c>
      <c r="J1977" s="11" t="s">
        <v>2805</v>
      </c>
    </row>
    <row r="1978" spans="1:10" s="10" customFormat="1" x14ac:dyDescent="0.25">
      <c r="A1978" s="21" t="s">
        <v>2047</v>
      </c>
      <c r="D1978" s="25"/>
      <c r="E1978" s="11"/>
      <c r="F1978" s="26">
        <v>2594</v>
      </c>
      <c r="G1978" s="11" t="s">
        <v>2048</v>
      </c>
      <c r="H1978" s="11" t="s">
        <v>1908</v>
      </c>
      <c r="I1978" s="12" t="s">
        <v>2048</v>
      </c>
      <c r="J1978" s="11" t="s">
        <v>2805</v>
      </c>
    </row>
    <row r="1979" spans="1:10" s="10" customFormat="1" x14ac:dyDescent="0.25">
      <c r="A1979" s="21" t="s">
        <v>3538</v>
      </c>
      <c r="D1979" s="25"/>
      <c r="E1979" s="11"/>
      <c r="F1979" s="26">
        <v>5182</v>
      </c>
      <c r="G1979" s="11" t="s">
        <v>3542</v>
      </c>
      <c r="H1979" s="11" t="s">
        <v>1908</v>
      </c>
      <c r="I1979" s="12" t="s">
        <v>3539</v>
      </c>
      <c r="J1979" s="11" t="s">
        <v>2805</v>
      </c>
    </row>
    <row r="1980" spans="1:10" s="10" customFormat="1" x14ac:dyDescent="0.25">
      <c r="A1980" s="21" t="s">
        <v>2055</v>
      </c>
      <c r="D1980" s="25"/>
      <c r="E1980" s="11"/>
      <c r="F1980" s="26">
        <v>5823</v>
      </c>
      <c r="G1980" s="11" t="s">
        <v>2056</v>
      </c>
      <c r="H1980" s="11" t="s">
        <v>1908</v>
      </c>
      <c r="I1980" s="12" t="s">
        <v>2056</v>
      </c>
      <c r="J1980" s="11" t="s">
        <v>2805</v>
      </c>
    </row>
    <row r="1981" spans="1:10" s="10" customFormat="1" x14ac:dyDescent="0.25">
      <c r="A1981" s="21" t="s">
        <v>2051</v>
      </c>
      <c r="D1981" s="25"/>
      <c r="E1981" s="11"/>
      <c r="F1981" s="26">
        <v>2581</v>
      </c>
      <c r="G1981" s="11" t="s">
        <v>2052</v>
      </c>
      <c r="H1981" s="11" t="s">
        <v>1908</v>
      </c>
      <c r="I1981" s="12" t="s">
        <v>2052</v>
      </c>
      <c r="J1981" s="11" t="s">
        <v>2805</v>
      </c>
    </row>
    <row r="1982" spans="1:10" s="10" customFormat="1" x14ac:dyDescent="0.25">
      <c r="A1982" s="21" t="s">
        <v>3543</v>
      </c>
      <c r="D1982" s="25"/>
      <c r="E1982" s="11"/>
      <c r="F1982" s="26">
        <v>5967</v>
      </c>
      <c r="G1982" s="11" t="s">
        <v>3544</v>
      </c>
      <c r="H1982" s="11" t="s">
        <v>1908</v>
      </c>
      <c r="I1982" s="12" t="s">
        <v>3544</v>
      </c>
      <c r="J1982" s="11" t="s">
        <v>2805</v>
      </c>
    </row>
    <row r="1983" spans="1:10" s="10" customFormat="1" x14ac:dyDescent="0.25">
      <c r="A1983" s="21" t="s">
        <v>2011</v>
      </c>
      <c r="D1983" s="25"/>
      <c r="E1983" s="11"/>
      <c r="F1983" s="26">
        <v>4687</v>
      </c>
      <c r="G1983" s="11" t="s">
        <v>2012</v>
      </c>
      <c r="H1983" s="11" t="s">
        <v>1908</v>
      </c>
      <c r="I1983" s="12" t="s">
        <v>2012</v>
      </c>
      <c r="J1983" s="11" t="s">
        <v>2805</v>
      </c>
    </row>
    <row r="1984" spans="1:10" s="10" customFormat="1" x14ac:dyDescent="0.25">
      <c r="A1984" s="21" t="s">
        <v>3876</v>
      </c>
      <c r="D1984" s="25"/>
      <c r="E1984" s="11"/>
      <c r="F1984" s="26">
        <v>5004</v>
      </c>
      <c r="G1984" s="11" t="s">
        <v>4434</v>
      </c>
      <c r="H1984" s="11" t="s">
        <v>1908</v>
      </c>
      <c r="I1984" s="12" t="s">
        <v>3877</v>
      </c>
      <c r="J1984" s="11" t="s">
        <v>2805</v>
      </c>
    </row>
    <row r="1985" spans="1:10" s="10" customFormat="1" x14ac:dyDescent="0.25">
      <c r="A1985" s="21" t="s">
        <v>3769</v>
      </c>
      <c r="D1985" s="25"/>
      <c r="E1985" s="11"/>
      <c r="F1985" s="26">
        <v>2580</v>
      </c>
      <c r="G1985" s="11" t="s">
        <v>3770</v>
      </c>
      <c r="H1985" s="11" t="s">
        <v>1908</v>
      </c>
      <c r="I1985" s="12" t="s">
        <v>3770</v>
      </c>
      <c r="J1985" s="11" t="s">
        <v>2800</v>
      </c>
    </row>
    <row r="1986" spans="1:10" s="10" customFormat="1" x14ac:dyDescent="0.25">
      <c r="A1986" s="21" t="s">
        <v>3549</v>
      </c>
      <c r="D1986" s="25"/>
      <c r="E1986" s="11"/>
      <c r="F1986" s="26">
        <v>5139</v>
      </c>
      <c r="G1986" s="11" t="s">
        <v>3550</v>
      </c>
      <c r="H1986" s="11" t="s">
        <v>1908</v>
      </c>
      <c r="I1986" s="12" t="s">
        <v>3550</v>
      </c>
      <c r="J1986" s="11" t="s">
        <v>2805</v>
      </c>
    </row>
    <row r="1987" spans="1:10" s="10" customFormat="1" x14ac:dyDescent="0.25">
      <c r="A1987" s="21" t="s">
        <v>3772</v>
      </c>
      <c r="D1987" s="25"/>
      <c r="E1987" s="11"/>
      <c r="F1987" s="26">
        <v>6272</v>
      </c>
      <c r="G1987" s="11" t="s">
        <v>3775</v>
      </c>
      <c r="H1987" s="11" t="s">
        <v>1908</v>
      </c>
      <c r="I1987" s="12" t="s">
        <v>3773</v>
      </c>
      <c r="J1987" s="11" t="s">
        <v>2805</v>
      </c>
    </row>
    <row r="1988" spans="1:10" s="10" customFormat="1" x14ac:dyDescent="0.25">
      <c r="A1988" s="21" t="s">
        <v>3546</v>
      </c>
      <c r="D1988" s="25"/>
      <c r="E1988" s="11"/>
      <c r="F1988" s="26">
        <v>5889</v>
      </c>
      <c r="G1988" s="11" t="s">
        <v>3547</v>
      </c>
      <c r="H1988" s="11" t="s">
        <v>1908</v>
      </c>
      <c r="I1988" s="12" t="s">
        <v>3547</v>
      </c>
      <c r="J1988" s="11" t="s">
        <v>2805</v>
      </c>
    </row>
    <row r="1989" spans="1:10" s="10" customFormat="1" x14ac:dyDescent="0.25">
      <c r="A1989" s="21" t="s">
        <v>3552</v>
      </c>
      <c r="D1989" s="25"/>
      <c r="E1989" s="11"/>
      <c r="F1989" s="26">
        <v>5143</v>
      </c>
      <c r="G1989" s="11" t="s">
        <v>4265</v>
      </c>
      <c r="H1989" s="11" t="s">
        <v>1908</v>
      </c>
      <c r="I1989" s="12" t="s">
        <v>4265</v>
      </c>
      <c r="J1989" s="11" t="s">
        <v>2805</v>
      </c>
    </row>
    <row r="1990" spans="1:10" s="10" customFormat="1" x14ac:dyDescent="0.25">
      <c r="A1990" s="21" t="s">
        <v>3776</v>
      </c>
      <c r="D1990" s="25"/>
      <c r="E1990" s="11"/>
      <c r="F1990" s="26">
        <v>2589</v>
      </c>
      <c r="G1990" s="11" t="s">
        <v>3777</v>
      </c>
      <c r="H1990" s="11" t="s">
        <v>1908</v>
      </c>
      <c r="I1990" s="12" t="s">
        <v>3777</v>
      </c>
      <c r="J1990" s="11" t="s">
        <v>2805</v>
      </c>
    </row>
    <row r="1991" spans="1:10" s="10" customFormat="1" x14ac:dyDescent="0.25">
      <c r="A1991" s="21" t="s">
        <v>3554</v>
      </c>
      <c r="D1991" s="25"/>
      <c r="E1991" s="11"/>
      <c r="F1991" s="26">
        <v>5125</v>
      </c>
      <c r="G1991" s="11" t="s">
        <v>3558</v>
      </c>
      <c r="H1991" s="11" t="s">
        <v>1908</v>
      </c>
      <c r="I1991" s="12" t="s">
        <v>3555</v>
      </c>
      <c r="J1991" s="11" t="s">
        <v>2805</v>
      </c>
    </row>
    <row r="1992" spans="1:10" s="10" customFormat="1" x14ac:dyDescent="0.25">
      <c r="A1992" s="21" t="s">
        <v>3779</v>
      </c>
      <c r="D1992" s="25"/>
      <c r="E1992" s="11"/>
      <c r="F1992" s="26">
        <v>2659</v>
      </c>
      <c r="G1992" s="11" t="s">
        <v>3780</v>
      </c>
      <c r="H1992" s="11" t="s">
        <v>1908</v>
      </c>
      <c r="I1992" s="12" t="s">
        <v>3780</v>
      </c>
      <c r="J1992" s="11" t="s">
        <v>2805</v>
      </c>
    </row>
    <row r="1993" spans="1:10" s="10" customFormat="1" x14ac:dyDescent="0.25">
      <c r="A1993" s="21" t="s">
        <v>3783</v>
      </c>
      <c r="D1993" s="25"/>
      <c r="E1993" s="11"/>
      <c r="F1993" s="26">
        <v>2568</v>
      </c>
      <c r="G1993" s="11" t="s">
        <v>3784</v>
      </c>
      <c r="H1993" s="11" t="s">
        <v>1908</v>
      </c>
      <c r="I1993" s="12" t="s">
        <v>3784</v>
      </c>
      <c r="J1993" s="11" t="s">
        <v>2805</v>
      </c>
    </row>
    <row r="1994" spans="1:10" s="10" customFormat="1" x14ac:dyDescent="0.25">
      <c r="A1994" s="21" t="s">
        <v>3559</v>
      </c>
      <c r="D1994" s="25"/>
      <c r="E1994" s="11"/>
      <c r="F1994" s="26">
        <v>2421</v>
      </c>
      <c r="G1994" s="11" t="s">
        <v>3560</v>
      </c>
      <c r="H1994" s="11" t="s">
        <v>1908</v>
      </c>
      <c r="I1994" s="12" t="s">
        <v>3560</v>
      </c>
      <c r="J1994" s="11" t="s">
        <v>2805</v>
      </c>
    </row>
    <row r="1995" spans="1:10" s="10" customFormat="1" x14ac:dyDescent="0.25">
      <c r="A1995" s="21" t="s">
        <v>3786</v>
      </c>
      <c r="D1995" s="25"/>
      <c r="E1995" s="11"/>
      <c r="F1995" s="26">
        <v>2563</v>
      </c>
      <c r="G1995" s="11" t="s">
        <v>3787</v>
      </c>
      <c r="H1995" s="11" t="s">
        <v>1908</v>
      </c>
      <c r="I1995" s="12" t="s">
        <v>3787</v>
      </c>
      <c r="J1995" s="11" t="s">
        <v>2805</v>
      </c>
    </row>
    <row r="1996" spans="1:10" s="10" customFormat="1" x14ac:dyDescent="0.25">
      <c r="A1996" s="21" t="s">
        <v>3562</v>
      </c>
      <c r="D1996" s="25"/>
      <c r="E1996" s="11"/>
      <c r="F1996" s="26">
        <v>5225</v>
      </c>
      <c r="G1996" s="11" t="s">
        <v>3563</v>
      </c>
      <c r="H1996" s="11" t="s">
        <v>1908</v>
      </c>
      <c r="I1996" s="12" t="s">
        <v>3563</v>
      </c>
      <c r="J1996" s="11" t="s">
        <v>2805</v>
      </c>
    </row>
    <row r="1997" spans="1:10" s="10" customFormat="1" x14ac:dyDescent="0.25">
      <c r="A1997" s="21" t="s">
        <v>3789</v>
      </c>
      <c r="D1997" s="25"/>
      <c r="E1997" s="11"/>
      <c r="F1997" s="26">
        <v>5980</v>
      </c>
      <c r="G1997" s="11" t="s">
        <v>3790</v>
      </c>
      <c r="H1997" s="11" t="s">
        <v>1908</v>
      </c>
      <c r="I1997" s="12" t="s">
        <v>3790</v>
      </c>
      <c r="J1997" s="11" t="s">
        <v>2805</v>
      </c>
    </row>
    <row r="1998" spans="1:10" s="10" customFormat="1" x14ac:dyDescent="0.25">
      <c r="A1998" s="21" t="s">
        <v>3565</v>
      </c>
      <c r="D1998" s="25"/>
      <c r="E1998" s="11"/>
      <c r="F1998" s="26">
        <v>5986</v>
      </c>
      <c r="G1998" s="11" t="s">
        <v>3566</v>
      </c>
      <c r="H1998" s="11" t="s">
        <v>1908</v>
      </c>
      <c r="I1998" s="12" t="s">
        <v>3566</v>
      </c>
      <c r="J1998" s="11" t="s">
        <v>2805</v>
      </c>
    </row>
    <row r="1999" spans="1:10" s="10" customFormat="1" x14ac:dyDescent="0.25">
      <c r="A1999" s="21" t="s">
        <v>3792</v>
      </c>
      <c r="D1999" s="25"/>
      <c r="E1999" s="11"/>
      <c r="F1999" s="26">
        <v>2555</v>
      </c>
      <c r="G1999" s="11" t="s">
        <v>3793</v>
      </c>
      <c r="H1999" s="11" t="s">
        <v>1908</v>
      </c>
      <c r="I1999" s="12" t="s">
        <v>3793</v>
      </c>
      <c r="J1999" s="11" t="s">
        <v>2805</v>
      </c>
    </row>
    <row r="2000" spans="1:10" s="10" customFormat="1" x14ac:dyDescent="0.25">
      <c r="A2000" s="21" t="s">
        <v>3795</v>
      </c>
      <c r="D2000" s="25"/>
      <c r="E2000" s="11"/>
      <c r="F2000" s="26">
        <v>2679</v>
      </c>
      <c r="G2000" s="11" t="s">
        <v>3796</v>
      </c>
      <c r="H2000" s="11" t="s">
        <v>1908</v>
      </c>
      <c r="I2000" s="12" t="s">
        <v>3796</v>
      </c>
      <c r="J2000" s="11" t="s">
        <v>2805</v>
      </c>
    </row>
    <row r="2001" spans="1:10" s="10" customFormat="1" x14ac:dyDescent="0.25">
      <c r="A2001" s="21" t="s">
        <v>3568</v>
      </c>
      <c r="D2001" s="25"/>
      <c r="E2001" s="11"/>
      <c r="F2001" s="26">
        <v>5972</v>
      </c>
      <c r="G2001" s="11" t="s">
        <v>324</v>
      </c>
      <c r="H2001" s="11" t="s">
        <v>1908</v>
      </c>
      <c r="I2001" s="12" t="s">
        <v>3569</v>
      </c>
      <c r="J2001" s="11" t="s">
        <v>2805</v>
      </c>
    </row>
    <row r="2002" spans="1:10" s="10" customFormat="1" x14ac:dyDescent="0.25">
      <c r="A2002" s="21" t="s">
        <v>3571</v>
      </c>
      <c r="D2002" s="25"/>
      <c r="E2002" s="11"/>
      <c r="F2002" s="26">
        <v>2415</v>
      </c>
      <c r="G2002" s="11" t="s">
        <v>3572</v>
      </c>
      <c r="H2002" s="11" t="s">
        <v>1908</v>
      </c>
      <c r="I2002" s="12" t="s">
        <v>3572</v>
      </c>
      <c r="J2002" s="11" t="s">
        <v>2805</v>
      </c>
    </row>
    <row r="2003" spans="1:10" s="10" customFormat="1" x14ac:dyDescent="0.25">
      <c r="A2003" s="21" t="s">
        <v>3574</v>
      </c>
      <c r="D2003" s="25"/>
      <c r="E2003" s="11"/>
      <c r="F2003" s="26">
        <v>5913</v>
      </c>
      <c r="G2003" s="11" t="s">
        <v>3575</v>
      </c>
      <c r="H2003" s="11" t="s">
        <v>1908</v>
      </c>
      <c r="I2003" s="12" t="s">
        <v>3575</v>
      </c>
      <c r="J2003" s="11" t="s">
        <v>2805</v>
      </c>
    </row>
    <row r="2004" spans="1:10" s="10" customFormat="1" x14ac:dyDescent="0.25">
      <c r="A2004" s="21" t="s">
        <v>3577</v>
      </c>
      <c r="D2004" s="25"/>
      <c r="E2004" s="11"/>
      <c r="F2004" s="26">
        <v>5214</v>
      </c>
      <c r="G2004" s="11" t="s">
        <v>3580</v>
      </c>
      <c r="H2004" s="11" t="s">
        <v>1908</v>
      </c>
      <c r="I2004" s="12" t="s">
        <v>3578</v>
      </c>
      <c r="J2004" s="11" t="s">
        <v>2805</v>
      </c>
    </row>
    <row r="2005" spans="1:10" s="10" customFormat="1" x14ac:dyDescent="0.25">
      <c r="A2005" s="21" t="s">
        <v>3581</v>
      </c>
      <c r="D2005" s="25"/>
      <c r="E2005" s="11"/>
      <c r="F2005" s="26">
        <v>5111</v>
      </c>
      <c r="G2005" s="11" t="s">
        <v>3582</v>
      </c>
      <c r="H2005" s="11" t="s">
        <v>1908</v>
      </c>
      <c r="I2005" s="12" t="s">
        <v>3582</v>
      </c>
      <c r="J2005" s="11" t="s">
        <v>2805</v>
      </c>
    </row>
    <row r="2006" spans="1:10" s="10" customFormat="1" x14ac:dyDescent="0.25">
      <c r="A2006" s="21" t="s">
        <v>2024</v>
      </c>
      <c r="D2006" s="25"/>
      <c r="E2006" s="11"/>
      <c r="F2006" s="26">
        <v>5802</v>
      </c>
      <c r="G2006" s="11" t="s">
        <v>2015</v>
      </c>
      <c r="H2006" s="11" t="s">
        <v>1908</v>
      </c>
      <c r="I2006" s="12" t="s">
        <v>2025</v>
      </c>
      <c r="J2006" s="11" t="s">
        <v>2805</v>
      </c>
    </row>
    <row r="2007" spans="1:10" s="10" customFormat="1" x14ac:dyDescent="0.25">
      <c r="A2007" s="21" t="s">
        <v>2020</v>
      </c>
      <c r="D2007" s="25"/>
      <c r="E2007" s="11"/>
      <c r="F2007" s="26">
        <v>5806</v>
      </c>
      <c r="G2007" s="11" t="s">
        <v>2015</v>
      </c>
      <c r="H2007" s="11" t="s">
        <v>1908</v>
      </c>
      <c r="I2007" s="12" t="s">
        <v>2021</v>
      </c>
      <c r="J2007" s="11" t="s">
        <v>2805</v>
      </c>
    </row>
    <row r="2008" spans="1:10" s="10" customFormat="1" x14ac:dyDescent="0.25">
      <c r="A2008" s="21" t="s">
        <v>2017</v>
      </c>
      <c r="D2008" s="25"/>
      <c r="E2008" s="11"/>
      <c r="F2008" s="26">
        <v>5808</v>
      </c>
      <c r="G2008" s="11" t="s">
        <v>2015</v>
      </c>
      <c r="H2008" s="11" t="s">
        <v>1908</v>
      </c>
      <c r="I2008" s="12" t="s">
        <v>2018</v>
      </c>
      <c r="J2008" s="11" t="s">
        <v>2805</v>
      </c>
    </row>
    <row r="2009" spans="1:10" s="10" customFormat="1" x14ac:dyDescent="0.25">
      <c r="A2009" s="21" t="s">
        <v>2014</v>
      </c>
      <c r="D2009" s="25"/>
      <c r="E2009" s="11"/>
      <c r="F2009" s="26">
        <v>5806</v>
      </c>
      <c r="G2009" s="11" t="s">
        <v>2015</v>
      </c>
      <c r="H2009" s="11" t="s">
        <v>1908</v>
      </c>
      <c r="I2009" s="12" t="s">
        <v>2015</v>
      </c>
      <c r="J2009" s="11" t="s">
        <v>2800</v>
      </c>
    </row>
    <row r="2010" spans="1:10" s="10" customFormat="1" x14ac:dyDescent="0.25">
      <c r="A2010" s="21" t="s">
        <v>3584</v>
      </c>
      <c r="D2010" s="25"/>
      <c r="E2010" s="11"/>
      <c r="F2010" s="26">
        <v>5127</v>
      </c>
      <c r="G2010" s="11" t="s">
        <v>3585</v>
      </c>
      <c r="H2010" s="11" t="s">
        <v>1908</v>
      </c>
      <c r="I2010" s="12" t="s">
        <v>3585</v>
      </c>
      <c r="J2010" s="11" t="s">
        <v>2805</v>
      </c>
    </row>
    <row r="2011" spans="1:10" s="10" customFormat="1" x14ac:dyDescent="0.25">
      <c r="A2011" s="21" t="s">
        <v>3588</v>
      </c>
      <c r="D2011" s="25"/>
      <c r="E2011" s="11"/>
      <c r="F2011" s="26">
        <v>5960</v>
      </c>
      <c r="G2011" s="11" t="s">
        <v>3589</v>
      </c>
      <c r="H2011" s="11" t="s">
        <v>1908</v>
      </c>
      <c r="I2011" s="12" t="s">
        <v>3589</v>
      </c>
      <c r="J2011" s="11" t="s">
        <v>2805</v>
      </c>
    </row>
    <row r="2012" spans="1:10" s="10" customFormat="1" x14ac:dyDescent="0.25">
      <c r="A2012" s="21" t="s">
        <v>3798</v>
      </c>
      <c r="D2012" s="25"/>
      <c r="E2012" s="11"/>
      <c r="F2012" s="26">
        <v>5850</v>
      </c>
      <c r="G2012" s="11" t="s">
        <v>3799</v>
      </c>
      <c r="H2012" s="11" t="s">
        <v>1908</v>
      </c>
      <c r="I2012" s="12" t="s">
        <v>3799</v>
      </c>
      <c r="J2012" s="11" t="s">
        <v>2800</v>
      </c>
    </row>
    <row r="2013" spans="1:10" s="10" customFormat="1" x14ac:dyDescent="0.25">
      <c r="A2013" s="21" t="s">
        <v>3596</v>
      </c>
      <c r="D2013" s="25"/>
      <c r="E2013" s="11"/>
      <c r="F2013" s="26">
        <v>5945</v>
      </c>
      <c r="G2013" s="11" t="s">
        <v>3597</v>
      </c>
      <c r="H2013" s="11" t="s">
        <v>1908</v>
      </c>
      <c r="I2013" s="12" t="s">
        <v>3597</v>
      </c>
      <c r="J2013" s="11" t="s">
        <v>2805</v>
      </c>
    </row>
    <row r="2014" spans="1:10" s="10" customFormat="1" x14ac:dyDescent="0.25">
      <c r="A2014" s="21" t="s">
        <v>3591</v>
      </c>
      <c r="D2014" s="25"/>
      <c r="E2014" s="11"/>
      <c r="F2014" s="26">
        <v>5295</v>
      </c>
      <c r="G2014" s="11" t="s">
        <v>3595</v>
      </c>
      <c r="H2014" s="11" t="s">
        <v>1908</v>
      </c>
      <c r="I2014" s="12" t="s">
        <v>3592</v>
      </c>
      <c r="J2014" s="11" t="s">
        <v>2805</v>
      </c>
    </row>
    <row r="2015" spans="1:10" s="10" customFormat="1" x14ac:dyDescent="0.25">
      <c r="A2015" s="21" t="s">
        <v>3599</v>
      </c>
      <c r="D2015" s="25"/>
      <c r="E2015" s="11"/>
      <c r="F2015" s="26">
        <v>5113</v>
      </c>
      <c r="G2015" s="11" t="s">
        <v>3602</v>
      </c>
      <c r="H2015" s="11" t="s">
        <v>1908</v>
      </c>
      <c r="I2015" s="12" t="s">
        <v>3600</v>
      </c>
      <c r="J2015" s="11" t="s">
        <v>2805</v>
      </c>
    </row>
    <row r="2016" spans="1:10" s="10" customFormat="1" x14ac:dyDescent="0.25">
      <c r="A2016" s="21" t="s">
        <v>2085</v>
      </c>
      <c r="D2016" s="25"/>
      <c r="E2016" s="11"/>
      <c r="F2016" s="26">
        <v>5829</v>
      </c>
      <c r="G2016" s="11" t="s">
        <v>2086</v>
      </c>
      <c r="H2016" s="11" t="s">
        <v>1908</v>
      </c>
      <c r="I2016" s="12" t="s">
        <v>2086</v>
      </c>
      <c r="J2016" s="11" t="s">
        <v>2805</v>
      </c>
    </row>
    <row r="2017" spans="1:10" s="10" customFormat="1" x14ac:dyDescent="0.25">
      <c r="A2017" s="21" t="s">
        <v>2081</v>
      </c>
      <c r="D2017" s="25"/>
      <c r="E2017" s="11"/>
      <c r="F2017" s="26">
        <v>5191</v>
      </c>
      <c r="G2017" s="11" t="s">
        <v>2084</v>
      </c>
      <c r="H2017" s="11" t="s">
        <v>1908</v>
      </c>
      <c r="I2017" s="12" t="s">
        <v>2082</v>
      </c>
      <c r="J2017" s="11" t="s">
        <v>2805</v>
      </c>
    </row>
    <row r="2018" spans="1:10" s="10" customFormat="1" x14ac:dyDescent="0.25">
      <c r="A2018" s="21" t="s">
        <v>2088</v>
      </c>
      <c r="D2018" s="25"/>
      <c r="E2018" s="11"/>
      <c r="F2018" s="26">
        <v>5841</v>
      </c>
      <c r="G2018" s="11" t="s">
        <v>2089</v>
      </c>
      <c r="H2018" s="11" t="s">
        <v>1908</v>
      </c>
      <c r="I2018" s="12" t="s">
        <v>2089</v>
      </c>
      <c r="J2018" s="11" t="s">
        <v>2805</v>
      </c>
    </row>
    <row r="2019" spans="1:10" s="10" customFormat="1" x14ac:dyDescent="0.25">
      <c r="A2019" s="21" t="s">
        <v>1896</v>
      </c>
      <c r="D2019" s="25"/>
      <c r="E2019" s="11"/>
      <c r="F2019" s="26">
        <v>5291</v>
      </c>
      <c r="G2019" s="11" t="s">
        <v>2140</v>
      </c>
      <c r="H2019" s="11" t="s">
        <v>1908</v>
      </c>
      <c r="I2019" s="12" t="s">
        <v>1944</v>
      </c>
      <c r="J2019" s="11" t="s">
        <v>2805</v>
      </c>
    </row>
    <row r="2020" spans="1:10" s="10" customFormat="1" x14ac:dyDescent="0.25">
      <c r="A2020" s="21" t="s">
        <v>1946</v>
      </c>
      <c r="D2020" s="25"/>
      <c r="E2020" s="11"/>
      <c r="F2020" s="26">
        <v>2400</v>
      </c>
      <c r="G2020" s="11" t="s">
        <v>1947</v>
      </c>
      <c r="H2020" s="11" t="s">
        <v>1908</v>
      </c>
      <c r="I2020" s="12" t="s">
        <v>1947</v>
      </c>
      <c r="J2020" s="11" t="s">
        <v>2800</v>
      </c>
    </row>
    <row r="2021" spans="1:10" s="10" customFormat="1" x14ac:dyDescent="0.25">
      <c r="A2021" s="21" t="s">
        <v>2007</v>
      </c>
      <c r="D2021" s="25"/>
      <c r="E2021" s="11"/>
      <c r="F2021" s="26">
        <v>5209</v>
      </c>
      <c r="G2021" s="11" t="s">
        <v>2010</v>
      </c>
      <c r="H2021" s="11" t="s">
        <v>1908</v>
      </c>
      <c r="I2021" s="12" t="s">
        <v>2008</v>
      </c>
      <c r="J2021" s="11" t="s">
        <v>2805</v>
      </c>
    </row>
    <row r="2022" spans="1:10" s="10" customFormat="1" x14ac:dyDescent="0.25">
      <c r="A2022" s="21" t="s">
        <v>1949</v>
      </c>
      <c r="D2022" s="25"/>
      <c r="E2022" s="11"/>
      <c r="F2022" s="26">
        <v>5244</v>
      </c>
      <c r="G2022" s="11" t="s">
        <v>1952</v>
      </c>
      <c r="H2022" s="11" t="s">
        <v>1908</v>
      </c>
      <c r="I2022" s="12" t="s">
        <v>1950</v>
      </c>
      <c r="J2022" s="11" t="s">
        <v>2805</v>
      </c>
    </row>
    <row r="2023" spans="1:10" s="10" customFormat="1" x14ac:dyDescent="0.25">
      <c r="A2023" s="21" t="s">
        <v>1953</v>
      </c>
      <c r="D2023" s="25"/>
      <c r="E2023" s="11"/>
      <c r="F2023" s="26">
        <v>5282</v>
      </c>
      <c r="G2023" s="11" t="s">
        <v>1956</v>
      </c>
      <c r="H2023" s="11" t="s">
        <v>1908</v>
      </c>
      <c r="I2023" s="12" t="s">
        <v>1954</v>
      </c>
      <c r="J2023" s="11" t="s">
        <v>2805</v>
      </c>
    </row>
    <row r="2024" spans="1:10" s="10" customFormat="1" x14ac:dyDescent="0.25">
      <c r="A2024" s="21" t="s">
        <v>2091</v>
      </c>
      <c r="D2024" s="25"/>
      <c r="E2024" s="11"/>
      <c r="F2024" s="26">
        <v>2566</v>
      </c>
      <c r="G2024" s="11" t="s">
        <v>2092</v>
      </c>
      <c r="H2024" s="11" t="s">
        <v>1908</v>
      </c>
      <c r="I2024" s="12" t="s">
        <v>2092</v>
      </c>
      <c r="J2024" s="11" t="s">
        <v>2805</v>
      </c>
    </row>
    <row r="2025" spans="1:10" s="10" customFormat="1" x14ac:dyDescent="0.25">
      <c r="A2025" s="21" t="s">
        <v>3818</v>
      </c>
      <c r="D2025" s="25"/>
      <c r="E2025" s="11"/>
      <c r="F2025" s="26">
        <v>2671</v>
      </c>
      <c r="G2025" s="11" t="s">
        <v>3819</v>
      </c>
      <c r="H2025" s="11" t="s">
        <v>1908</v>
      </c>
      <c r="I2025" s="12" t="s">
        <v>3819</v>
      </c>
      <c r="J2025" s="11" t="s">
        <v>2805</v>
      </c>
    </row>
    <row r="2026" spans="1:10" s="10" customFormat="1" x14ac:dyDescent="0.25">
      <c r="A2026" s="21" t="s">
        <v>3825</v>
      </c>
      <c r="D2026" s="25"/>
      <c r="E2026" s="11"/>
      <c r="F2026" s="26">
        <v>5196</v>
      </c>
      <c r="G2026" s="11" t="s">
        <v>3829</v>
      </c>
      <c r="H2026" s="11" t="s">
        <v>1908</v>
      </c>
      <c r="I2026" s="12" t="s">
        <v>3826</v>
      </c>
      <c r="J2026" s="11" t="s">
        <v>2805</v>
      </c>
    </row>
    <row r="2027" spans="1:10" s="10" customFormat="1" x14ac:dyDescent="0.25">
      <c r="A2027" s="21" t="s">
        <v>1957</v>
      </c>
      <c r="D2027" s="25"/>
      <c r="E2027" s="11"/>
      <c r="F2027" s="26">
        <v>5133</v>
      </c>
      <c r="G2027" s="11" t="s">
        <v>1960</v>
      </c>
      <c r="H2027" s="11" t="s">
        <v>1908</v>
      </c>
      <c r="I2027" s="12" t="s">
        <v>1958</v>
      </c>
      <c r="J2027" s="11" t="s">
        <v>2805</v>
      </c>
    </row>
    <row r="2028" spans="1:10" s="10" customFormat="1" x14ac:dyDescent="0.25">
      <c r="A2028" s="21" t="s">
        <v>1961</v>
      </c>
      <c r="D2028" s="25"/>
      <c r="E2028" s="11"/>
      <c r="F2028" s="26">
        <v>5124</v>
      </c>
      <c r="G2028" s="11" t="s">
        <v>1965</v>
      </c>
      <c r="H2028" s="11" t="s">
        <v>1908</v>
      </c>
      <c r="I2028" s="12" t="s">
        <v>1962</v>
      </c>
      <c r="J2028" s="11" t="s">
        <v>2805</v>
      </c>
    </row>
    <row r="2029" spans="1:10" s="10" customFormat="1" x14ac:dyDescent="0.25">
      <c r="A2029" s="21" t="s">
        <v>1966</v>
      </c>
      <c r="D2029" s="25"/>
      <c r="E2029" s="11"/>
      <c r="F2029" s="26">
        <v>5943</v>
      </c>
      <c r="G2029" s="11" t="s">
        <v>4559</v>
      </c>
      <c r="H2029" s="11" t="s">
        <v>1908</v>
      </c>
      <c r="I2029" s="12" t="s">
        <v>4556</v>
      </c>
      <c r="J2029" s="11" t="s">
        <v>2805</v>
      </c>
    </row>
    <row r="2030" spans="1:10" s="10" customFormat="1" x14ac:dyDescent="0.25">
      <c r="A2030" s="21" t="s">
        <v>3821</v>
      </c>
      <c r="D2030" s="25"/>
      <c r="E2030" s="11"/>
      <c r="F2030" s="26">
        <v>6125</v>
      </c>
      <c r="G2030" s="11" t="s">
        <v>3822</v>
      </c>
      <c r="H2030" s="11" t="s">
        <v>1908</v>
      </c>
      <c r="I2030" s="12" t="s">
        <v>3822</v>
      </c>
      <c r="J2030" s="11" t="s">
        <v>2805</v>
      </c>
    </row>
    <row r="2031" spans="1:10" s="10" customFormat="1" x14ac:dyDescent="0.25">
      <c r="A2031" s="21" t="s">
        <v>4560</v>
      </c>
      <c r="D2031" s="25"/>
      <c r="E2031" s="11"/>
      <c r="F2031" s="26">
        <v>5270</v>
      </c>
      <c r="G2031" s="11" t="s">
        <v>4563</v>
      </c>
      <c r="H2031" s="11" t="s">
        <v>1908</v>
      </c>
      <c r="I2031" s="12" t="s">
        <v>4561</v>
      </c>
      <c r="J2031" s="11" t="s">
        <v>2805</v>
      </c>
    </row>
    <row r="2032" spans="1:10" s="10" customFormat="1" x14ac:dyDescent="0.25">
      <c r="A2032" s="21" t="s">
        <v>3830</v>
      </c>
      <c r="D2032" s="25"/>
      <c r="E2032" s="11"/>
      <c r="F2032" s="26">
        <v>5933</v>
      </c>
      <c r="G2032" s="11" t="s">
        <v>3831</v>
      </c>
      <c r="H2032" s="11" t="s">
        <v>1908</v>
      </c>
      <c r="I2032" s="12" t="s">
        <v>3831</v>
      </c>
      <c r="J2032" s="11" t="s">
        <v>2805</v>
      </c>
    </row>
    <row r="2033" spans="1:10" s="10" customFormat="1" x14ac:dyDescent="0.25">
      <c r="A2033" s="21" t="s">
        <v>4564</v>
      </c>
      <c r="D2033" s="25"/>
      <c r="E2033" s="11"/>
      <c r="F2033" s="26">
        <v>5155</v>
      </c>
      <c r="G2033" s="11" t="s">
        <v>4567</v>
      </c>
      <c r="H2033" s="11" t="s">
        <v>1908</v>
      </c>
      <c r="I2033" s="12" t="s">
        <v>4565</v>
      </c>
      <c r="J2033" s="11" t="s">
        <v>2805</v>
      </c>
    </row>
    <row r="2034" spans="1:10" s="10" customFormat="1" x14ac:dyDescent="0.25">
      <c r="A2034" s="21" t="s">
        <v>3882</v>
      </c>
      <c r="D2034" s="25"/>
      <c r="E2034" s="11"/>
      <c r="F2034" s="26">
        <v>5966</v>
      </c>
      <c r="G2034" s="11" t="s">
        <v>3883</v>
      </c>
      <c r="H2034" s="11" t="s">
        <v>1908</v>
      </c>
      <c r="I2034" s="12" t="s">
        <v>3883</v>
      </c>
      <c r="J2034" s="11" t="s">
        <v>2805</v>
      </c>
    </row>
    <row r="2035" spans="1:10" s="10" customFormat="1" x14ac:dyDescent="0.25">
      <c r="A2035" s="21" t="s">
        <v>4568</v>
      </c>
      <c r="D2035" s="25"/>
      <c r="E2035" s="11"/>
      <c r="F2035" s="26">
        <v>2436</v>
      </c>
      <c r="G2035" s="11" t="s">
        <v>4572</v>
      </c>
      <c r="H2035" s="11" t="s">
        <v>1908</v>
      </c>
      <c r="I2035" s="12" t="s">
        <v>4569</v>
      </c>
      <c r="J2035" s="11" t="s">
        <v>2805</v>
      </c>
    </row>
    <row r="2036" spans="1:10" s="10" customFormat="1" x14ac:dyDescent="0.25">
      <c r="A2036" s="21" t="s">
        <v>3833</v>
      </c>
      <c r="D2036" s="25"/>
      <c r="E2036" s="11"/>
      <c r="F2036" s="26">
        <v>2677</v>
      </c>
      <c r="G2036" s="11" t="s">
        <v>3834</v>
      </c>
      <c r="H2036" s="11" t="s">
        <v>1908</v>
      </c>
      <c r="I2036" s="12" t="s">
        <v>3834</v>
      </c>
      <c r="J2036" s="11" t="s">
        <v>2805</v>
      </c>
    </row>
    <row r="2037" spans="1:10" s="10" customFormat="1" x14ac:dyDescent="0.25">
      <c r="A2037" s="21" t="s">
        <v>4573</v>
      </c>
      <c r="D2037" s="25"/>
      <c r="E2037" s="11"/>
      <c r="F2037" s="26">
        <v>5109</v>
      </c>
      <c r="G2037" s="11" t="s">
        <v>4576</v>
      </c>
      <c r="H2037" s="11" t="s">
        <v>1908</v>
      </c>
      <c r="I2037" s="12" t="s">
        <v>4574</v>
      </c>
      <c r="J2037" s="11" t="s">
        <v>2805</v>
      </c>
    </row>
    <row r="2038" spans="1:10" s="10" customFormat="1" x14ac:dyDescent="0.25">
      <c r="A2038" s="21" t="s">
        <v>3840</v>
      </c>
      <c r="D2038" s="25"/>
      <c r="E2038" s="11"/>
      <c r="F2038" s="26">
        <v>6140</v>
      </c>
      <c r="G2038" s="11" t="s">
        <v>3841</v>
      </c>
      <c r="H2038" s="11" t="s">
        <v>1908</v>
      </c>
      <c r="I2038" s="12" t="s">
        <v>3841</v>
      </c>
      <c r="J2038" s="11" t="s">
        <v>2805</v>
      </c>
    </row>
    <row r="2039" spans="1:10" s="10" customFormat="1" x14ac:dyDescent="0.25">
      <c r="A2039" s="21" t="s">
        <v>4577</v>
      </c>
      <c r="D2039" s="25"/>
      <c r="E2039" s="11"/>
      <c r="F2039" s="26">
        <v>5105</v>
      </c>
      <c r="G2039" s="11" t="s">
        <v>4578</v>
      </c>
      <c r="H2039" s="11" t="s">
        <v>1908</v>
      </c>
      <c r="I2039" s="12" t="s">
        <v>4578</v>
      </c>
      <c r="J2039" s="11" t="s">
        <v>2805</v>
      </c>
    </row>
    <row r="2040" spans="1:10" s="10" customFormat="1" x14ac:dyDescent="0.25">
      <c r="A2040" s="21" t="s">
        <v>3836</v>
      </c>
      <c r="D2040" s="25"/>
      <c r="E2040" s="11"/>
      <c r="F2040" s="26">
        <v>5935</v>
      </c>
      <c r="G2040" s="11" t="s">
        <v>3837</v>
      </c>
      <c r="H2040" s="11" t="s">
        <v>1908</v>
      </c>
      <c r="I2040" s="12" t="s">
        <v>3837</v>
      </c>
      <c r="J2040" s="11" t="s">
        <v>2805</v>
      </c>
    </row>
    <row r="2041" spans="1:10" s="10" customFormat="1" x14ac:dyDescent="0.25">
      <c r="A2041" s="21" t="s">
        <v>4581</v>
      </c>
      <c r="D2041" s="25"/>
      <c r="E2041" s="11"/>
      <c r="F2041" s="26">
        <v>5152</v>
      </c>
      <c r="G2041" s="11" t="s">
        <v>4582</v>
      </c>
      <c r="H2041" s="11" t="s">
        <v>1908</v>
      </c>
      <c r="I2041" s="12" t="s">
        <v>4582</v>
      </c>
      <c r="J2041" s="11" t="s">
        <v>2800</v>
      </c>
    </row>
    <row r="2042" spans="1:10" s="10" customFormat="1" x14ac:dyDescent="0.25">
      <c r="A2042" s="21" t="s">
        <v>4584</v>
      </c>
      <c r="D2042" s="25"/>
      <c r="E2042" s="11"/>
      <c r="F2042" s="26">
        <v>2433</v>
      </c>
      <c r="G2042" s="11" t="s">
        <v>4585</v>
      </c>
      <c r="H2042" s="11" t="s">
        <v>1908</v>
      </c>
      <c r="I2042" s="12" t="s">
        <v>4585</v>
      </c>
      <c r="J2042" s="11" t="s">
        <v>2805</v>
      </c>
    </row>
    <row r="2043" spans="1:10" s="10" customFormat="1" x14ac:dyDescent="0.25">
      <c r="A2043" s="21" t="s">
        <v>4587</v>
      </c>
      <c r="D2043" s="25"/>
      <c r="E2043" s="11"/>
      <c r="F2043" s="26">
        <v>5248</v>
      </c>
      <c r="G2043" s="11" t="s">
        <v>4590</v>
      </c>
      <c r="H2043" s="11" t="s">
        <v>1908</v>
      </c>
      <c r="I2043" s="12" t="s">
        <v>4588</v>
      </c>
      <c r="J2043" s="11" t="s">
        <v>2805</v>
      </c>
    </row>
    <row r="2044" spans="1:10" s="10" customFormat="1" x14ac:dyDescent="0.25">
      <c r="A2044" s="21" t="s">
        <v>4591</v>
      </c>
      <c r="D2044" s="25"/>
      <c r="E2044" s="11"/>
      <c r="F2044" s="26">
        <v>5284</v>
      </c>
      <c r="G2044" s="11" t="s">
        <v>4594</v>
      </c>
      <c r="H2044" s="11" t="s">
        <v>1908</v>
      </c>
      <c r="I2044" s="12" t="s">
        <v>4592</v>
      </c>
      <c r="J2044" s="11" t="s">
        <v>2805</v>
      </c>
    </row>
    <row r="2045" spans="1:10" s="10" customFormat="1" x14ac:dyDescent="0.25">
      <c r="A2045" s="21" t="s">
        <v>3844</v>
      </c>
      <c r="D2045" s="25"/>
      <c r="E2045" s="11"/>
      <c r="F2045" s="26">
        <v>5862</v>
      </c>
      <c r="G2045" s="11" t="s">
        <v>3845</v>
      </c>
      <c r="H2045" s="11" t="s">
        <v>1908</v>
      </c>
      <c r="I2045" s="12" t="s">
        <v>3845</v>
      </c>
      <c r="J2045" s="11" t="s">
        <v>2805</v>
      </c>
    </row>
    <row r="2046" spans="1:10" s="10" customFormat="1" x14ac:dyDescent="0.25">
      <c r="A2046" s="21" t="s">
        <v>4595</v>
      </c>
      <c r="D2046" s="25"/>
      <c r="E2046" s="11"/>
      <c r="F2046" s="26">
        <v>5963</v>
      </c>
      <c r="G2046" s="11" t="s">
        <v>4596</v>
      </c>
      <c r="H2046" s="11" t="s">
        <v>1908</v>
      </c>
      <c r="I2046" s="12" t="s">
        <v>4596</v>
      </c>
      <c r="J2046" s="11" t="s">
        <v>2805</v>
      </c>
    </row>
    <row r="2047" spans="1:10" s="10" customFormat="1" x14ac:dyDescent="0.25">
      <c r="A2047" s="21" t="s">
        <v>1999</v>
      </c>
      <c r="D2047" s="25"/>
      <c r="E2047" s="11"/>
      <c r="F2047" s="26">
        <v>5236</v>
      </c>
      <c r="G2047" s="11" t="s">
        <v>2003</v>
      </c>
      <c r="H2047" s="11" t="s">
        <v>1908</v>
      </c>
      <c r="I2047" s="12" t="s">
        <v>2000</v>
      </c>
      <c r="J2047" s="11" t="s">
        <v>2805</v>
      </c>
    </row>
    <row r="2048" spans="1:10" s="10" customFormat="1" x14ac:dyDescent="0.25">
      <c r="A2048" s="21" t="s">
        <v>2004</v>
      </c>
      <c r="D2048" s="25"/>
      <c r="E2048" s="11"/>
      <c r="F2048" s="26">
        <v>5870</v>
      </c>
      <c r="G2048" s="11" t="s">
        <v>2005</v>
      </c>
      <c r="H2048" s="11" t="s">
        <v>1908</v>
      </c>
      <c r="I2048" s="12" t="s">
        <v>2005</v>
      </c>
      <c r="J2048" s="11" t="s">
        <v>2800</v>
      </c>
    </row>
    <row r="2049" spans="1:10" s="10" customFormat="1" x14ac:dyDescent="0.25">
      <c r="A2049" s="21" t="s">
        <v>3862</v>
      </c>
      <c r="D2049" s="25"/>
      <c r="E2049" s="11"/>
      <c r="F2049" s="26">
        <v>5194</v>
      </c>
      <c r="G2049" s="11" t="s">
        <v>3865</v>
      </c>
      <c r="H2049" s="11" t="s">
        <v>1908</v>
      </c>
      <c r="I2049" s="12" t="s">
        <v>3863</v>
      </c>
      <c r="J2049" s="11" t="s">
        <v>2805</v>
      </c>
    </row>
    <row r="2050" spans="1:10" s="10" customFormat="1" x14ac:dyDescent="0.25">
      <c r="A2050" s="21" t="s">
        <v>3847</v>
      </c>
      <c r="D2050" s="25"/>
      <c r="E2050" s="11"/>
      <c r="F2050" s="26">
        <v>6275</v>
      </c>
      <c r="G2050" s="11" t="s">
        <v>3848</v>
      </c>
      <c r="H2050" s="11" t="s">
        <v>1908</v>
      </c>
      <c r="I2050" s="12" t="s">
        <v>3848</v>
      </c>
      <c r="J2050" s="11" t="s">
        <v>2805</v>
      </c>
    </row>
    <row r="2051" spans="1:10" s="10" customFormat="1" x14ac:dyDescent="0.25">
      <c r="A2051" s="21" t="s">
        <v>3886</v>
      </c>
      <c r="D2051" s="25"/>
      <c r="E2051" s="11"/>
      <c r="F2051" s="26">
        <v>5900</v>
      </c>
      <c r="G2051" s="11" t="s">
        <v>3854</v>
      </c>
      <c r="H2051" s="11" t="s">
        <v>1908</v>
      </c>
      <c r="I2051" s="12" t="s">
        <v>3887</v>
      </c>
      <c r="J2051" s="11" t="s">
        <v>2805</v>
      </c>
    </row>
    <row r="2052" spans="1:10" s="10" customFormat="1" x14ac:dyDescent="0.25">
      <c r="A2052" s="21" t="s">
        <v>3889</v>
      </c>
      <c r="D2052" s="25"/>
      <c r="E2052" s="11"/>
      <c r="F2052" s="26">
        <v>5900</v>
      </c>
      <c r="G2052" s="11" t="s">
        <v>3854</v>
      </c>
      <c r="H2052" s="11" t="s">
        <v>1908</v>
      </c>
      <c r="I2052" s="12" t="s">
        <v>3890</v>
      </c>
      <c r="J2052" s="11" t="s">
        <v>2805</v>
      </c>
    </row>
    <row r="2053" spans="1:10" s="10" customFormat="1" x14ac:dyDescent="0.25">
      <c r="A2053" s="21" t="s">
        <v>3893</v>
      </c>
      <c r="D2053" s="25"/>
      <c r="E2053" s="11"/>
      <c r="F2053" s="26">
        <v>5901</v>
      </c>
      <c r="G2053" s="11" t="s">
        <v>3854</v>
      </c>
      <c r="H2053" s="11" t="s">
        <v>1908</v>
      </c>
      <c r="I2053" s="12" t="s">
        <v>3894</v>
      </c>
      <c r="J2053" s="11" t="s">
        <v>2805</v>
      </c>
    </row>
    <row r="2054" spans="1:10" s="10" customFormat="1" x14ac:dyDescent="0.25">
      <c r="A2054" s="21" t="s">
        <v>3851</v>
      </c>
      <c r="D2054" s="25"/>
      <c r="E2054" s="11"/>
      <c r="F2054" s="26">
        <v>5900</v>
      </c>
      <c r="G2054" s="11" t="s">
        <v>3854</v>
      </c>
      <c r="H2054" s="11" t="s">
        <v>1908</v>
      </c>
      <c r="I2054" s="12" t="s">
        <v>3852</v>
      </c>
      <c r="J2054" s="11" t="s">
        <v>2800</v>
      </c>
    </row>
    <row r="2055" spans="1:10" s="10" customFormat="1" x14ac:dyDescent="0.25">
      <c r="A2055" s="21" t="s">
        <v>3855</v>
      </c>
      <c r="D2055" s="25"/>
      <c r="E2055" s="11"/>
      <c r="F2055" s="26">
        <v>5903</v>
      </c>
      <c r="G2055" s="11" t="s">
        <v>1055</v>
      </c>
      <c r="H2055" s="11" t="s">
        <v>1908</v>
      </c>
      <c r="I2055" s="12" t="s">
        <v>1055</v>
      </c>
      <c r="J2055" s="11" t="s">
        <v>2805</v>
      </c>
    </row>
    <row r="2056" spans="1:10" s="10" customFormat="1" x14ac:dyDescent="0.25">
      <c r="A2056" s="21" t="s">
        <v>3866</v>
      </c>
      <c r="D2056" s="25"/>
      <c r="E2056" s="11"/>
      <c r="F2056" s="26">
        <v>5864</v>
      </c>
      <c r="G2056" s="11" t="s">
        <v>4656</v>
      </c>
      <c r="H2056" s="11" t="s">
        <v>1908</v>
      </c>
      <c r="I2056" s="12" t="s">
        <v>4656</v>
      </c>
      <c r="J2056" s="11" t="s">
        <v>2805</v>
      </c>
    </row>
    <row r="2057" spans="1:10" s="10" customFormat="1" x14ac:dyDescent="0.25">
      <c r="A2057" s="21" t="s">
        <v>3858</v>
      </c>
      <c r="D2057" s="25"/>
      <c r="E2057" s="11"/>
      <c r="F2057" s="26">
        <v>6273</v>
      </c>
      <c r="G2057" s="11" t="s">
        <v>3859</v>
      </c>
      <c r="H2057" s="11" t="s">
        <v>1908</v>
      </c>
      <c r="I2057" s="12" t="s">
        <v>3859</v>
      </c>
      <c r="J2057" s="11" t="s">
        <v>2805</v>
      </c>
    </row>
    <row r="2058" spans="1:10" s="10" customFormat="1" x14ac:dyDescent="0.25">
      <c r="A2058" s="21" t="s">
        <v>4659</v>
      </c>
      <c r="D2058" s="25"/>
      <c r="E2058" s="11"/>
      <c r="F2058" s="26">
        <v>2655</v>
      </c>
      <c r="G2058" s="11" t="s">
        <v>2062</v>
      </c>
      <c r="H2058" s="11" t="s">
        <v>1908</v>
      </c>
      <c r="I2058" s="12" t="s">
        <v>2062</v>
      </c>
      <c r="J2058" s="11" t="s">
        <v>2805</v>
      </c>
    </row>
    <row r="2059" spans="1:10" s="10" customFormat="1" x14ac:dyDescent="0.25">
      <c r="A2059" s="21" t="s">
        <v>3377</v>
      </c>
      <c r="D2059" s="25"/>
      <c r="E2059" s="11"/>
      <c r="F2059" s="26">
        <v>3344</v>
      </c>
      <c r="G2059" s="11" t="s">
        <v>3324</v>
      </c>
      <c r="H2059" s="11" t="s">
        <v>897</v>
      </c>
      <c r="I2059" s="12" t="s">
        <v>3324</v>
      </c>
      <c r="J2059" s="11" t="s">
        <v>2805</v>
      </c>
    </row>
    <row r="2060" spans="1:10" s="10" customFormat="1" x14ac:dyDescent="0.25">
      <c r="A2060" s="21" t="s">
        <v>639</v>
      </c>
      <c r="D2060" s="25"/>
      <c r="E2060" s="11"/>
      <c r="F2060" s="26">
        <v>3432</v>
      </c>
      <c r="G2060" s="11" t="s">
        <v>2193</v>
      </c>
      <c r="H2060" s="11" t="s">
        <v>897</v>
      </c>
      <c r="I2060" s="12" t="s">
        <v>2193</v>
      </c>
      <c r="J2060" s="11" t="s">
        <v>2805</v>
      </c>
    </row>
    <row r="2061" spans="1:10" s="10" customFormat="1" x14ac:dyDescent="0.25">
      <c r="A2061" s="21" t="s">
        <v>684</v>
      </c>
      <c r="D2061" s="25"/>
      <c r="E2061" s="11"/>
      <c r="F2061" s="26">
        <v>3234</v>
      </c>
      <c r="G2061" s="11" t="s">
        <v>2101</v>
      </c>
      <c r="H2061" s="11" t="s">
        <v>897</v>
      </c>
      <c r="I2061" s="12" t="s">
        <v>2101</v>
      </c>
      <c r="J2061" s="11" t="s">
        <v>2805</v>
      </c>
    </row>
    <row r="2062" spans="1:10" s="10" customFormat="1" x14ac:dyDescent="0.25">
      <c r="A2062" s="21" t="s">
        <v>641</v>
      </c>
      <c r="D2062" s="25"/>
      <c r="E2062" s="11"/>
      <c r="F2062" s="26">
        <v>3474</v>
      </c>
      <c r="G2062" s="11" t="s">
        <v>642</v>
      </c>
      <c r="H2062" s="11" t="s">
        <v>897</v>
      </c>
      <c r="I2062" s="12" t="s">
        <v>642</v>
      </c>
      <c r="J2062" s="11" t="s">
        <v>2805</v>
      </c>
    </row>
    <row r="2063" spans="1:10" s="10" customFormat="1" x14ac:dyDescent="0.25">
      <c r="A2063" s="21" t="s">
        <v>3380</v>
      </c>
      <c r="D2063" s="25"/>
      <c r="E2063" s="11"/>
      <c r="F2063" s="26">
        <v>3358</v>
      </c>
      <c r="G2063" s="11" t="s">
        <v>3381</v>
      </c>
      <c r="H2063" s="11" t="s">
        <v>897</v>
      </c>
      <c r="I2063" s="12" t="s">
        <v>3381</v>
      </c>
      <c r="J2063" s="11" t="s">
        <v>2805</v>
      </c>
    </row>
    <row r="2064" spans="1:10" s="10" customFormat="1" x14ac:dyDescent="0.25">
      <c r="A2064" s="21" t="s">
        <v>3181</v>
      </c>
      <c r="D2064" s="25"/>
      <c r="E2064" s="11"/>
      <c r="F2064" s="26">
        <v>3423</v>
      </c>
      <c r="G2064" s="11" t="s">
        <v>1336</v>
      </c>
      <c r="H2064" s="11" t="s">
        <v>897</v>
      </c>
      <c r="I2064" s="12" t="s">
        <v>1336</v>
      </c>
      <c r="J2064" s="11" t="s">
        <v>2805</v>
      </c>
    </row>
    <row r="2065" spans="1:10" s="10" customFormat="1" x14ac:dyDescent="0.25">
      <c r="A2065" s="21" t="s">
        <v>632</v>
      </c>
      <c r="D2065" s="25"/>
      <c r="E2065" s="11"/>
      <c r="F2065" s="26">
        <v>3400</v>
      </c>
      <c r="G2065" s="11" t="s">
        <v>897</v>
      </c>
      <c r="H2065" s="11" t="s">
        <v>897</v>
      </c>
      <c r="I2065" s="12" t="s">
        <v>897</v>
      </c>
      <c r="J2065" s="11" t="s">
        <v>2800</v>
      </c>
    </row>
    <row r="2066" spans="1:10" s="10" customFormat="1" x14ac:dyDescent="0.25">
      <c r="A2066" s="21" t="s">
        <v>634</v>
      </c>
      <c r="D2066" s="25"/>
      <c r="E2066" s="11"/>
      <c r="F2066" s="26">
        <v>3400</v>
      </c>
      <c r="G2066" s="11" t="s">
        <v>897</v>
      </c>
      <c r="H2066" s="11" t="s">
        <v>897</v>
      </c>
      <c r="I2066" s="12" t="s">
        <v>3741</v>
      </c>
      <c r="J2066" s="11" t="s">
        <v>2805</v>
      </c>
    </row>
    <row r="2067" spans="1:10" s="10" customFormat="1" x14ac:dyDescent="0.25">
      <c r="A2067" s="21" t="s">
        <v>636</v>
      </c>
      <c r="D2067" s="25"/>
      <c r="E2067" s="11"/>
      <c r="F2067" s="26">
        <v>3404</v>
      </c>
      <c r="G2067" s="11" t="s">
        <v>897</v>
      </c>
      <c r="H2067" s="11" t="s">
        <v>897</v>
      </c>
      <c r="I2067" s="12" t="s">
        <v>3748</v>
      </c>
      <c r="J2067" s="11" t="s">
        <v>2805</v>
      </c>
    </row>
    <row r="2068" spans="1:10" s="10" customFormat="1" x14ac:dyDescent="0.25">
      <c r="A2068" s="21" t="s">
        <v>686</v>
      </c>
      <c r="D2068" s="25"/>
      <c r="E2068" s="11"/>
      <c r="F2068" s="26">
        <v>3460</v>
      </c>
      <c r="G2068" s="11" t="s">
        <v>687</v>
      </c>
      <c r="H2068" s="11" t="s">
        <v>897</v>
      </c>
      <c r="I2068" s="12" t="s">
        <v>687</v>
      </c>
      <c r="J2068" s="11" t="s">
        <v>2800</v>
      </c>
    </row>
    <row r="2069" spans="1:10" s="10" customFormat="1" x14ac:dyDescent="0.25">
      <c r="A2069" s="21" t="s">
        <v>3183</v>
      </c>
      <c r="D2069" s="25"/>
      <c r="E2069" s="11"/>
      <c r="F2069" s="26">
        <v>3418</v>
      </c>
      <c r="G2069" s="11" t="s">
        <v>3184</v>
      </c>
      <c r="H2069" s="11" t="s">
        <v>897</v>
      </c>
      <c r="I2069" s="12" t="s">
        <v>3184</v>
      </c>
      <c r="J2069" s="11" t="s">
        <v>2805</v>
      </c>
    </row>
    <row r="2070" spans="1:10" s="10" customFormat="1" x14ac:dyDescent="0.25">
      <c r="A2070" s="21" t="s">
        <v>3186</v>
      </c>
      <c r="D2070" s="25"/>
      <c r="E2070" s="11"/>
      <c r="F2070" s="26">
        <v>3196</v>
      </c>
      <c r="G2070" s="11" t="s">
        <v>651</v>
      </c>
      <c r="H2070" s="11" t="s">
        <v>897</v>
      </c>
      <c r="I2070" s="12" t="s">
        <v>651</v>
      </c>
      <c r="J2070" s="11" t="s">
        <v>2805</v>
      </c>
    </row>
    <row r="2071" spans="1:10" s="10" customFormat="1" x14ac:dyDescent="0.25">
      <c r="A2071" s="21" t="s">
        <v>3372</v>
      </c>
      <c r="D2071" s="25"/>
      <c r="E2071" s="11"/>
      <c r="F2071" s="26">
        <v>3476</v>
      </c>
      <c r="G2071" s="11" t="s">
        <v>3376</v>
      </c>
      <c r="H2071" s="11" t="s">
        <v>897</v>
      </c>
      <c r="I2071" s="12" t="s">
        <v>3373</v>
      </c>
      <c r="J2071" s="11" t="s">
        <v>2805</v>
      </c>
    </row>
    <row r="2072" spans="1:10" s="10" customFormat="1" x14ac:dyDescent="0.25">
      <c r="A2072" s="21" t="s">
        <v>3383</v>
      </c>
      <c r="D2072" s="25"/>
      <c r="E2072" s="11"/>
      <c r="F2072" s="26">
        <v>3349</v>
      </c>
      <c r="G2072" s="11" t="s">
        <v>3384</v>
      </c>
      <c r="H2072" s="11" t="s">
        <v>897</v>
      </c>
      <c r="I2072" s="12" t="s">
        <v>3384</v>
      </c>
      <c r="J2072" s="11" t="s">
        <v>2805</v>
      </c>
    </row>
    <row r="2073" spans="1:10" s="10" customFormat="1" x14ac:dyDescent="0.25">
      <c r="A2073" s="21" t="s">
        <v>3386</v>
      </c>
      <c r="D2073" s="25"/>
      <c r="E2073" s="11"/>
      <c r="F2073" s="26">
        <v>3342</v>
      </c>
      <c r="G2073" s="11" t="s">
        <v>3389</v>
      </c>
      <c r="H2073" s="11" t="s">
        <v>897</v>
      </c>
      <c r="I2073" s="12" t="s">
        <v>3387</v>
      </c>
      <c r="J2073" s="11" t="s">
        <v>2805</v>
      </c>
    </row>
    <row r="2074" spans="1:10" s="10" customFormat="1" x14ac:dyDescent="0.25">
      <c r="A2074" s="21" t="s">
        <v>2436</v>
      </c>
      <c r="D2074" s="25"/>
      <c r="E2074" s="11"/>
      <c r="F2074" s="26">
        <v>3450</v>
      </c>
      <c r="G2074" s="11" t="s">
        <v>2437</v>
      </c>
      <c r="H2074" s="11" t="s">
        <v>897</v>
      </c>
      <c r="I2074" s="12" t="s">
        <v>2437</v>
      </c>
      <c r="J2074" s="11" t="s">
        <v>2800</v>
      </c>
    </row>
    <row r="2075" spans="1:10" s="10" customFormat="1" x14ac:dyDescent="0.25">
      <c r="A2075" s="21" t="s">
        <v>2439</v>
      </c>
      <c r="D2075" s="25"/>
      <c r="E2075" s="11"/>
      <c r="F2075" s="26">
        <v>3480</v>
      </c>
      <c r="G2075" s="11" t="s">
        <v>2440</v>
      </c>
      <c r="H2075" s="11" t="s">
        <v>897</v>
      </c>
      <c r="I2075" s="12" t="s">
        <v>2440</v>
      </c>
      <c r="J2075" s="11" t="s">
        <v>2805</v>
      </c>
    </row>
    <row r="2076" spans="1:10" s="10" customFormat="1" x14ac:dyDescent="0.25">
      <c r="A2076" s="21" t="s">
        <v>2442</v>
      </c>
      <c r="D2076" s="25"/>
      <c r="E2076" s="11"/>
      <c r="F2076" s="26">
        <v>3414</v>
      </c>
      <c r="G2076" s="11" t="s">
        <v>2443</v>
      </c>
      <c r="H2076" s="11" t="s">
        <v>897</v>
      </c>
      <c r="I2076" s="12" t="s">
        <v>2443</v>
      </c>
      <c r="J2076" s="11" t="s">
        <v>2805</v>
      </c>
    </row>
    <row r="2077" spans="1:10" s="10" customFormat="1" x14ac:dyDescent="0.25">
      <c r="A2077" s="21" t="s">
        <v>2446</v>
      </c>
      <c r="D2077" s="25"/>
      <c r="E2077" s="11"/>
      <c r="F2077" s="26">
        <v>3302</v>
      </c>
      <c r="G2077" s="11" t="s">
        <v>2234</v>
      </c>
      <c r="H2077" s="11" t="s">
        <v>897</v>
      </c>
      <c r="I2077" s="12" t="s">
        <v>2234</v>
      </c>
      <c r="J2077" s="11" t="s">
        <v>2805</v>
      </c>
    </row>
    <row r="2078" spans="1:10" s="10" customFormat="1" x14ac:dyDescent="0.25">
      <c r="A2078" s="21" t="s">
        <v>674</v>
      </c>
      <c r="D2078" s="25"/>
      <c r="E2078" s="11"/>
      <c r="F2078" s="26">
        <v>3346</v>
      </c>
      <c r="G2078" s="11" t="s">
        <v>675</v>
      </c>
      <c r="H2078" s="11" t="s">
        <v>897</v>
      </c>
      <c r="I2078" s="12" t="s">
        <v>675</v>
      </c>
      <c r="J2078" s="11" t="s">
        <v>2805</v>
      </c>
    </row>
    <row r="2079" spans="1:10" s="10" customFormat="1" x14ac:dyDescent="0.25">
      <c r="A2079" s="21" t="s">
        <v>2449</v>
      </c>
      <c r="D2079" s="25"/>
      <c r="E2079" s="11"/>
      <c r="F2079" s="26">
        <v>3483</v>
      </c>
      <c r="G2079" s="11" t="s">
        <v>580</v>
      </c>
      <c r="H2079" s="11" t="s">
        <v>897</v>
      </c>
      <c r="I2079" s="12" t="s">
        <v>580</v>
      </c>
      <c r="J2079" s="11" t="s">
        <v>2805</v>
      </c>
    </row>
    <row r="2080" spans="1:10" s="10" customFormat="1" x14ac:dyDescent="0.25">
      <c r="A2080" s="21" t="s">
        <v>2451</v>
      </c>
      <c r="D2080" s="25"/>
      <c r="E2080" s="11"/>
      <c r="F2080" s="26">
        <v>3446</v>
      </c>
      <c r="G2080" s="11" t="s">
        <v>2454</v>
      </c>
      <c r="H2080" s="11" t="s">
        <v>897</v>
      </c>
      <c r="I2080" s="12" t="s">
        <v>2452</v>
      </c>
      <c r="J2080" s="11" t="s">
        <v>2805</v>
      </c>
    </row>
    <row r="2081" spans="1:10" s="10" customFormat="1" x14ac:dyDescent="0.25">
      <c r="A2081" s="21" t="s">
        <v>2455</v>
      </c>
      <c r="D2081" s="25"/>
      <c r="E2081" s="11"/>
      <c r="F2081" s="26">
        <v>3427</v>
      </c>
      <c r="G2081" s="11" t="s">
        <v>2456</v>
      </c>
      <c r="H2081" s="11" t="s">
        <v>897</v>
      </c>
      <c r="I2081" s="12" t="s">
        <v>2456</v>
      </c>
      <c r="J2081" s="11" t="s">
        <v>2805</v>
      </c>
    </row>
    <row r="2082" spans="1:10" s="10" customFormat="1" x14ac:dyDescent="0.25">
      <c r="A2082" s="21" t="s">
        <v>2458</v>
      </c>
      <c r="D2082" s="25"/>
      <c r="E2082" s="11"/>
      <c r="F2082" s="26">
        <v>3470</v>
      </c>
      <c r="G2082" s="11" t="s">
        <v>10</v>
      </c>
      <c r="H2082" s="11" t="s">
        <v>897</v>
      </c>
      <c r="I2082" s="12" t="s">
        <v>10</v>
      </c>
      <c r="J2082" s="11" t="s">
        <v>2805</v>
      </c>
    </row>
    <row r="2083" spans="1:10" s="10" customFormat="1" x14ac:dyDescent="0.25">
      <c r="A2083" s="21" t="s">
        <v>690</v>
      </c>
      <c r="D2083" s="25"/>
      <c r="E2083" s="11"/>
      <c r="F2083" s="26">
        <v>3226</v>
      </c>
      <c r="G2083" s="11" t="s">
        <v>691</v>
      </c>
      <c r="H2083" s="11" t="s">
        <v>897</v>
      </c>
      <c r="I2083" s="12" t="s">
        <v>691</v>
      </c>
      <c r="J2083" s="11" t="s">
        <v>2805</v>
      </c>
    </row>
    <row r="2084" spans="1:10" s="10" customFormat="1" x14ac:dyDescent="0.25">
      <c r="A2084" s="21" t="s">
        <v>710</v>
      </c>
      <c r="D2084" s="25"/>
      <c r="E2084" s="11"/>
      <c r="F2084" s="26">
        <v>3220</v>
      </c>
      <c r="G2084" s="11" t="s">
        <v>711</v>
      </c>
      <c r="H2084" s="11" t="s">
        <v>897</v>
      </c>
      <c r="I2084" s="12" t="s">
        <v>711</v>
      </c>
      <c r="J2084" s="11" t="s">
        <v>2805</v>
      </c>
    </row>
    <row r="2085" spans="1:10" s="10" customFormat="1" x14ac:dyDescent="0.25">
      <c r="A2085" s="21" t="s">
        <v>693</v>
      </c>
      <c r="D2085" s="25"/>
      <c r="E2085" s="11"/>
      <c r="F2085" s="26">
        <v>3407</v>
      </c>
      <c r="G2085" s="11" t="s">
        <v>2435</v>
      </c>
      <c r="H2085" s="11" t="s">
        <v>897</v>
      </c>
      <c r="I2085" s="12" t="s">
        <v>694</v>
      </c>
      <c r="J2085" s="11" t="s">
        <v>2805</v>
      </c>
    </row>
    <row r="2086" spans="1:10" s="10" customFormat="1" x14ac:dyDescent="0.25">
      <c r="A2086" s="21" t="s">
        <v>752</v>
      </c>
      <c r="D2086" s="25"/>
      <c r="E2086" s="11"/>
      <c r="F2086" s="26">
        <v>3409</v>
      </c>
      <c r="G2086" s="11" t="s">
        <v>753</v>
      </c>
      <c r="H2086" s="11" t="s">
        <v>897</v>
      </c>
      <c r="I2086" s="12" t="s">
        <v>753</v>
      </c>
      <c r="J2086" s="11" t="s">
        <v>2805</v>
      </c>
    </row>
    <row r="2087" spans="1:10" s="10" customFormat="1" x14ac:dyDescent="0.25">
      <c r="A2087" s="21" t="s">
        <v>713</v>
      </c>
      <c r="D2087" s="25"/>
      <c r="E2087" s="11"/>
      <c r="F2087" s="26">
        <v>3230</v>
      </c>
      <c r="G2087" s="11" t="s">
        <v>714</v>
      </c>
      <c r="H2087" s="11" t="s">
        <v>897</v>
      </c>
      <c r="I2087" s="12" t="s">
        <v>714</v>
      </c>
      <c r="J2087" s="11" t="s">
        <v>2800</v>
      </c>
    </row>
    <row r="2088" spans="1:10" s="10" customFormat="1" x14ac:dyDescent="0.25">
      <c r="A2088" s="21" t="s">
        <v>755</v>
      </c>
      <c r="D2088" s="25"/>
      <c r="E2088" s="11"/>
      <c r="F2088" s="26">
        <v>3461</v>
      </c>
      <c r="G2088" s="11" t="s">
        <v>756</v>
      </c>
      <c r="H2088" s="11" t="s">
        <v>897</v>
      </c>
      <c r="I2088" s="12" t="s">
        <v>756</v>
      </c>
      <c r="J2088" s="11" t="s">
        <v>2805</v>
      </c>
    </row>
    <row r="2089" spans="1:10" s="10" customFormat="1" x14ac:dyDescent="0.25">
      <c r="A2089" s="21" t="s">
        <v>758</v>
      </c>
      <c r="D2089" s="25"/>
      <c r="E2089" s="11"/>
      <c r="F2089" s="26">
        <v>3420</v>
      </c>
      <c r="G2089" s="11" t="s">
        <v>759</v>
      </c>
      <c r="H2089" s="11" t="s">
        <v>897</v>
      </c>
      <c r="I2089" s="12" t="s">
        <v>759</v>
      </c>
      <c r="J2089" s="11" t="s">
        <v>2805</v>
      </c>
    </row>
    <row r="2090" spans="1:10" s="10" customFormat="1" x14ac:dyDescent="0.25">
      <c r="A2090" s="21" t="s">
        <v>677</v>
      </c>
      <c r="D2090" s="25"/>
      <c r="E2090" s="11"/>
      <c r="F2090" s="26">
        <v>3306</v>
      </c>
      <c r="G2090" s="11" t="s">
        <v>2140</v>
      </c>
      <c r="H2090" s="11" t="s">
        <v>897</v>
      </c>
      <c r="I2090" s="12" t="s">
        <v>2140</v>
      </c>
      <c r="J2090" s="11" t="s">
        <v>2805</v>
      </c>
    </row>
    <row r="2091" spans="1:10" s="10" customFormat="1" x14ac:dyDescent="0.25">
      <c r="A2091" s="21" t="s">
        <v>761</v>
      </c>
      <c r="D2091" s="25"/>
      <c r="E2091" s="11"/>
      <c r="F2091" s="26">
        <v>3412</v>
      </c>
      <c r="G2091" s="11" t="s">
        <v>762</v>
      </c>
      <c r="H2091" s="11" t="s">
        <v>897</v>
      </c>
      <c r="I2091" s="12" t="s">
        <v>762</v>
      </c>
      <c r="J2091" s="11" t="s">
        <v>2805</v>
      </c>
    </row>
    <row r="2092" spans="1:10" s="10" customFormat="1" x14ac:dyDescent="0.25">
      <c r="A2092" s="21" t="s">
        <v>765</v>
      </c>
      <c r="D2092" s="25"/>
      <c r="E2092" s="11"/>
      <c r="F2092" s="26">
        <v>3416</v>
      </c>
      <c r="G2092" s="11" t="s">
        <v>2749</v>
      </c>
      <c r="H2092" s="11" t="s">
        <v>897</v>
      </c>
      <c r="I2092" s="12" t="s">
        <v>2749</v>
      </c>
      <c r="J2092" s="11" t="s">
        <v>2805</v>
      </c>
    </row>
    <row r="2093" spans="1:10" s="10" customFormat="1" x14ac:dyDescent="0.25">
      <c r="A2093" s="21" t="s">
        <v>767</v>
      </c>
      <c r="D2093" s="25"/>
      <c r="E2093" s="11"/>
      <c r="F2093" s="26">
        <v>3403</v>
      </c>
      <c r="G2093" s="11" t="s">
        <v>643</v>
      </c>
      <c r="H2093" s="11" t="s">
        <v>897</v>
      </c>
      <c r="I2093" s="12" t="s">
        <v>643</v>
      </c>
      <c r="J2093" s="11" t="s">
        <v>2805</v>
      </c>
    </row>
    <row r="2094" spans="1:10" s="10" customFormat="1" x14ac:dyDescent="0.25">
      <c r="A2094" s="21" t="s">
        <v>645</v>
      </c>
      <c r="D2094" s="25"/>
      <c r="E2094" s="11"/>
      <c r="F2094" s="26">
        <v>3485</v>
      </c>
      <c r="G2094" s="11" t="s">
        <v>2189</v>
      </c>
      <c r="H2094" s="11" t="s">
        <v>897</v>
      </c>
      <c r="I2094" s="12" t="s">
        <v>2189</v>
      </c>
      <c r="J2094" s="11" t="s">
        <v>2805</v>
      </c>
    </row>
    <row r="2095" spans="1:10" s="10" customFormat="1" x14ac:dyDescent="0.25">
      <c r="A2095" s="21" t="s">
        <v>647</v>
      </c>
      <c r="D2095" s="25"/>
      <c r="E2095" s="11"/>
      <c r="F2095" s="26">
        <v>3448</v>
      </c>
      <c r="G2095" s="11" t="s">
        <v>648</v>
      </c>
      <c r="H2095" s="11" t="s">
        <v>897</v>
      </c>
      <c r="I2095" s="12" t="s">
        <v>648</v>
      </c>
      <c r="J2095" s="11" t="s">
        <v>2805</v>
      </c>
    </row>
    <row r="2096" spans="1:10" s="10" customFormat="1" x14ac:dyDescent="0.25">
      <c r="A2096" s="21" t="s">
        <v>3370</v>
      </c>
      <c r="D2096" s="25"/>
      <c r="E2096" s="11"/>
      <c r="F2096" s="26">
        <v>3440</v>
      </c>
      <c r="G2096" s="11" t="s">
        <v>353</v>
      </c>
      <c r="H2096" s="11" t="s">
        <v>897</v>
      </c>
      <c r="I2096" s="12" t="s">
        <v>353</v>
      </c>
      <c r="J2096" s="11" t="s">
        <v>2805</v>
      </c>
    </row>
    <row r="2097" spans="1:10" s="10" customFormat="1" x14ac:dyDescent="0.25">
      <c r="A2097" s="21" t="s">
        <v>679</v>
      </c>
      <c r="D2097" s="25"/>
      <c r="E2097" s="11"/>
      <c r="F2097" s="26">
        <v>3341</v>
      </c>
      <c r="G2097" s="11" t="s">
        <v>833</v>
      </c>
      <c r="H2097" s="11" t="s">
        <v>897</v>
      </c>
      <c r="I2097" s="12" t="s">
        <v>833</v>
      </c>
      <c r="J2097" s="11" t="s">
        <v>2805</v>
      </c>
    </row>
    <row r="2098" spans="1:10" s="10" customFormat="1" x14ac:dyDescent="0.25">
      <c r="A2098" s="21" t="s">
        <v>717</v>
      </c>
      <c r="D2098" s="25"/>
      <c r="E2098" s="11"/>
      <c r="F2098" s="26">
        <v>3463</v>
      </c>
      <c r="G2098" s="11" t="s">
        <v>718</v>
      </c>
      <c r="H2098" s="11" t="s">
        <v>897</v>
      </c>
      <c r="I2098" s="12" t="s">
        <v>718</v>
      </c>
      <c r="J2098" s="11" t="s">
        <v>2805</v>
      </c>
    </row>
    <row r="2099" spans="1:10" s="10" customFormat="1" x14ac:dyDescent="0.25">
      <c r="A2099" s="21" t="s">
        <v>681</v>
      </c>
      <c r="D2099" s="25"/>
      <c r="E2099" s="11"/>
      <c r="F2099" s="26">
        <v>3231</v>
      </c>
      <c r="G2099" s="11" t="s">
        <v>2827</v>
      </c>
      <c r="H2099" s="11" t="s">
        <v>897</v>
      </c>
      <c r="I2099" s="12" t="s">
        <v>2827</v>
      </c>
      <c r="J2099" s="11" t="s">
        <v>2805</v>
      </c>
    </row>
    <row r="2100" spans="1:10" s="10" customFormat="1" x14ac:dyDescent="0.25">
      <c r="A2100" s="21" t="s">
        <v>1263</v>
      </c>
      <c r="D2100" s="25"/>
      <c r="E2100" s="11"/>
      <c r="F2100" s="26">
        <v>3263</v>
      </c>
      <c r="G2100" s="11" t="s">
        <v>1300</v>
      </c>
      <c r="H2100" s="11" t="s">
        <v>2398</v>
      </c>
      <c r="I2100" s="12" t="s">
        <v>1264</v>
      </c>
      <c r="J2100" s="11" t="s">
        <v>2805</v>
      </c>
    </row>
    <row r="2101" spans="1:10" s="10" customFormat="1" x14ac:dyDescent="0.25">
      <c r="A2101" s="21" t="s">
        <v>1298</v>
      </c>
      <c r="D2101" s="25"/>
      <c r="E2101" s="11"/>
      <c r="F2101" s="26">
        <v>3101</v>
      </c>
      <c r="G2101" s="11" t="s">
        <v>3804</v>
      </c>
      <c r="H2101" s="11" t="s">
        <v>2398</v>
      </c>
      <c r="I2101" s="12" t="s">
        <v>1299</v>
      </c>
      <c r="J2101" s="11" t="s">
        <v>2805</v>
      </c>
    </row>
    <row r="2102" spans="1:10" s="10" customFormat="1" x14ac:dyDescent="0.25">
      <c r="A2102" s="21" t="s">
        <v>1174</v>
      </c>
      <c r="D2102" s="25"/>
      <c r="E2102" s="11"/>
      <c r="F2102" s="26">
        <v>3170</v>
      </c>
      <c r="G2102" s="11" t="s">
        <v>1175</v>
      </c>
      <c r="H2102" s="11" t="s">
        <v>2398</v>
      </c>
      <c r="I2102" s="12" t="s">
        <v>1175</v>
      </c>
      <c r="J2102" s="11" t="s">
        <v>2805</v>
      </c>
    </row>
    <row r="2103" spans="1:10" s="10" customFormat="1" x14ac:dyDescent="0.25">
      <c r="A2103" s="21" t="s">
        <v>1177</v>
      </c>
      <c r="D2103" s="25"/>
      <c r="E2103" s="11"/>
      <c r="F2103" s="26">
        <v>3142</v>
      </c>
      <c r="G2103" s="11" t="s">
        <v>1178</v>
      </c>
      <c r="H2103" s="11" t="s">
        <v>2398</v>
      </c>
      <c r="I2103" s="12" t="s">
        <v>1178</v>
      </c>
      <c r="J2103" s="11" t="s">
        <v>2805</v>
      </c>
    </row>
    <row r="2104" spans="1:10" s="10" customFormat="1" x14ac:dyDescent="0.25">
      <c r="A2104" s="21" t="s">
        <v>1180</v>
      </c>
      <c r="D2104" s="25"/>
      <c r="E2104" s="11"/>
      <c r="F2104" s="26">
        <v>3262</v>
      </c>
      <c r="G2104" s="11" t="s">
        <v>1660</v>
      </c>
      <c r="H2104" s="11" t="s">
        <v>2398</v>
      </c>
      <c r="I2104" s="12" t="s">
        <v>1660</v>
      </c>
      <c r="J2104" s="11" t="s">
        <v>2805</v>
      </c>
    </row>
    <row r="2105" spans="1:10" s="10" customFormat="1" x14ac:dyDescent="0.25">
      <c r="A2105" s="21" t="s">
        <v>1182</v>
      </c>
      <c r="D2105" s="25"/>
      <c r="E2105" s="11"/>
      <c r="F2105" s="26">
        <v>3122</v>
      </c>
      <c r="G2105" s="11" t="s">
        <v>1183</v>
      </c>
      <c r="H2105" s="11" t="s">
        <v>2398</v>
      </c>
      <c r="I2105" s="12" t="s">
        <v>1183</v>
      </c>
      <c r="J2105" s="11" t="s">
        <v>2805</v>
      </c>
    </row>
    <row r="2106" spans="1:10" s="10" customFormat="1" x14ac:dyDescent="0.25">
      <c r="A2106" s="21" t="s">
        <v>1244</v>
      </c>
      <c r="D2106" s="25"/>
      <c r="E2106" s="11"/>
      <c r="F2106" s="26">
        <v>3228</v>
      </c>
      <c r="G2106" s="11" t="s">
        <v>1245</v>
      </c>
      <c r="H2106" s="11" t="s">
        <v>2398</v>
      </c>
      <c r="I2106" s="12" t="s">
        <v>1245</v>
      </c>
      <c r="J2106" s="11" t="s">
        <v>2800</v>
      </c>
    </row>
    <row r="2107" spans="1:10" s="10" customFormat="1" x14ac:dyDescent="0.25">
      <c r="A2107" s="21" t="s">
        <v>1248</v>
      </c>
      <c r="D2107" s="25"/>
      <c r="E2107" s="11"/>
      <c r="F2107" s="26">
        <v>3280</v>
      </c>
      <c r="G2107" s="11" t="s">
        <v>1479</v>
      </c>
      <c r="H2107" s="11" t="s">
        <v>2398</v>
      </c>
      <c r="I2107" s="12" t="s">
        <v>1479</v>
      </c>
      <c r="J2107" s="11" t="s">
        <v>2800</v>
      </c>
    </row>
    <row r="2108" spans="1:10" s="10" customFormat="1" x14ac:dyDescent="0.25">
      <c r="A2108" s="21" t="s">
        <v>1186</v>
      </c>
      <c r="D2108" s="25"/>
      <c r="E2108" s="11"/>
      <c r="F2108" s="26">
        <v>3260</v>
      </c>
      <c r="G2108" s="11" t="s">
        <v>1187</v>
      </c>
      <c r="H2108" s="11" t="s">
        <v>2398</v>
      </c>
      <c r="I2108" s="12" t="s">
        <v>1187</v>
      </c>
      <c r="J2108" s="11" t="s">
        <v>2800</v>
      </c>
    </row>
    <row r="2109" spans="1:10" s="10" customFormat="1" x14ac:dyDescent="0.25">
      <c r="A2109" s="21" t="s">
        <v>3814</v>
      </c>
      <c r="D2109" s="25"/>
      <c r="E2109" s="11"/>
      <c r="F2109" s="26">
        <v>3200</v>
      </c>
      <c r="G2109" s="11" t="s">
        <v>3815</v>
      </c>
      <c r="H2109" s="11" t="s">
        <v>2398</v>
      </c>
      <c r="I2109" s="12" t="s">
        <v>3815</v>
      </c>
      <c r="J2109" s="11" t="s">
        <v>2800</v>
      </c>
    </row>
    <row r="2110" spans="1:10" s="10" customFormat="1" x14ac:dyDescent="0.25">
      <c r="A2110" s="21" t="s">
        <v>3817</v>
      </c>
      <c r="D2110" s="25"/>
      <c r="E2110" s="11"/>
      <c r="F2110" s="26">
        <v>3202</v>
      </c>
      <c r="G2110" s="11" t="s">
        <v>3815</v>
      </c>
      <c r="H2110" s="11" t="s">
        <v>2398</v>
      </c>
      <c r="I2110" s="12" t="s">
        <v>1242</v>
      </c>
      <c r="J2110" s="11" t="s">
        <v>2805</v>
      </c>
    </row>
    <row r="2111" spans="1:10" s="10" customFormat="1" x14ac:dyDescent="0.25">
      <c r="A2111" s="21" t="s">
        <v>1190</v>
      </c>
      <c r="D2111" s="25"/>
      <c r="E2111" s="11"/>
      <c r="F2111" s="26">
        <v>3116</v>
      </c>
      <c r="G2111" s="11" t="s">
        <v>2876</v>
      </c>
      <c r="H2111" s="11" t="s">
        <v>2398</v>
      </c>
      <c r="I2111" s="12" t="s">
        <v>2876</v>
      </c>
      <c r="J2111" s="11" t="s">
        <v>2805</v>
      </c>
    </row>
    <row r="2112" spans="1:10" s="10" customFormat="1" x14ac:dyDescent="0.25">
      <c r="A2112" s="21" t="s">
        <v>2878</v>
      </c>
      <c r="D2112" s="25"/>
      <c r="E2112" s="11"/>
      <c r="F2112" s="26">
        <v>3105</v>
      </c>
      <c r="G2112" s="11" t="s">
        <v>2879</v>
      </c>
      <c r="H2112" s="11" t="s">
        <v>2398</v>
      </c>
      <c r="I2112" s="12" t="s">
        <v>2879</v>
      </c>
      <c r="J2112" s="11" t="s">
        <v>2805</v>
      </c>
    </row>
    <row r="2113" spans="1:10" s="10" customFormat="1" x14ac:dyDescent="0.25">
      <c r="A2113" s="21" t="s">
        <v>1251</v>
      </c>
      <c r="D2113" s="25"/>
      <c r="E2113" s="11"/>
      <c r="F2113" s="26">
        <v>3206</v>
      </c>
      <c r="G2113" s="11" t="s">
        <v>1252</v>
      </c>
      <c r="H2113" s="11" t="s">
        <v>2398</v>
      </c>
      <c r="I2113" s="12" t="s">
        <v>1252</v>
      </c>
      <c r="J2113" s="11" t="s">
        <v>2805</v>
      </c>
    </row>
    <row r="2114" spans="1:10" s="10" customFormat="1" x14ac:dyDescent="0.25">
      <c r="A2114" s="21" t="s">
        <v>1255</v>
      </c>
      <c r="D2114" s="25"/>
      <c r="E2114" s="11"/>
      <c r="F2114" s="26">
        <v>3180</v>
      </c>
      <c r="G2114" s="11" t="s">
        <v>1256</v>
      </c>
      <c r="H2114" s="11" t="s">
        <v>2398</v>
      </c>
      <c r="I2114" s="12" t="s">
        <v>1256</v>
      </c>
      <c r="J2114" s="11" t="s">
        <v>2805</v>
      </c>
    </row>
    <row r="2115" spans="1:10" s="10" customFormat="1" x14ac:dyDescent="0.25">
      <c r="A2115" s="21" t="s">
        <v>1259</v>
      </c>
      <c r="D2115" s="25"/>
      <c r="E2115" s="11"/>
      <c r="F2115" s="26">
        <v>3216</v>
      </c>
      <c r="G2115" s="11" t="s">
        <v>1262</v>
      </c>
      <c r="H2115" s="11" t="s">
        <v>2398</v>
      </c>
      <c r="I2115" s="12" t="s">
        <v>1260</v>
      </c>
      <c r="J2115" s="11" t="s">
        <v>2805</v>
      </c>
    </row>
    <row r="2116" spans="1:10" s="10" customFormat="1" x14ac:dyDescent="0.25">
      <c r="A2116" s="21" t="s">
        <v>2882</v>
      </c>
      <c r="D2116" s="25"/>
      <c r="E2116" s="11"/>
      <c r="F2116" s="26">
        <v>2843</v>
      </c>
      <c r="G2116" s="11" t="s">
        <v>2886</v>
      </c>
      <c r="H2116" s="11" t="s">
        <v>2398</v>
      </c>
      <c r="I2116" s="12" t="s">
        <v>2883</v>
      </c>
      <c r="J2116" s="11" t="s">
        <v>2805</v>
      </c>
    </row>
    <row r="2117" spans="1:10" s="10" customFormat="1" x14ac:dyDescent="0.25">
      <c r="A2117" s="21" t="s">
        <v>2887</v>
      </c>
      <c r="D2117" s="25"/>
      <c r="E2117" s="11"/>
      <c r="F2117" s="26">
        <v>3164</v>
      </c>
      <c r="G2117" s="11" t="s">
        <v>2891</v>
      </c>
      <c r="H2117" s="11" t="s">
        <v>2398</v>
      </c>
      <c r="I2117" s="12" t="s">
        <v>2888</v>
      </c>
      <c r="J2117" s="11" t="s">
        <v>2805</v>
      </c>
    </row>
    <row r="2118" spans="1:10" s="10" customFormat="1" x14ac:dyDescent="0.25">
      <c r="A2118" s="21" t="s">
        <v>1212</v>
      </c>
      <c r="D2118" s="25"/>
      <c r="E2118" s="11"/>
      <c r="F2118" s="26">
        <v>3177</v>
      </c>
      <c r="G2118" s="11" t="s">
        <v>2998</v>
      </c>
      <c r="H2118" s="11" t="s">
        <v>2398</v>
      </c>
      <c r="I2118" s="12" t="s">
        <v>1213</v>
      </c>
      <c r="J2118" s="11" t="s">
        <v>2805</v>
      </c>
    </row>
    <row r="2119" spans="1:10" s="10" customFormat="1" x14ac:dyDescent="0.25">
      <c r="A2119" s="21" t="s">
        <v>2892</v>
      </c>
      <c r="D2119" s="25"/>
      <c r="E2119" s="11"/>
      <c r="F2119" s="26">
        <v>2845</v>
      </c>
      <c r="G2119" s="11" t="s">
        <v>2895</v>
      </c>
      <c r="H2119" s="11" t="s">
        <v>2398</v>
      </c>
      <c r="I2119" s="12" t="s">
        <v>2893</v>
      </c>
      <c r="J2119" s="11" t="s">
        <v>2805</v>
      </c>
    </row>
    <row r="2120" spans="1:10" s="10" customFormat="1" x14ac:dyDescent="0.25">
      <c r="A2120" s="21" t="s">
        <v>2896</v>
      </c>
      <c r="D2120" s="25"/>
      <c r="E2120" s="11"/>
      <c r="F2120" s="26">
        <v>2840</v>
      </c>
      <c r="G2120" s="11" t="s">
        <v>2897</v>
      </c>
      <c r="H2120" s="11" t="s">
        <v>2398</v>
      </c>
      <c r="I2120" s="12" t="s">
        <v>2897</v>
      </c>
      <c r="J2120" s="11" t="s">
        <v>2800</v>
      </c>
    </row>
    <row r="2121" spans="1:10" s="10" customFormat="1" x14ac:dyDescent="0.25">
      <c r="A2121" s="21" t="s">
        <v>2899</v>
      </c>
      <c r="D2121" s="25"/>
      <c r="E2121" s="11"/>
      <c r="F2121" s="26">
        <v>2820</v>
      </c>
      <c r="G2121" s="11" t="s">
        <v>2900</v>
      </c>
      <c r="H2121" s="11" t="s">
        <v>2398</v>
      </c>
      <c r="I2121" s="12" t="s">
        <v>2900</v>
      </c>
      <c r="J2121" s="11" t="s">
        <v>2800</v>
      </c>
    </row>
    <row r="2122" spans="1:10" s="10" customFormat="1" x14ac:dyDescent="0.25">
      <c r="A2122" s="21" t="s">
        <v>2903</v>
      </c>
      <c r="D2122" s="25"/>
      <c r="E2122" s="11"/>
      <c r="F2122" s="26">
        <v>3134</v>
      </c>
      <c r="G2122" s="11" t="s">
        <v>2904</v>
      </c>
      <c r="H2122" s="11" t="s">
        <v>2398</v>
      </c>
      <c r="I2122" s="12" t="s">
        <v>2904</v>
      </c>
      <c r="J2122" s="11" t="s">
        <v>2805</v>
      </c>
    </row>
    <row r="2123" spans="1:10" s="10" customFormat="1" x14ac:dyDescent="0.25">
      <c r="A2123" s="21" t="s">
        <v>2906</v>
      </c>
      <c r="D2123" s="25"/>
      <c r="E2123" s="11"/>
      <c r="F2123" s="26">
        <v>3127</v>
      </c>
      <c r="G2123" s="11" t="s">
        <v>2907</v>
      </c>
      <c r="H2123" s="11" t="s">
        <v>2398</v>
      </c>
      <c r="I2123" s="12" t="s">
        <v>2907</v>
      </c>
      <c r="J2123" s="11" t="s">
        <v>2805</v>
      </c>
    </row>
    <row r="2124" spans="1:10" s="10" customFormat="1" x14ac:dyDescent="0.25">
      <c r="A2124" s="21" t="s">
        <v>2909</v>
      </c>
      <c r="D2124" s="25"/>
      <c r="E2124" s="11"/>
      <c r="F2124" s="26">
        <v>3156</v>
      </c>
      <c r="G2124" s="11" t="s">
        <v>2910</v>
      </c>
      <c r="H2124" s="11" t="s">
        <v>2398</v>
      </c>
      <c r="I2124" s="12" t="s">
        <v>2910</v>
      </c>
      <c r="J2124" s="11" t="s">
        <v>2805</v>
      </c>
    </row>
    <row r="2125" spans="1:10" s="10" customFormat="1" x14ac:dyDescent="0.25">
      <c r="A2125" s="21" t="s">
        <v>2913</v>
      </c>
      <c r="D2125" s="25"/>
      <c r="E2125" s="11"/>
      <c r="F2125" s="26">
        <v>2846</v>
      </c>
      <c r="G2125" s="11" t="s">
        <v>2914</v>
      </c>
      <c r="H2125" s="11" t="s">
        <v>2398</v>
      </c>
      <c r="I2125" s="12" t="s">
        <v>2914</v>
      </c>
      <c r="J2125" s="11" t="s">
        <v>2805</v>
      </c>
    </row>
    <row r="2126" spans="1:10" s="10" customFormat="1" x14ac:dyDescent="0.25">
      <c r="A2126" s="21" t="s">
        <v>2920</v>
      </c>
      <c r="D2126" s="25"/>
      <c r="E2126" s="11"/>
      <c r="F2126" s="26">
        <v>3190</v>
      </c>
      <c r="G2126" s="11" t="s">
        <v>346</v>
      </c>
      <c r="H2126" s="11" t="s">
        <v>2398</v>
      </c>
      <c r="I2126" s="12" t="s">
        <v>346</v>
      </c>
      <c r="J2126" s="11" t="s">
        <v>2805</v>
      </c>
    </row>
    <row r="2127" spans="1:10" s="10" customFormat="1" x14ac:dyDescent="0.25">
      <c r="A2127" s="21" t="s">
        <v>1205</v>
      </c>
      <c r="D2127" s="25"/>
      <c r="E2127" s="11"/>
      <c r="F2127" s="26">
        <v>2854</v>
      </c>
      <c r="G2127" s="11" t="s">
        <v>1206</v>
      </c>
      <c r="H2127" s="11" t="s">
        <v>2398</v>
      </c>
      <c r="I2127" s="12" t="s">
        <v>1206</v>
      </c>
      <c r="J2127" s="11" t="s">
        <v>2805</v>
      </c>
    </row>
    <row r="2128" spans="1:10" s="10" customFormat="1" x14ac:dyDescent="0.25">
      <c r="A2128" s="21" t="s">
        <v>1208</v>
      </c>
      <c r="D2128" s="25"/>
      <c r="E2128" s="11"/>
      <c r="F2128" s="26">
        <v>3158</v>
      </c>
      <c r="G2128" s="11" t="s">
        <v>1209</v>
      </c>
      <c r="H2128" s="11" t="s">
        <v>2398</v>
      </c>
      <c r="I2128" s="12" t="s">
        <v>1209</v>
      </c>
      <c r="J2128" s="11" t="s">
        <v>2805</v>
      </c>
    </row>
    <row r="2129" spans="1:10" s="10" customFormat="1" x14ac:dyDescent="0.25">
      <c r="A2129" s="21" t="s">
        <v>2999</v>
      </c>
      <c r="D2129" s="25"/>
      <c r="E2129" s="11"/>
      <c r="F2129" s="26">
        <v>3133</v>
      </c>
      <c r="G2129" s="11" t="s">
        <v>3000</v>
      </c>
      <c r="H2129" s="11" t="s">
        <v>2398</v>
      </c>
      <c r="I2129" s="12" t="s">
        <v>3000</v>
      </c>
      <c r="J2129" s="11" t="s">
        <v>2805</v>
      </c>
    </row>
    <row r="2130" spans="1:10" s="10" customFormat="1" x14ac:dyDescent="0.25">
      <c r="A2130" s="21" t="s">
        <v>3002</v>
      </c>
      <c r="D2130" s="25"/>
      <c r="E2130" s="11"/>
      <c r="F2130" s="26">
        <v>3150</v>
      </c>
      <c r="G2130" s="11" t="s">
        <v>3003</v>
      </c>
      <c r="H2130" s="11" t="s">
        <v>2398</v>
      </c>
      <c r="I2130" s="12" t="s">
        <v>3003</v>
      </c>
      <c r="J2130" s="11" t="s">
        <v>2805</v>
      </c>
    </row>
    <row r="2131" spans="1:10" s="10" customFormat="1" x14ac:dyDescent="0.25">
      <c r="A2131" s="21" t="s">
        <v>1166</v>
      </c>
      <c r="D2131" s="25"/>
      <c r="E2131" s="11"/>
      <c r="F2131" s="26">
        <v>3100</v>
      </c>
      <c r="G2131" s="11" t="s">
        <v>4780</v>
      </c>
      <c r="H2131" s="11" t="s">
        <v>2398</v>
      </c>
      <c r="I2131" s="12" t="s">
        <v>4780</v>
      </c>
      <c r="J2131" s="11" t="s">
        <v>2800</v>
      </c>
    </row>
    <row r="2132" spans="1:10" s="10" customFormat="1" x14ac:dyDescent="0.25">
      <c r="A2132" s="21" t="s">
        <v>3740</v>
      </c>
      <c r="D2132" s="25"/>
      <c r="E2132" s="11"/>
      <c r="F2132" s="26">
        <v>3104</v>
      </c>
      <c r="G2132" s="11" t="s">
        <v>4780</v>
      </c>
      <c r="H2132" s="11" t="s">
        <v>2398</v>
      </c>
      <c r="I2132" s="12" t="s">
        <v>3741</v>
      </c>
      <c r="J2132" s="11" t="s">
        <v>2805</v>
      </c>
    </row>
    <row r="2133" spans="1:10" s="10" customFormat="1" x14ac:dyDescent="0.25">
      <c r="A2133" s="21" t="s">
        <v>3743</v>
      </c>
      <c r="D2133" s="25"/>
      <c r="E2133" s="11"/>
      <c r="F2133" s="26">
        <v>3104</v>
      </c>
      <c r="G2133" s="11" t="s">
        <v>4780</v>
      </c>
      <c r="H2133" s="11" t="s">
        <v>2398</v>
      </c>
      <c r="I2133" s="12" t="s">
        <v>3744</v>
      </c>
      <c r="J2133" s="11" t="s">
        <v>2805</v>
      </c>
    </row>
    <row r="2134" spans="1:10" s="10" customFormat="1" x14ac:dyDescent="0.25">
      <c r="A2134" s="21" t="s">
        <v>3747</v>
      </c>
      <c r="D2134" s="25"/>
      <c r="E2134" s="11"/>
      <c r="F2134" s="26">
        <v>3100</v>
      </c>
      <c r="G2134" s="11" t="s">
        <v>4780</v>
      </c>
      <c r="H2134" s="11" t="s">
        <v>2398</v>
      </c>
      <c r="I2134" s="12" t="s">
        <v>3748</v>
      </c>
      <c r="J2134" s="11" t="s">
        <v>2805</v>
      </c>
    </row>
    <row r="2135" spans="1:10" s="10" customFormat="1" x14ac:dyDescent="0.25">
      <c r="A2135" s="21" t="s">
        <v>3751</v>
      </c>
      <c r="D2135" s="25"/>
      <c r="E2135" s="11"/>
      <c r="F2135" s="26">
        <v>3102</v>
      </c>
      <c r="G2135" s="11" t="s">
        <v>4780</v>
      </c>
      <c r="H2135" s="11" t="s">
        <v>2398</v>
      </c>
      <c r="I2135" s="12" t="s">
        <v>1168</v>
      </c>
      <c r="J2135" s="11" t="s">
        <v>2805</v>
      </c>
    </row>
    <row r="2136" spans="1:10" s="10" customFormat="1" x14ac:dyDescent="0.25">
      <c r="A2136" s="21" t="s">
        <v>1170</v>
      </c>
      <c r="D2136" s="25"/>
      <c r="E2136" s="11"/>
      <c r="F2136" s="26">
        <v>3138</v>
      </c>
      <c r="G2136" s="11" t="s">
        <v>1173</v>
      </c>
      <c r="H2136" s="11" t="s">
        <v>2398</v>
      </c>
      <c r="I2136" s="12" t="s">
        <v>1171</v>
      </c>
      <c r="J2136" s="11" t="s">
        <v>2805</v>
      </c>
    </row>
    <row r="2137" spans="1:10" s="10" customFormat="1" x14ac:dyDescent="0.25">
      <c r="A2137" s="21" t="s">
        <v>1267</v>
      </c>
      <c r="D2137" s="25"/>
      <c r="E2137" s="11"/>
      <c r="F2137" s="26">
        <v>3246</v>
      </c>
      <c r="G2137" s="11" t="s">
        <v>1268</v>
      </c>
      <c r="H2137" s="11" t="s">
        <v>2398</v>
      </c>
      <c r="I2137" s="12" t="s">
        <v>1268</v>
      </c>
      <c r="J2137" s="11" t="s">
        <v>2805</v>
      </c>
    </row>
    <row r="2138" spans="1:10" s="10" customFormat="1" x14ac:dyDescent="0.25">
      <c r="A2138" s="21" t="s">
        <v>3005</v>
      </c>
      <c r="D2138" s="25"/>
      <c r="E2138" s="11"/>
      <c r="F2138" s="26">
        <v>3174</v>
      </c>
      <c r="G2138" s="11" t="s">
        <v>3006</v>
      </c>
      <c r="H2138" s="11" t="s">
        <v>2398</v>
      </c>
      <c r="I2138" s="12" t="s">
        <v>3006</v>
      </c>
      <c r="J2138" s="11" t="s">
        <v>2805</v>
      </c>
    </row>
    <row r="2139" spans="1:10" s="10" customFormat="1" x14ac:dyDescent="0.25">
      <c r="A2139" s="21" t="s">
        <v>1271</v>
      </c>
      <c r="D2139" s="25"/>
      <c r="E2139" s="11"/>
      <c r="F2139" s="26">
        <v>3185</v>
      </c>
      <c r="G2139" s="11" t="s">
        <v>1272</v>
      </c>
      <c r="H2139" s="11" t="s">
        <v>2398</v>
      </c>
      <c r="I2139" s="12" t="s">
        <v>1272</v>
      </c>
      <c r="J2139" s="11" t="s">
        <v>2805</v>
      </c>
    </row>
    <row r="2140" spans="1:10" s="10" customFormat="1" x14ac:dyDescent="0.25">
      <c r="A2140" s="21" t="s">
        <v>1274</v>
      </c>
      <c r="D2140" s="25"/>
      <c r="E2140" s="11"/>
      <c r="F2140" s="26">
        <v>3283</v>
      </c>
      <c r="G2140" s="11" t="s">
        <v>1275</v>
      </c>
      <c r="H2140" s="11" t="s">
        <v>2398</v>
      </c>
      <c r="I2140" s="12" t="s">
        <v>1275</v>
      </c>
      <c r="J2140" s="11" t="s">
        <v>2805</v>
      </c>
    </row>
    <row r="2141" spans="1:10" s="10" customFormat="1" x14ac:dyDescent="0.25">
      <c r="A2141" s="21" t="s">
        <v>1278</v>
      </c>
      <c r="D2141" s="25"/>
      <c r="E2141" s="11"/>
      <c r="F2141" s="26">
        <v>3187</v>
      </c>
      <c r="G2141" s="11" t="s">
        <v>1281</v>
      </c>
      <c r="H2141" s="11" t="s">
        <v>2398</v>
      </c>
      <c r="I2141" s="12" t="s">
        <v>1279</v>
      </c>
      <c r="J2141" s="11" t="s">
        <v>2805</v>
      </c>
    </row>
    <row r="2142" spans="1:10" s="10" customFormat="1" x14ac:dyDescent="0.25">
      <c r="A2142" s="21" t="s">
        <v>1282</v>
      </c>
      <c r="D2142" s="25"/>
      <c r="E2142" s="11"/>
      <c r="F2142" s="26">
        <v>3218</v>
      </c>
      <c r="G2142" s="11" t="s">
        <v>1283</v>
      </c>
      <c r="H2142" s="11" t="s">
        <v>2398</v>
      </c>
      <c r="I2142" s="12" t="s">
        <v>1283</v>
      </c>
      <c r="J2142" s="11" t="s">
        <v>2805</v>
      </c>
    </row>
    <row r="2143" spans="1:10" s="10" customFormat="1" x14ac:dyDescent="0.25">
      <c r="A2143" s="21" t="s">
        <v>3008</v>
      </c>
      <c r="D2143" s="25"/>
      <c r="E2143" s="11"/>
      <c r="F2143" s="26">
        <v>3192</v>
      </c>
      <c r="G2143" s="11" t="s">
        <v>3009</v>
      </c>
      <c r="H2143" s="11" t="s">
        <v>2398</v>
      </c>
      <c r="I2143" s="12" t="s">
        <v>3009</v>
      </c>
      <c r="J2143" s="11" t="s">
        <v>2805</v>
      </c>
    </row>
    <row r="2144" spans="1:10" s="10" customFormat="1" x14ac:dyDescent="0.25">
      <c r="A2144" s="21" t="s">
        <v>3011</v>
      </c>
      <c r="D2144" s="25"/>
      <c r="E2144" s="11"/>
      <c r="F2144" s="26">
        <v>3117</v>
      </c>
      <c r="G2144" s="11" t="s">
        <v>1293</v>
      </c>
      <c r="H2144" s="11" t="s">
        <v>2398</v>
      </c>
      <c r="I2144" s="12" t="s">
        <v>1293</v>
      </c>
      <c r="J2144" s="11" t="s">
        <v>2805</v>
      </c>
    </row>
    <row r="2145" spans="1:10" s="10" customFormat="1" x14ac:dyDescent="0.25">
      <c r="A2145" s="21" t="s">
        <v>1285</v>
      </c>
      <c r="D2145" s="25"/>
      <c r="E2145" s="11"/>
      <c r="F2145" s="26">
        <v>3287</v>
      </c>
      <c r="G2145" s="11" t="s">
        <v>1286</v>
      </c>
      <c r="H2145" s="11" t="s">
        <v>2398</v>
      </c>
      <c r="I2145" s="12" t="s">
        <v>1286</v>
      </c>
      <c r="J2145" s="11" t="s">
        <v>2805</v>
      </c>
    </row>
    <row r="2146" spans="1:10" s="10" customFormat="1" x14ac:dyDescent="0.25">
      <c r="A2146" s="21" t="s">
        <v>1295</v>
      </c>
      <c r="D2146" s="25"/>
      <c r="E2146" s="11"/>
      <c r="F2146" s="26">
        <v>2826</v>
      </c>
      <c r="G2146" s="11" t="s">
        <v>1296</v>
      </c>
      <c r="H2146" s="11" t="s">
        <v>2398</v>
      </c>
      <c r="I2146" s="12" t="s">
        <v>1296</v>
      </c>
      <c r="J2146" s="11" t="s">
        <v>2805</v>
      </c>
    </row>
    <row r="2147" spans="1:10" s="10" customFormat="1" x14ac:dyDescent="0.25">
      <c r="A2147" s="21" t="s">
        <v>3805</v>
      </c>
      <c r="D2147" s="25"/>
      <c r="E2147" s="11"/>
      <c r="F2147" s="26">
        <v>3109</v>
      </c>
      <c r="G2147" s="11" t="s">
        <v>3806</v>
      </c>
      <c r="H2147" s="11" t="s">
        <v>2398</v>
      </c>
      <c r="I2147" s="12" t="s">
        <v>3806</v>
      </c>
      <c r="J2147" s="11" t="s">
        <v>2805</v>
      </c>
    </row>
    <row r="2148" spans="1:10" s="10" customFormat="1" x14ac:dyDescent="0.25">
      <c r="A2148" s="21" t="s">
        <v>3808</v>
      </c>
      <c r="D2148" s="25"/>
      <c r="E2148" s="11"/>
      <c r="F2148" s="26">
        <v>3153</v>
      </c>
      <c r="G2148" s="11" t="s">
        <v>4717</v>
      </c>
      <c r="H2148" s="11" t="s">
        <v>2398</v>
      </c>
      <c r="I2148" s="12" t="s">
        <v>4717</v>
      </c>
      <c r="J2148" s="11" t="s">
        <v>2805</v>
      </c>
    </row>
    <row r="2149" spans="1:10" s="10" customFormat="1" x14ac:dyDescent="0.25">
      <c r="A2149" s="21" t="s">
        <v>1289</v>
      </c>
      <c r="D2149" s="25"/>
      <c r="E2149" s="11"/>
      <c r="F2149" s="26">
        <v>3252</v>
      </c>
      <c r="G2149" s="11" t="s">
        <v>1290</v>
      </c>
      <c r="H2149" s="11" t="s">
        <v>2398</v>
      </c>
      <c r="I2149" s="12" t="s">
        <v>1290</v>
      </c>
      <c r="J2149" s="11" t="s">
        <v>2805</v>
      </c>
    </row>
    <row r="2150" spans="1:10" s="10" customFormat="1" x14ac:dyDescent="0.25">
      <c r="A2150" s="21" t="s">
        <v>3895</v>
      </c>
      <c r="D2150" s="25"/>
      <c r="E2150" s="11"/>
      <c r="F2150" s="26">
        <v>3265</v>
      </c>
      <c r="G2150" s="11" t="s">
        <v>3405</v>
      </c>
      <c r="H2150" s="11" t="s">
        <v>2398</v>
      </c>
      <c r="I2150" s="12" t="s">
        <v>3405</v>
      </c>
      <c r="J2150" s="11" t="s">
        <v>2805</v>
      </c>
    </row>
    <row r="2151" spans="1:10" s="10" customFormat="1" x14ac:dyDescent="0.25">
      <c r="A2151" s="21" t="s">
        <v>3810</v>
      </c>
      <c r="D2151" s="25"/>
      <c r="E2151" s="11"/>
      <c r="F2151" s="26">
        <v>3103</v>
      </c>
      <c r="G2151" s="11" t="s">
        <v>3813</v>
      </c>
      <c r="H2151" s="11" t="s">
        <v>2398</v>
      </c>
      <c r="I2151" s="12" t="s">
        <v>3811</v>
      </c>
      <c r="J2151" s="11" t="s">
        <v>2805</v>
      </c>
    </row>
    <row r="2152" spans="1:10" s="10" customFormat="1" x14ac:dyDescent="0.25">
      <c r="A2152" s="21" t="s">
        <v>2916</v>
      </c>
      <c r="D2152" s="25"/>
      <c r="E2152" s="11"/>
      <c r="F2152" s="26">
        <v>2823</v>
      </c>
      <c r="G2152" s="11" t="s">
        <v>2917</v>
      </c>
      <c r="H2152" s="11" t="s">
        <v>2398</v>
      </c>
      <c r="I2152" s="12" t="s">
        <v>2917</v>
      </c>
      <c r="J2152" s="11" t="s">
        <v>2805</v>
      </c>
    </row>
    <row r="2153" spans="1:10" s="10" customFormat="1" x14ac:dyDescent="0.25">
      <c r="A2153" s="21" t="s">
        <v>3898</v>
      </c>
      <c r="D2153" s="25"/>
      <c r="E2153" s="11"/>
      <c r="F2153" s="26">
        <v>3248</v>
      </c>
      <c r="G2153" s="11" t="s">
        <v>3899</v>
      </c>
      <c r="H2153" s="11" t="s">
        <v>2398</v>
      </c>
      <c r="I2153" s="12" t="s">
        <v>3899</v>
      </c>
      <c r="J2153" s="11" t="s">
        <v>2805</v>
      </c>
    </row>
    <row r="2154" spans="1:10" s="10" customFormat="1" x14ac:dyDescent="0.25">
      <c r="A2154" s="21" t="s">
        <v>3902</v>
      </c>
      <c r="D2154" s="25"/>
      <c r="E2154" s="11"/>
      <c r="F2154" s="26">
        <v>3240</v>
      </c>
      <c r="G2154" s="11" t="s">
        <v>3903</v>
      </c>
      <c r="H2154" s="11" t="s">
        <v>2398</v>
      </c>
      <c r="I2154" s="12" t="s">
        <v>3903</v>
      </c>
      <c r="J2154" s="11" t="s">
        <v>2800</v>
      </c>
    </row>
    <row r="2155" spans="1:10" s="10" customFormat="1" x14ac:dyDescent="0.25">
      <c r="A2155" s="21" t="s">
        <v>4765</v>
      </c>
      <c r="D2155" s="25"/>
      <c r="E2155" s="11"/>
      <c r="F2155" s="26">
        <v>3610</v>
      </c>
      <c r="G2155" s="11" t="s">
        <v>4766</v>
      </c>
      <c r="H2155" s="11" t="s">
        <v>4792</v>
      </c>
      <c r="I2155" s="12" t="s">
        <v>4766</v>
      </c>
      <c r="J2155" s="11" t="s">
        <v>2805</v>
      </c>
    </row>
    <row r="2156" spans="1:10" s="10" customFormat="1" x14ac:dyDescent="0.25">
      <c r="A2156" s="21" t="s">
        <v>4068</v>
      </c>
      <c r="D2156" s="25"/>
      <c r="E2156" s="11"/>
      <c r="F2156" s="26">
        <v>3601</v>
      </c>
      <c r="G2156" s="11" t="s">
        <v>4072</v>
      </c>
      <c r="H2156" s="11" t="s">
        <v>4792</v>
      </c>
      <c r="I2156" s="12" t="s">
        <v>4069</v>
      </c>
      <c r="J2156" s="11" t="s">
        <v>2805</v>
      </c>
    </row>
    <row r="2157" spans="1:10" s="10" customFormat="1" x14ac:dyDescent="0.25">
      <c r="A2157" s="21" t="s">
        <v>4103</v>
      </c>
      <c r="D2157" s="25"/>
      <c r="E2157" s="11"/>
      <c r="F2157" s="26">
        <v>3620</v>
      </c>
      <c r="G2157" s="11" t="s">
        <v>4106</v>
      </c>
      <c r="H2157" s="11" t="s">
        <v>4792</v>
      </c>
      <c r="I2157" s="12" t="s">
        <v>4104</v>
      </c>
      <c r="J2157" s="11" t="s">
        <v>2805</v>
      </c>
    </row>
    <row r="2158" spans="1:10" s="10" customFormat="1" x14ac:dyDescent="0.25">
      <c r="A2158" s="21" t="s">
        <v>4793</v>
      </c>
      <c r="D2158" s="25"/>
      <c r="E2158" s="11"/>
      <c r="F2158" s="26">
        <v>3603</v>
      </c>
      <c r="G2158" s="11" t="s">
        <v>4794</v>
      </c>
      <c r="H2158" s="11" t="s">
        <v>4792</v>
      </c>
      <c r="I2158" s="12" t="s">
        <v>4794</v>
      </c>
      <c r="J2158" s="11" t="s">
        <v>2805</v>
      </c>
    </row>
    <row r="2159" spans="1:10" s="10" customFormat="1" x14ac:dyDescent="0.25">
      <c r="A2159" s="21" t="s">
        <v>4796</v>
      </c>
      <c r="D2159" s="25"/>
      <c r="E2159" s="11"/>
      <c r="F2159" s="26">
        <v>3615</v>
      </c>
      <c r="G2159" s="11" t="s">
        <v>4797</v>
      </c>
      <c r="H2159" s="11" t="s">
        <v>4792</v>
      </c>
      <c r="I2159" s="12" t="s">
        <v>4797</v>
      </c>
      <c r="J2159" s="11" t="s">
        <v>2805</v>
      </c>
    </row>
    <row r="2160" spans="1:10" s="10" customFormat="1" x14ac:dyDescent="0.25">
      <c r="A2160" s="21" t="s">
        <v>4799</v>
      </c>
      <c r="D2160" s="25"/>
      <c r="E2160" s="11"/>
      <c r="F2160" s="26">
        <v>3626</v>
      </c>
      <c r="G2160" s="11" t="s">
        <v>4800</v>
      </c>
      <c r="H2160" s="11" t="s">
        <v>4792</v>
      </c>
      <c r="I2160" s="12" t="s">
        <v>4800</v>
      </c>
      <c r="J2160" s="11" t="s">
        <v>2805</v>
      </c>
    </row>
    <row r="2161" spans="1:10" s="10" customFormat="1" x14ac:dyDescent="0.25">
      <c r="A2161" s="21" t="s">
        <v>4802</v>
      </c>
      <c r="D2161" s="25"/>
      <c r="E2161" s="11"/>
      <c r="F2161" s="26">
        <v>3600</v>
      </c>
      <c r="G2161" s="11" t="s">
        <v>4792</v>
      </c>
      <c r="H2161" s="11" t="s">
        <v>4792</v>
      </c>
      <c r="I2161" s="12" t="s">
        <v>4792</v>
      </c>
      <c r="J2161" s="11" t="s">
        <v>2800</v>
      </c>
    </row>
    <row r="2162" spans="1:10" s="10" customFormat="1" x14ac:dyDescent="0.25">
      <c r="A2162" s="21" t="s">
        <v>4090</v>
      </c>
      <c r="D2162" s="25"/>
      <c r="E2162" s="11"/>
      <c r="F2162" s="26">
        <v>3526</v>
      </c>
      <c r="G2162" s="11" t="s">
        <v>4093</v>
      </c>
      <c r="H2162" s="11" t="s">
        <v>4792</v>
      </c>
      <c r="I2162" s="12" t="s">
        <v>4091</v>
      </c>
      <c r="J2162" s="11" t="s">
        <v>2805</v>
      </c>
    </row>
    <row r="2163" spans="1:10" s="10" customFormat="1" x14ac:dyDescent="0.25">
      <c r="A2163" s="21" t="s">
        <v>4809</v>
      </c>
      <c r="D2163" s="25"/>
      <c r="E2163" s="11"/>
      <c r="F2163" s="26">
        <v>3601</v>
      </c>
      <c r="G2163" s="11" t="s">
        <v>4810</v>
      </c>
      <c r="H2163" s="11" t="s">
        <v>4792</v>
      </c>
      <c r="I2163" s="12" t="s">
        <v>4810</v>
      </c>
      <c r="J2163" s="11" t="s">
        <v>2805</v>
      </c>
    </row>
    <row r="2164" spans="1:10" s="10" customFormat="1" x14ac:dyDescent="0.25">
      <c r="A2164" s="21" t="s">
        <v>4812</v>
      </c>
      <c r="D2164" s="25"/>
      <c r="E2164" s="11"/>
      <c r="F2164" s="26">
        <v>3624</v>
      </c>
      <c r="G2164" s="11" t="s">
        <v>4813</v>
      </c>
      <c r="H2164" s="11" t="s">
        <v>4792</v>
      </c>
      <c r="I2164" s="12" t="s">
        <v>4813</v>
      </c>
      <c r="J2164" s="11" t="s">
        <v>2805</v>
      </c>
    </row>
    <row r="2165" spans="1:10" s="10" customFormat="1" x14ac:dyDescent="0.25">
      <c r="A2165" s="21" t="s">
        <v>4815</v>
      </c>
      <c r="D2165" s="25"/>
      <c r="E2165" s="11"/>
      <c r="F2165" s="26">
        <v>3636</v>
      </c>
      <c r="G2165" s="11" t="s">
        <v>4061</v>
      </c>
      <c r="H2165" s="11" t="s">
        <v>4792</v>
      </c>
      <c r="I2165" s="12" t="s">
        <v>4816</v>
      </c>
      <c r="J2165" s="11" t="s">
        <v>2805</v>
      </c>
    </row>
    <row r="2166" spans="1:10" s="10" customFormat="1" x14ac:dyDescent="0.25">
      <c r="A2166" s="21" t="s">
        <v>4062</v>
      </c>
      <c r="D2166" s="25"/>
      <c r="E2166" s="11"/>
      <c r="F2166" s="26">
        <v>3613</v>
      </c>
      <c r="G2166" s="11" t="s">
        <v>4063</v>
      </c>
      <c r="H2166" s="11" t="s">
        <v>4792</v>
      </c>
      <c r="I2166" s="12" t="s">
        <v>4063</v>
      </c>
      <c r="J2166" s="11" t="s">
        <v>2805</v>
      </c>
    </row>
    <row r="2167" spans="1:10" s="10" customFormat="1" x14ac:dyDescent="0.25">
      <c r="A2167" s="21" t="s">
        <v>4065</v>
      </c>
      <c r="D2167" s="25"/>
      <c r="E2167" s="11"/>
      <c r="F2167" s="26">
        <v>3630</v>
      </c>
      <c r="G2167" s="11" t="s">
        <v>4066</v>
      </c>
      <c r="H2167" s="11" t="s">
        <v>4792</v>
      </c>
      <c r="I2167" s="12" t="s">
        <v>4066</v>
      </c>
      <c r="J2167" s="11" t="s">
        <v>2805</v>
      </c>
    </row>
    <row r="2168" spans="1:10" s="10" customFormat="1" x14ac:dyDescent="0.25">
      <c r="A2168" s="21" t="s">
        <v>4076</v>
      </c>
      <c r="D2168" s="25"/>
      <c r="E2168" s="11"/>
      <c r="F2168" s="26">
        <v>3608</v>
      </c>
      <c r="G2168" s="11" t="s">
        <v>4077</v>
      </c>
      <c r="H2168" s="11" t="s">
        <v>4792</v>
      </c>
      <c r="I2168" s="12" t="s">
        <v>4077</v>
      </c>
      <c r="J2168" s="11" t="s">
        <v>2805</v>
      </c>
    </row>
    <row r="2169" spans="1:10" s="10" customFormat="1" x14ac:dyDescent="0.25">
      <c r="A2169" s="21" t="s">
        <v>4079</v>
      </c>
      <c r="D2169" s="25"/>
      <c r="E2169" s="11"/>
      <c r="F2169" s="26">
        <v>3606</v>
      </c>
      <c r="G2169" s="11" t="s">
        <v>4080</v>
      </c>
      <c r="H2169" s="11" t="s">
        <v>4792</v>
      </c>
      <c r="I2169" s="12" t="s">
        <v>4080</v>
      </c>
      <c r="J2169" s="11" t="s">
        <v>2805</v>
      </c>
    </row>
    <row r="2170" spans="1:10" s="10" customFormat="1" x14ac:dyDescent="0.25">
      <c r="A2170" s="21" t="s">
        <v>4082</v>
      </c>
      <c r="D2170" s="25"/>
      <c r="E2170" s="11"/>
      <c r="F2170" s="26">
        <v>3628</v>
      </c>
      <c r="G2170" s="11" t="s">
        <v>4083</v>
      </c>
      <c r="H2170" s="11" t="s">
        <v>4792</v>
      </c>
      <c r="I2170" s="12" t="s">
        <v>4083</v>
      </c>
      <c r="J2170" s="11" t="s">
        <v>2805</v>
      </c>
    </row>
    <row r="2171" spans="1:10" s="10" customFormat="1" x14ac:dyDescent="0.25">
      <c r="A2171" s="21" t="s">
        <v>4085</v>
      </c>
      <c r="D2171" s="25"/>
      <c r="E2171" s="11"/>
      <c r="F2171" s="26">
        <v>3611</v>
      </c>
      <c r="G2171" s="11" t="s">
        <v>4089</v>
      </c>
      <c r="H2171" s="11" t="s">
        <v>4792</v>
      </c>
      <c r="I2171" s="12" t="s">
        <v>4086</v>
      </c>
      <c r="J2171" s="11" t="s">
        <v>2805</v>
      </c>
    </row>
    <row r="2172" spans="1:10" s="10" customFormat="1" x14ac:dyDescent="0.25">
      <c r="A2172" s="21" t="s">
        <v>4073</v>
      </c>
      <c r="D2172" s="25"/>
      <c r="E2172" s="11"/>
      <c r="F2172" s="26">
        <v>3605</v>
      </c>
      <c r="G2172" s="11" t="s">
        <v>4074</v>
      </c>
      <c r="H2172" s="11" t="s">
        <v>4792</v>
      </c>
      <c r="I2172" s="12" t="s">
        <v>4074</v>
      </c>
      <c r="J2172" s="11" t="s">
        <v>2805</v>
      </c>
    </row>
    <row r="2173" spans="1:10" s="10" customFormat="1" x14ac:dyDescent="0.25">
      <c r="A2173" s="21" t="s">
        <v>4099</v>
      </c>
      <c r="D2173" s="25"/>
      <c r="E2173" s="11"/>
      <c r="F2173" s="26">
        <v>3602</v>
      </c>
      <c r="G2173" s="11" t="s">
        <v>4100</v>
      </c>
      <c r="H2173" s="11" t="s">
        <v>4792</v>
      </c>
      <c r="I2173" s="12" t="s">
        <v>4100</v>
      </c>
      <c r="J2173" s="11" t="s">
        <v>2805</v>
      </c>
    </row>
    <row r="2174" spans="1:10" s="10" customFormat="1" x14ac:dyDescent="0.25">
      <c r="A2174" s="21" t="s">
        <v>4094</v>
      </c>
      <c r="D2174" s="25"/>
      <c r="E2174" s="11"/>
      <c r="F2174" s="26">
        <v>3621</v>
      </c>
      <c r="G2174" s="11" t="s">
        <v>4098</v>
      </c>
      <c r="H2174" s="11" t="s">
        <v>4792</v>
      </c>
      <c r="I2174" s="12" t="s">
        <v>4095</v>
      </c>
      <c r="J2174" s="11" t="s">
        <v>2805</v>
      </c>
    </row>
    <row r="2175" spans="1:10" s="10" customFormat="1" x14ac:dyDescent="0.25">
      <c r="A2175" s="21" t="s">
        <v>4804</v>
      </c>
      <c r="D2175" s="25"/>
      <c r="E2175" s="11"/>
      <c r="F2175" s="26">
        <v>3615</v>
      </c>
      <c r="G2175" s="11" t="s">
        <v>4808</v>
      </c>
      <c r="H2175" s="11" t="s">
        <v>4792</v>
      </c>
      <c r="I2175" s="12" t="s">
        <v>4805</v>
      </c>
      <c r="J2175" s="11" t="s">
        <v>2805</v>
      </c>
    </row>
    <row r="2176" spans="1:10" s="10" customFormat="1" x14ac:dyDescent="0.25">
      <c r="A2176" s="21" t="s">
        <v>2181</v>
      </c>
      <c r="D2176" s="25"/>
      <c r="E2176" s="11"/>
      <c r="F2176" s="26">
        <v>4640</v>
      </c>
      <c r="G2176" s="11" t="s">
        <v>1398</v>
      </c>
      <c r="H2176" s="11" t="s">
        <v>3396</v>
      </c>
      <c r="I2176" s="12" t="s">
        <v>1398</v>
      </c>
      <c r="J2176" s="11" t="s">
        <v>2805</v>
      </c>
    </row>
    <row r="2177" spans="1:10" s="10" customFormat="1" x14ac:dyDescent="0.25">
      <c r="A2177" s="21" t="s">
        <v>1400</v>
      </c>
      <c r="D2177" s="25"/>
      <c r="E2177" s="11"/>
      <c r="F2177" s="26">
        <v>4634</v>
      </c>
      <c r="G2177" s="11" t="s">
        <v>1401</v>
      </c>
      <c r="H2177" s="11" t="s">
        <v>3396</v>
      </c>
      <c r="I2177" s="12" t="s">
        <v>1401</v>
      </c>
      <c r="J2177" s="11" t="s">
        <v>2805</v>
      </c>
    </row>
    <row r="2178" spans="1:10" s="10" customFormat="1" x14ac:dyDescent="0.25">
      <c r="A2178" s="21" t="s">
        <v>3968</v>
      </c>
      <c r="D2178" s="25"/>
      <c r="E2178" s="11"/>
      <c r="F2178" s="26">
        <v>4603</v>
      </c>
      <c r="G2178" s="11" t="s">
        <v>3971</v>
      </c>
      <c r="H2178" s="11" t="s">
        <v>3396</v>
      </c>
      <c r="I2178" s="12" t="s">
        <v>3969</v>
      </c>
      <c r="J2178" s="11" t="s">
        <v>2805</v>
      </c>
    </row>
    <row r="2179" spans="1:10" s="10" customFormat="1" x14ac:dyDescent="0.25">
      <c r="A2179" s="21" t="s">
        <v>1404</v>
      </c>
      <c r="D2179" s="25"/>
      <c r="E2179" s="11"/>
      <c r="F2179" s="26">
        <v>4506</v>
      </c>
      <c r="G2179" s="11" t="s">
        <v>1405</v>
      </c>
      <c r="H2179" s="11" t="s">
        <v>3396</v>
      </c>
      <c r="I2179" s="12" t="s">
        <v>1405</v>
      </c>
      <c r="J2179" s="11" t="s">
        <v>2805</v>
      </c>
    </row>
    <row r="2180" spans="1:10" s="10" customFormat="1" x14ac:dyDescent="0.25">
      <c r="A2180" s="21" t="s">
        <v>1408</v>
      </c>
      <c r="D2180" s="25"/>
      <c r="E2180" s="11"/>
      <c r="F2180" s="26">
        <v>4630</v>
      </c>
      <c r="G2180" s="11" t="s">
        <v>1409</v>
      </c>
      <c r="H2180" s="11" t="s">
        <v>3396</v>
      </c>
      <c r="I2180" s="12" t="s">
        <v>1409</v>
      </c>
      <c r="J2180" s="11" t="s">
        <v>2805</v>
      </c>
    </row>
    <row r="2181" spans="1:10" s="10" customFormat="1" x14ac:dyDescent="0.25">
      <c r="A2181" s="21" t="s">
        <v>1411</v>
      </c>
      <c r="D2181" s="25"/>
      <c r="E2181" s="11"/>
      <c r="F2181" s="26">
        <v>4522</v>
      </c>
      <c r="G2181" s="11" t="s">
        <v>1412</v>
      </c>
      <c r="H2181" s="11" t="s">
        <v>3396</v>
      </c>
      <c r="I2181" s="12" t="s">
        <v>1412</v>
      </c>
      <c r="J2181" s="11" t="s">
        <v>2805</v>
      </c>
    </row>
    <row r="2182" spans="1:10" s="10" customFormat="1" x14ac:dyDescent="0.25">
      <c r="A2182" s="21" t="s">
        <v>1414</v>
      </c>
      <c r="D2182" s="25"/>
      <c r="E2182" s="11"/>
      <c r="F2182" s="26">
        <v>4650</v>
      </c>
      <c r="G2182" s="11" t="s">
        <v>1415</v>
      </c>
      <c r="H2182" s="11" t="s">
        <v>3396</v>
      </c>
      <c r="I2182" s="12" t="s">
        <v>1415</v>
      </c>
      <c r="J2182" s="11" t="s">
        <v>2805</v>
      </c>
    </row>
    <row r="2183" spans="1:10" s="10" customFormat="1" x14ac:dyDescent="0.25">
      <c r="A2183" s="21" t="s">
        <v>1417</v>
      </c>
      <c r="D2183" s="25"/>
      <c r="E2183" s="11"/>
      <c r="F2183" s="26">
        <v>4512</v>
      </c>
      <c r="G2183" s="11" t="s">
        <v>1420</v>
      </c>
      <c r="H2183" s="11" t="s">
        <v>3396</v>
      </c>
      <c r="I2183" s="12" t="s">
        <v>1418</v>
      </c>
      <c r="J2183" s="11" t="s">
        <v>2805</v>
      </c>
    </row>
    <row r="2184" spans="1:10" s="10" customFormat="1" x14ac:dyDescent="0.25">
      <c r="A2184" s="21" t="s">
        <v>1421</v>
      </c>
      <c r="D2184" s="25"/>
      <c r="E2184" s="11"/>
      <c r="F2184" s="26">
        <v>4622</v>
      </c>
      <c r="G2184" s="11" t="s">
        <v>1422</v>
      </c>
      <c r="H2184" s="11" t="s">
        <v>3396</v>
      </c>
      <c r="I2184" s="12" t="s">
        <v>1422</v>
      </c>
      <c r="J2184" s="11" t="s">
        <v>2805</v>
      </c>
    </row>
    <row r="2185" spans="1:10" s="10" customFormat="1" x14ac:dyDescent="0.25">
      <c r="A2185" s="21" t="s">
        <v>1424</v>
      </c>
      <c r="D2185" s="25"/>
      <c r="E2185" s="11"/>
      <c r="F2185" s="26">
        <v>4608</v>
      </c>
      <c r="G2185" s="11" t="s">
        <v>1425</v>
      </c>
      <c r="H2185" s="11" t="s">
        <v>3396</v>
      </c>
      <c r="I2185" s="12" t="s">
        <v>1425</v>
      </c>
      <c r="J2185" s="11" t="s">
        <v>2805</v>
      </c>
    </row>
    <row r="2186" spans="1:10" s="10" customFormat="1" x14ac:dyDescent="0.25">
      <c r="A2186" s="21" t="s">
        <v>1427</v>
      </c>
      <c r="D2186" s="25"/>
      <c r="E2186" s="11"/>
      <c r="F2186" s="26">
        <v>4612</v>
      </c>
      <c r="G2186" s="11" t="s">
        <v>3964</v>
      </c>
      <c r="H2186" s="11" t="s">
        <v>3396</v>
      </c>
      <c r="I2186" s="12" t="s">
        <v>1428</v>
      </c>
      <c r="J2186" s="11" t="s">
        <v>2805</v>
      </c>
    </row>
    <row r="2187" spans="1:10" s="10" customFormat="1" x14ac:dyDescent="0.25">
      <c r="A2187" s="21" t="s">
        <v>3965</v>
      </c>
      <c r="D2187" s="25"/>
      <c r="E2187" s="11"/>
      <c r="F2187" s="26">
        <v>4610</v>
      </c>
      <c r="G2187" s="11" t="s">
        <v>3966</v>
      </c>
      <c r="H2187" s="11" t="s">
        <v>3396</v>
      </c>
      <c r="I2187" s="12" t="s">
        <v>3966</v>
      </c>
      <c r="J2187" s="11" t="s">
        <v>2805</v>
      </c>
    </row>
    <row r="2188" spans="1:10" s="10" customFormat="1" x14ac:dyDescent="0.25">
      <c r="A2188" s="21" t="s">
        <v>3972</v>
      </c>
      <c r="D2188" s="25"/>
      <c r="E2188" s="11"/>
      <c r="F2188" s="26">
        <v>4500</v>
      </c>
      <c r="G2188" s="11" t="s">
        <v>349</v>
      </c>
      <c r="H2188" s="11" t="s">
        <v>3396</v>
      </c>
      <c r="I2188" s="12" t="s">
        <v>349</v>
      </c>
      <c r="J2188" s="11" t="s">
        <v>2805</v>
      </c>
    </row>
    <row r="2189" spans="1:10" s="10" customFormat="1" x14ac:dyDescent="0.25">
      <c r="A2189" s="21" t="s">
        <v>3980</v>
      </c>
      <c r="D2189" s="25"/>
      <c r="E2189" s="11"/>
      <c r="F2189" s="26">
        <v>4609</v>
      </c>
      <c r="G2189" s="11" t="s">
        <v>3781</v>
      </c>
      <c r="H2189" s="11" t="s">
        <v>3396</v>
      </c>
      <c r="I2189" s="12" t="s">
        <v>3981</v>
      </c>
      <c r="J2189" s="11" t="s">
        <v>2805</v>
      </c>
    </row>
    <row r="2190" spans="1:10" s="10" customFormat="1" x14ac:dyDescent="0.25">
      <c r="A2190" s="21" t="s">
        <v>2179</v>
      </c>
      <c r="D2190" s="25"/>
      <c r="E2190" s="11"/>
      <c r="F2190" s="26">
        <v>4600</v>
      </c>
      <c r="G2190" s="11" t="s">
        <v>3781</v>
      </c>
      <c r="H2190" s="11" t="s">
        <v>3396</v>
      </c>
      <c r="I2190" s="12" t="s">
        <v>3781</v>
      </c>
      <c r="J2190" s="11" t="s">
        <v>2800</v>
      </c>
    </row>
    <row r="2191" spans="1:10" s="10" customFormat="1" x14ac:dyDescent="0.25">
      <c r="A2191" s="21" t="s">
        <v>3974</v>
      </c>
      <c r="D2191" s="25"/>
      <c r="E2191" s="11"/>
      <c r="F2191" s="26">
        <v>4624</v>
      </c>
      <c r="G2191" s="11" t="s">
        <v>3975</v>
      </c>
      <c r="H2191" s="11" t="s">
        <v>3396</v>
      </c>
      <c r="I2191" s="12" t="s">
        <v>3975</v>
      </c>
      <c r="J2191" s="11" t="s">
        <v>2805</v>
      </c>
    </row>
    <row r="2192" spans="1:10" s="10" customFormat="1" x14ac:dyDescent="0.25">
      <c r="A2192" s="21" t="s">
        <v>3977</v>
      </c>
      <c r="D2192" s="25"/>
      <c r="E2192" s="11"/>
      <c r="F2192" s="26">
        <v>4518</v>
      </c>
      <c r="G2192" s="11" t="s">
        <v>3978</v>
      </c>
      <c r="H2192" s="11" t="s">
        <v>3396</v>
      </c>
      <c r="I2192" s="12" t="s">
        <v>3978</v>
      </c>
      <c r="J2192" s="11" t="s">
        <v>2805</v>
      </c>
    </row>
    <row r="2193" spans="1:10" s="10" customFormat="1" x14ac:dyDescent="0.25">
      <c r="A2193" s="21" t="s">
        <v>173</v>
      </c>
      <c r="D2193" s="25"/>
      <c r="E2193" s="11"/>
      <c r="F2193" s="26">
        <v>8201</v>
      </c>
      <c r="G2193" s="11" t="s">
        <v>2226</v>
      </c>
      <c r="H2193" s="11" t="s">
        <v>4463</v>
      </c>
      <c r="I2193" s="12" t="s">
        <v>174</v>
      </c>
      <c r="J2193" s="11" t="s">
        <v>2805</v>
      </c>
    </row>
    <row r="2194" spans="1:10" s="10" customFormat="1" x14ac:dyDescent="0.25">
      <c r="A2194" s="21" t="s">
        <v>4464</v>
      </c>
      <c r="D2194" s="25"/>
      <c r="E2194" s="11"/>
      <c r="F2194" s="26">
        <v>6309</v>
      </c>
      <c r="G2194" s="11" t="s">
        <v>4465</v>
      </c>
      <c r="H2194" s="11" t="s">
        <v>4463</v>
      </c>
      <c r="I2194" s="12" t="s">
        <v>4465</v>
      </c>
      <c r="J2194" s="11" t="s">
        <v>2805</v>
      </c>
    </row>
    <row r="2195" spans="1:10" s="10" customFormat="1" x14ac:dyDescent="0.25">
      <c r="A2195" s="21" t="s">
        <v>4467</v>
      </c>
      <c r="D2195" s="25"/>
      <c r="E2195" s="11"/>
      <c r="F2195" s="26">
        <v>6207</v>
      </c>
      <c r="G2195" s="11" t="s">
        <v>4468</v>
      </c>
      <c r="H2195" s="11" t="s">
        <v>4463</v>
      </c>
      <c r="I2195" s="12" t="s">
        <v>4468</v>
      </c>
      <c r="J2195" s="11" t="s">
        <v>2805</v>
      </c>
    </row>
    <row r="2196" spans="1:10" s="10" customFormat="1" x14ac:dyDescent="0.25">
      <c r="A2196" s="21" t="s">
        <v>4470</v>
      </c>
      <c r="D2196" s="25"/>
      <c r="E2196" s="11"/>
      <c r="F2196" s="26">
        <v>6326</v>
      </c>
      <c r="G2196" s="11" t="s">
        <v>4471</v>
      </c>
      <c r="H2196" s="11" t="s">
        <v>4463</v>
      </c>
      <c r="I2196" s="12" t="s">
        <v>4471</v>
      </c>
      <c r="J2196" s="11" t="s">
        <v>2805</v>
      </c>
    </row>
    <row r="2197" spans="1:10" s="10" customFormat="1" x14ac:dyDescent="0.25">
      <c r="A2197" s="21" t="s">
        <v>1931</v>
      </c>
      <c r="D2197" s="25"/>
      <c r="E2197" s="11"/>
      <c r="F2197" s="26">
        <v>6385</v>
      </c>
      <c r="G2197" s="11" t="s">
        <v>1932</v>
      </c>
      <c r="H2197" s="11" t="s">
        <v>4463</v>
      </c>
      <c r="I2197" s="12" t="s">
        <v>1932</v>
      </c>
      <c r="J2197" s="11" t="s">
        <v>2805</v>
      </c>
    </row>
    <row r="2198" spans="1:10" s="10" customFormat="1" x14ac:dyDescent="0.25">
      <c r="A2198" s="21" t="s">
        <v>1934</v>
      </c>
      <c r="D2198" s="25"/>
      <c r="E2198" s="11"/>
      <c r="F2198" s="26">
        <v>6220</v>
      </c>
      <c r="G2198" s="11" t="s">
        <v>1935</v>
      </c>
      <c r="H2198" s="11" t="s">
        <v>4463</v>
      </c>
      <c r="I2198" s="12" t="s">
        <v>1935</v>
      </c>
      <c r="J2198" s="11" t="s">
        <v>2805</v>
      </c>
    </row>
    <row r="2199" spans="1:10" s="10" customFormat="1" x14ac:dyDescent="0.25">
      <c r="A2199" s="21" t="s">
        <v>1938</v>
      </c>
      <c r="D2199" s="25"/>
      <c r="E2199" s="11"/>
      <c r="F2199" s="26">
        <v>8204</v>
      </c>
      <c r="G2199" s="11" t="s">
        <v>1939</v>
      </c>
      <c r="H2199" s="11" t="s">
        <v>4463</v>
      </c>
      <c r="I2199" s="12" t="s">
        <v>1939</v>
      </c>
      <c r="J2199" s="11" t="s">
        <v>2805</v>
      </c>
    </row>
    <row r="2200" spans="1:10" s="10" customFormat="1" x14ac:dyDescent="0.25">
      <c r="A2200" s="21" t="s">
        <v>1942</v>
      </c>
      <c r="D2200" s="25"/>
      <c r="E2200" s="11"/>
      <c r="F2200" s="26">
        <v>6387</v>
      </c>
      <c r="G2200" s="11" t="s">
        <v>1943</v>
      </c>
      <c r="H2200" s="11" t="s">
        <v>4463</v>
      </c>
      <c r="I2200" s="12" t="s">
        <v>1943</v>
      </c>
      <c r="J2200" s="11" t="s">
        <v>2805</v>
      </c>
    </row>
    <row r="2201" spans="1:10" s="10" customFormat="1" x14ac:dyDescent="0.25">
      <c r="A2201" s="21" t="s">
        <v>4396</v>
      </c>
      <c r="D2201" s="25"/>
      <c r="E2201" s="11"/>
      <c r="F2201" s="26">
        <v>6330</v>
      </c>
      <c r="G2201" s="11" t="s">
        <v>4397</v>
      </c>
      <c r="H2201" s="11" t="s">
        <v>4463</v>
      </c>
      <c r="I2201" s="12" t="s">
        <v>4397</v>
      </c>
      <c r="J2201" s="11" t="s">
        <v>2805</v>
      </c>
    </row>
    <row r="2202" spans="1:10" s="10" customFormat="1" x14ac:dyDescent="0.25">
      <c r="A2202" s="21" t="s">
        <v>3734</v>
      </c>
      <c r="D2202" s="25"/>
      <c r="E2202" s="11"/>
      <c r="F2202" s="26">
        <v>6315</v>
      </c>
      <c r="G2202" s="11" t="s">
        <v>3735</v>
      </c>
      <c r="H2202" s="11" t="s">
        <v>4463</v>
      </c>
      <c r="I2202" s="12" t="s">
        <v>3735</v>
      </c>
      <c r="J2202" s="11" t="s">
        <v>2805</v>
      </c>
    </row>
    <row r="2203" spans="1:10" s="10" customFormat="1" x14ac:dyDescent="0.25">
      <c r="A2203" s="21" t="s">
        <v>3737</v>
      </c>
      <c r="D2203" s="25"/>
      <c r="E2203" s="11"/>
      <c r="F2203" s="26">
        <v>6228</v>
      </c>
      <c r="G2203" s="11" t="s">
        <v>4481</v>
      </c>
      <c r="H2203" s="11" t="s">
        <v>4463</v>
      </c>
      <c r="I2203" s="12" t="s">
        <v>3738</v>
      </c>
      <c r="J2203" s="11" t="s">
        <v>2805</v>
      </c>
    </row>
    <row r="2204" spans="1:10" s="10" customFormat="1" x14ac:dyDescent="0.25">
      <c r="A2204" s="21" t="s">
        <v>4482</v>
      </c>
      <c r="D2204" s="25"/>
      <c r="E2204" s="11"/>
      <c r="F2204" s="26">
        <v>6305</v>
      </c>
      <c r="G2204" s="11" t="s">
        <v>4483</v>
      </c>
      <c r="H2204" s="11" t="s">
        <v>4463</v>
      </c>
      <c r="I2204" s="12" t="s">
        <v>4483</v>
      </c>
      <c r="J2204" s="11" t="s">
        <v>2805</v>
      </c>
    </row>
    <row r="2205" spans="1:10" s="10" customFormat="1" x14ac:dyDescent="0.25">
      <c r="A2205" s="21" t="s">
        <v>4486</v>
      </c>
      <c r="D2205" s="25"/>
      <c r="E2205" s="11"/>
      <c r="F2205" s="26">
        <v>6380</v>
      </c>
      <c r="G2205" s="11" t="s">
        <v>4487</v>
      </c>
      <c r="H2205" s="11" t="s">
        <v>4463</v>
      </c>
      <c r="I2205" s="12" t="s">
        <v>4487</v>
      </c>
      <c r="J2205" s="11" t="s">
        <v>2805</v>
      </c>
    </row>
    <row r="2206" spans="1:10" s="10" customFormat="1" x14ac:dyDescent="0.25">
      <c r="A2206" s="21" t="s">
        <v>4489</v>
      </c>
      <c r="D2206" s="25"/>
      <c r="E2206" s="11"/>
      <c r="F2206" s="26">
        <v>6203</v>
      </c>
      <c r="G2206" s="11" t="s">
        <v>4490</v>
      </c>
      <c r="H2206" s="11" t="s">
        <v>4463</v>
      </c>
      <c r="I2206" s="12" t="s">
        <v>4490</v>
      </c>
      <c r="J2206" s="11" t="s">
        <v>2805</v>
      </c>
    </row>
    <row r="2207" spans="1:10" s="10" customFormat="1" x14ac:dyDescent="0.25">
      <c r="A2207" s="21" t="s">
        <v>4493</v>
      </c>
      <c r="D2207" s="25"/>
      <c r="E2207" s="11"/>
      <c r="F2207" s="26">
        <v>8200</v>
      </c>
      <c r="G2207" s="11" t="s">
        <v>4497</v>
      </c>
      <c r="H2207" s="11" t="s">
        <v>4463</v>
      </c>
      <c r="I2207" s="12" t="s">
        <v>4494</v>
      </c>
      <c r="J2207" s="11" t="s">
        <v>2805</v>
      </c>
    </row>
    <row r="2208" spans="1:10" s="10" customFormat="1" x14ac:dyDescent="0.25">
      <c r="A2208" s="21" t="s">
        <v>4498</v>
      </c>
      <c r="D2208" s="25"/>
      <c r="E2208" s="11"/>
      <c r="F2208" s="26">
        <v>6360</v>
      </c>
      <c r="G2208" s="11" t="s">
        <v>4501</v>
      </c>
      <c r="H2208" s="11" t="s">
        <v>4463</v>
      </c>
      <c r="I2208" s="12" t="s">
        <v>4499</v>
      </c>
      <c r="J2208" s="11" t="s">
        <v>2800</v>
      </c>
    </row>
    <row r="2209" spans="1:10" s="10" customFormat="1" x14ac:dyDescent="0.25">
      <c r="A2209" s="21" t="s">
        <v>4502</v>
      </c>
      <c r="D2209" s="25"/>
      <c r="E2209" s="11"/>
      <c r="F2209" s="26">
        <v>8206</v>
      </c>
      <c r="G2209" s="11" t="s">
        <v>4769</v>
      </c>
      <c r="H2209" s="11" t="s">
        <v>4463</v>
      </c>
      <c r="I2209" s="12" t="s">
        <v>3263</v>
      </c>
      <c r="J2209" s="11" t="s">
        <v>2805</v>
      </c>
    </row>
    <row r="2210" spans="1:10" s="10" customFormat="1" x14ac:dyDescent="0.25">
      <c r="A2210" s="21" t="s">
        <v>4505</v>
      </c>
      <c r="D2210" s="25"/>
      <c r="E2210" s="11"/>
      <c r="F2210" s="26">
        <v>6311</v>
      </c>
      <c r="G2210" s="11" t="s">
        <v>4506</v>
      </c>
      <c r="H2210" s="11" t="s">
        <v>4463</v>
      </c>
      <c r="I2210" s="12" t="s">
        <v>4506</v>
      </c>
      <c r="J2210" s="11" t="s">
        <v>2805</v>
      </c>
    </row>
    <row r="2211" spans="1:10" s="10" customFormat="1" x14ac:dyDescent="0.25">
      <c r="A2211" s="21" t="s">
        <v>4508</v>
      </c>
      <c r="D2211" s="25"/>
      <c r="E2211" s="11"/>
      <c r="F2211" s="26">
        <v>6205</v>
      </c>
      <c r="G2211" s="11" t="s">
        <v>4512</v>
      </c>
      <c r="H2211" s="11" t="s">
        <v>4463</v>
      </c>
      <c r="I2211" s="12" t="s">
        <v>4509</v>
      </c>
      <c r="J2211" s="11" t="s">
        <v>2805</v>
      </c>
    </row>
    <row r="2212" spans="1:10" s="10" customFormat="1" x14ac:dyDescent="0.25">
      <c r="A2212" s="21" t="s">
        <v>4513</v>
      </c>
      <c r="D2212" s="25"/>
      <c r="E2212" s="11"/>
      <c r="F2212" s="26">
        <v>6221</v>
      </c>
      <c r="G2212" s="11" t="s">
        <v>4514</v>
      </c>
      <c r="H2212" s="11" t="s">
        <v>4463</v>
      </c>
      <c r="I2212" s="12" t="s">
        <v>4514</v>
      </c>
      <c r="J2212" s="11" t="s">
        <v>2805</v>
      </c>
    </row>
    <row r="2213" spans="1:10" s="10" customFormat="1" x14ac:dyDescent="0.25">
      <c r="A2213" s="21" t="s">
        <v>4516</v>
      </c>
      <c r="D2213" s="25"/>
      <c r="E2213" s="11"/>
      <c r="F2213" s="26">
        <v>8208</v>
      </c>
      <c r="G2213" s="11" t="s">
        <v>4517</v>
      </c>
      <c r="H2213" s="11" t="s">
        <v>4463</v>
      </c>
      <c r="I2213" s="12" t="s">
        <v>4517</v>
      </c>
      <c r="J2213" s="11" t="s">
        <v>2805</v>
      </c>
    </row>
    <row r="2214" spans="1:10" s="10" customFormat="1" x14ac:dyDescent="0.25">
      <c r="A2214" s="21" t="s">
        <v>4519</v>
      </c>
      <c r="D2214" s="25"/>
      <c r="E2214" s="11"/>
      <c r="F2214" s="26">
        <v>6352</v>
      </c>
      <c r="G2214" s="11" t="s">
        <v>4520</v>
      </c>
      <c r="H2214" s="11" t="s">
        <v>4463</v>
      </c>
      <c r="I2214" s="12" t="s">
        <v>4520</v>
      </c>
      <c r="J2214" s="11" t="s">
        <v>2805</v>
      </c>
    </row>
    <row r="2215" spans="1:10" s="10" customFormat="1" x14ac:dyDescent="0.25">
      <c r="A2215" s="21" t="s">
        <v>4523</v>
      </c>
      <c r="D2215" s="25"/>
      <c r="E2215" s="11"/>
      <c r="F2215" s="26">
        <v>6307</v>
      </c>
      <c r="G2215" s="11" t="s">
        <v>4524</v>
      </c>
      <c r="H2215" s="11" t="s">
        <v>4463</v>
      </c>
      <c r="I2215" s="12" t="s">
        <v>4524</v>
      </c>
      <c r="J2215" s="11" t="s">
        <v>2805</v>
      </c>
    </row>
    <row r="2216" spans="1:10" s="10" customFormat="1" x14ac:dyDescent="0.25">
      <c r="A2216" s="21" t="s">
        <v>4526</v>
      </c>
      <c r="D2216" s="25"/>
      <c r="E2216" s="11"/>
      <c r="F2216" s="26">
        <v>6331</v>
      </c>
      <c r="G2216" s="11" t="s">
        <v>4527</v>
      </c>
      <c r="H2216" s="11" t="s">
        <v>4463</v>
      </c>
      <c r="I2216" s="12" t="s">
        <v>4527</v>
      </c>
      <c r="J2216" s="11" t="s">
        <v>2805</v>
      </c>
    </row>
    <row r="2217" spans="1:10" s="10" customFormat="1" x14ac:dyDescent="0.25">
      <c r="A2217" s="21" t="s">
        <v>4529</v>
      </c>
      <c r="D2217" s="25"/>
      <c r="E2217" s="11"/>
      <c r="F2217" s="26">
        <v>6301</v>
      </c>
      <c r="G2217" s="11" t="s">
        <v>4530</v>
      </c>
      <c r="H2217" s="11" t="s">
        <v>4463</v>
      </c>
      <c r="I2217" s="12" t="s">
        <v>4530</v>
      </c>
      <c r="J2217" s="11" t="s">
        <v>2805</v>
      </c>
    </row>
    <row r="2218" spans="1:10" s="10" customFormat="1" x14ac:dyDescent="0.25">
      <c r="A2218" s="21" t="s">
        <v>4532</v>
      </c>
      <c r="D2218" s="25"/>
      <c r="E2218" s="11"/>
      <c r="F2218" s="26">
        <v>6213</v>
      </c>
      <c r="G2218" s="11" t="s">
        <v>4533</v>
      </c>
      <c r="H2218" s="11" t="s">
        <v>4463</v>
      </c>
      <c r="I2218" s="12" t="s">
        <v>4533</v>
      </c>
      <c r="J2218" s="11" t="s">
        <v>2805</v>
      </c>
    </row>
    <row r="2219" spans="1:10" s="10" customFormat="1" x14ac:dyDescent="0.25">
      <c r="A2219" s="21" t="s">
        <v>4535</v>
      </c>
      <c r="D2219" s="25"/>
      <c r="E2219" s="11"/>
      <c r="F2219" s="26">
        <v>6333</v>
      </c>
      <c r="G2219" s="11" t="s">
        <v>4536</v>
      </c>
      <c r="H2219" s="11" t="s">
        <v>4463</v>
      </c>
      <c r="I2219" s="12" t="s">
        <v>4536</v>
      </c>
      <c r="J2219" s="11" t="s">
        <v>2805</v>
      </c>
    </row>
    <row r="2220" spans="1:10" s="10" customFormat="1" x14ac:dyDescent="0.25">
      <c r="A2220" s="21" t="s">
        <v>4538</v>
      </c>
      <c r="D2220" s="25"/>
      <c r="E2220" s="11"/>
      <c r="F2220" s="26">
        <v>6214</v>
      </c>
      <c r="G2220" s="11" t="s">
        <v>4539</v>
      </c>
      <c r="H2220" s="11" t="s">
        <v>4463</v>
      </c>
      <c r="I2220" s="12" t="s">
        <v>4539</v>
      </c>
      <c r="J2220" s="11" t="s">
        <v>2805</v>
      </c>
    </row>
    <row r="2221" spans="1:10" s="10" customFormat="1" x14ac:dyDescent="0.25">
      <c r="A2221" s="21" t="s">
        <v>4541</v>
      </c>
      <c r="D2221" s="25"/>
      <c r="E2221" s="11"/>
      <c r="F2221" s="26">
        <v>6200</v>
      </c>
      <c r="G2221" s="11" t="s">
        <v>4542</v>
      </c>
      <c r="H2221" s="11" t="s">
        <v>4463</v>
      </c>
      <c r="I2221" s="12" t="s">
        <v>4542</v>
      </c>
      <c r="J2221" s="11" t="s">
        <v>2805</v>
      </c>
    </row>
    <row r="2222" spans="1:10" s="10" customFormat="1" x14ac:dyDescent="0.25">
      <c r="A2222" s="21" t="s">
        <v>4545</v>
      </c>
      <c r="D2222" s="25"/>
      <c r="E2222" s="11"/>
      <c r="F2222" s="26">
        <v>6306</v>
      </c>
      <c r="G2222" s="11" t="s">
        <v>4546</v>
      </c>
      <c r="H2222" s="11" t="s">
        <v>4463</v>
      </c>
      <c r="I2222" s="12" t="s">
        <v>4546</v>
      </c>
      <c r="J2222" s="11" t="s">
        <v>2805</v>
      </c>
    </row>
    <row r="2223" spans="1:10" s="10" customFormat="1" x14ac:dyDescent="0.25">
      <c r="A2223" s="21" t="s">
        <v>1893</v>
      </c>
      <c r="D2223" s="25"/>
      <c r="E2223" s="11"/>
      <c r="F2223" s="26">
        <v>6300</v>
      </c>
      <c r="G2223" s="11" t="s">
        <v>1894</v>
      </c>
      <c r="H2223" s="11" t="s">
        <v>4463</v>
      </c>
      <c r="I2223" s="12" t="s">
        <v>1894</v>
      </c>
      <c r="J2223" s="11" t="s">
        <v>2800</v>
      </c>
    </row>
    <row r="2224" spans="1:10" s="10" customFormat="1" x14ac:dyDescent="0.25">
      <c r="A2224" s="21" t="s">
        <v>4548</v>
      </c>
      <c r="D2224" s="25"/>
      <c r="E2224" s="11"/>
      <c r="F2224" s="26">
        <v>6321</v>
      </c>
      <c r="G2224" s="11" t="s">
        <v>4549</v>
      </c>
      <c r="H2224" s="11" t="s">
        <v>4463</v>
      </c>
      <c r="I2224" s="12" t="s">
        <v>4549</v>
      </c>
      <c r="J2224" s="11" t="s">
        <v>2805</v>
      </c>
    </row>
    <row r="2225" spans="1:10" s="10" customFormat="1" x14ac:dyDescent="0.25">
      <c r="A2225" s="21" t="s">
        <v>4551</v>
      </c>
      <c r="D2225" s="25"/>
      <c r="E2225" s="11"/>
      <c r="F2225" s="26">
        <v>6303</v>
      </c>
      <c r="G2225" s="11" t="s">
        <v>4552</v>
      </c>
      <c r="H2225" s="11" t="s">
        <v>4463</v>
      </c>
      <c r="I2225" s="12" t="s">
        <v>4552</v>
      </c>
      <c r="J2225" s="11" t="s">
        <v>2805</v>
      </c>
    </row>
    <row r="2226" spans="1:10" s="10" customFormat="1" x14ac:dyDescent="0.25">
      <c r="A2226" s="21" t="s">
        <v>4554</v>
      </c>
      <c r="D2226" s="25"/>
      <c r="E2226" s="11"/>
      <c r="F2226" s="26">
        <v>6369</v>
      </c>
      <c r="G2226" s="11" t="s">
        <v>4555</v>
      </c>
      <c r="H2226" s="11" t="s">
        <v>4463</v>
      </c>
      <c r="I2226" s="12" t="s">
        <v>4555</v>
      </c>
      <c r="J2226" s="11" t="s">
        <v>2805</v>
      </c>
    </row>
    <row r="2227" spans="1:10" s="10" customFormat="1" x14ac:dyDescent="0.25">
      <c r="A2227" s="21" t="s">
        <v>169</v>
      </c>
      <c r="D2227" s="25"/>
      <c r="E2227" s="11"/>
      <c r="F2227" s="26">
        <v>6354</v>
      </c>
      <c r="G2227" s="11" t="s">
        <v>170</v>
      </c>
      <c r="H2227" s="11" t="s">
        <v>4463</v>
      </c>
      <c r="I2227" s="12" t="s">
        <v>170</v>
      </c>
      <c r="J2227" s="11" t="s">
        <v>2805</v>
      </c>
    </row>
    <row r="2228" spans="1:10" s="10" customFormat="1" x14ac:dyDescent="0.25">
      <c r="A2228" s="21" t="s">
        <v>177</v>
      </c>
      <c r="D2228" s="25"/>
      <c r="E2228" s="11"/>
      <c r="F2228" s="26">
        <v>6319</v>
      </c>
      <c r="G2228" s="11" t="s">
        <v>178</v>
      </c>
      <c r="H2228" s="11" t="s">
        <v>4463</v>
      </c>
      <c r="I2228" s="12" t="s">
        <v>178</v>
      </c>
      <c r="J2228" s="11" t="s">
        <v>2805</v>
      </c>
    </row>
    <row r="2229" spans="1:10" s="10" customFormat="1" x14ac:dyDescent="0.25">
      <c r="A2229" s="21" t="s">
        <v>180</v>
      </c>
      <c r="D2229" s="25"/>
      <c r="E2229" s="11"/>
      <c r="F2229" s="26">
        <v>6313</v>
      </c>
      <c r="G2229" s="11" t="s">
        <v>181</v>
      </c>
      <c r="H2229" s="11" t="s">
        <v>4463</v>
      </c>
      <c r="I2229" s="12" t="s">
        <v>181</v>
      </c>
      <c r="J2229" s="11" t="s">
        <v>2805</v>
      </c>
    </row>
    <row r="2230" spans="1:10" s="10" customFormat="1" x14ac:dyDescent="0.25">
      <c r="A2230" s="21" t="s">
        <v>3907</v>
      </c>
      <c r="D2230" s="25"/>
      <c r="E2230" s="11"/>
      <c r="F2230" s="26">
        <v>5310</v>
      </c>
      <c r="G2230" s="11" t="s">
        <v>3908</v>
      </c>
      <c r="H2230" s="11" t="s">
        <v>1006</v>
      </c>
      <c r="I2230" s="12" t="s">
        <v>3908</v>
      </c>
      <c r="J2230" s="11" t="s">
        <v>2805</v>
      </c>
    </row>
    <row r="2231" spans="1:10" s="10" customFormat="1" x14ac:dyDescent="0.25">
      <c r="A2231" s="21" t="s">
        <v>3910</v>
      </c>
      <c r="D2231" s="25"/>
      <c r="E2231" s="11"/>
      <c r="F2231" s="26">
        <v>5301</v>
      </c>
      <c r="G2231" s="11" t="s">
        <v>3911</v>
      </c>
      <c r="H2231" s="11" t="s">
        <v>1006</v>
      </c>
      <c r="I2231" s="12" t="s">
        <v>3911</v>
      </c>
      <c r="J2231" s="11" t="s">
        <v>2805</v>
      </c>
    </row>
    <row r="2232" spans="1:10" s="10" customFormat="1" x14ac:dyDescent="0.25">
      <c r="A2232" s="21" t="s">
        <v>3914</v>
      </c>
      <c r="D2232" s="25"/>
      <c r="E2232" s="11"/>
      <c r="F2232" s="26">
        <v>5330</v>
      </c>
      <c r="G2232" s="11" t="s">
        <v>3915</v>
      </c>
      <c r="H2232" s="11" t="s">
        <v>1006</v>
      </c>
      <c r="I2232" s="12" t="s">
        <v>3915</v>
      </c>
      <c r="J2232" s="11" t="s">
        <v>2805</v>
      </c>
    </row>
    <row r="2233" spans="1:10" s="10" customFormat="1" x14ac:dyDescent="0.25">
      <c r="A2233" s="21" t="s">
        <v>3918</v>
      </c>
      <c r="D2233" s="25"/>
      <c r="E2233" s="11"/>
      <c r="F2233" s="26">
        <v>5380</v>
      </c>
      <c r="G2233" s="11" t="s">
        <v>3919</v>
      </c>
      <c r="H2233" s="11" t="s">
        <v>1006</v>
      </c>
      <c r="I2233" s="12" t="s">
        <v>3919</v>
      </c>
      <c r="J2233" s="11" t="s">
        <v>2805</v>
      </c>
    </row>
    <row r="2234" spans="1:10" s="10" customFormat="1" x14ac:dyDescent="0.25">
      <c r="A2234" s="21" t="s">
        <v>3921</v>
      </c>
      <c r="D2234" s="25"/>
      <c r="E2234" s="11"/>
      <c r="F2234" s="26">
        <v>5470</v>
      </c>
      <c r="G2234" s="11" t="s">
        <v>3922</v>
      </c>
      <c r="H2234" s="11" t="s">
        <v>1006</v>
      </c>
      <c r="I2234" s="12" t="s">
        <v>3922</v>
      </c>
      <c r="J2234" s="11" t="s">
        <v>2805</v>
      </c>
    </row>
    <row r="2235" spans="1:10" s="10" customFormat="1" x14ac:dyDescent="0.25">
      <c r="A2235" s="21" t="s">
        <v>3925</v>
      </c>
      <c r="D2235" s="25"/>
      <c r="E2235" s="11"/>
      <c r="F2235" s="26">
        <v>5360</v>
      </c>
      <c r="G2235" s="11" t="s">
        <v>3926</v>
      </c>
      <c r="H2235" s="11" t="s">
        <v>1006</v>
      </c>
      <c r="I2235" s="12" t="s">
        <v>3926</v>
      </c>
      <c r="J2235" s="11" t="s">
        <v>2800</v>
      </c>
    </row>
    <row r="2236" spans="1:10" s="10" customFormat="1" x14ac:dyDescent="0.25">
      <c r="A2236" s="21" t="s">
        <v>3929</v>
      </c>
      <c r="D2236" s="25"/>
      <c r="E2236" s="11"/>
      <c r="F2236" s="26">
        <v>5474</v>
      </c>
      <c r="G2236" s="11" t="s">
        <v>3932</v>
      </c>
      <c r="H2236" s="11" t="s">
        <v>1006</v>
      </c>
      <c r="I2236" s="12" t="s">
        <v>3930</v>
      </c>
      <c r="J2236" s="11" t="s">
        <v>2805</v>
      </c>
    </row>
    <row r="2237" spans="1:10" s="10" customFormat="1" x14ac:dyDescent="0.25">
      <c r="A2237" s="21" t="s">
        <v>3962</v>
      </c>
      <c r="D2237" s="25"/>
      <c r="E2237" s="11"/>
      <c r="F2237" s="26">
        <v>5385</v>
      </c>
      <c r="G2237" s="11" t="s">
        <v>1360</v>
      </c>
      <c r="H2237" s="11" t="s">
        <v>1006</v>
      </c>
      <c r="I2237" s="12" t="s">
        <v>1357</v>
      </c>
      <c r="J2237" s="11" t="s">
        <v>2805</v>
      </c>
    </row>
    <row r="2238" spans="1:10" s="10" customFormat="1" x14ac:dyDescent="0.25">
      <c r="A2238" s="21" t="s">
        <v>3933</v>
      </c>
      <c r="D2238" s="25"/>
      <c r="E2238" s="11"/>
      <c r="F2238" s="26">
        <v>5365</v>
      </c>
      <c r="G2238" s="11" t="s">
        <v>3934</v>
      </c>
      <c r="H2238" s="11" t="s">
        <v>1006</v>
      </c>
      <c r="I2238" s="12" t="s">
        <v>3934</v>
      </c>
      <c r="J2238" s="11" t="s">
        <v>2805</v>
      </c>
    </row>
    <row r="2239" spans="1:10" s="10" customFormat="1" x14ac:dyDescent="0.25">
      <c r="A2239" s="21" t="s">
        <v>3937</v>
      </c>
      <c r="D2239" s="25"/>
      <c r="E2239" s="11"/>
      <c r="F2239" s="26">
        <v>5353</v>
      </c>
      <c r="G2239" s="11" t="s">
        <v>3938</v>
      </c>
      <c r="H2239" s="11" t="s">
        <v>1006</v>
      </c>
      <c r="I2239" s="12" t="s">
        <v>3938</v>
      </c>
      <c r="J2239" s="11" t="s">
        <v>2805</v>
      </c>
    </row>
    <row r="2240" spans="1:10" s="10" customFormat="1" x14ac:dyDescent="0.25">
      <c r="A2240" s="21" t="s">
        <v>1385</v>
      </c>
      <c r="D2240" s="25"/>
      <c r="E2240" s="11"/>
      <c r="F2240" s="26">
        <v>5300</v>
      </c>
      <c r="G2240" s="11" t="s">
        <v>1006</v>
      </c>
      <c r="H2240" s="11" t="s">
        <v>1006</v>
      </c>
      <c r="I2240" s="12" t="s">
        <v>234</v>
      </c>
      <c r="J2240" s="11" t="s">
        <v>2805</v>
      </c>
    </row>
    <row r="2241" spans="1:10" s="10" customFormat="1" x14ac:dyDescent="0.25">
      <c r="A2241" s="21" t="s">
        <v>3905</v>
      </c>
      <c r="D2241" s="25"/>
      <c r="E2241" s="11"/>
      <c r="F2241" s="26">
        <v>5300</v>
      </c>
      <c r="G2241" s="11" t="s">
        <v>1006</v>
      </c>
      <c r="H2241" s="11" t="s">
        <v>1006</v>
      </c>
      <c r="I2241" s="12" t="s">
        <v>1006</v>
      </c>
      <c r="J2241" s="11" t="s">
        <v>2800</v>
      </c>
    </row>
    <row r="2242" spans="1:10" s="10" customFormat="1" x14ac:dyDescent="0.25">
      <c r="A2242" s="21" t="s">
        <v>1387</v>
      </c>
      <c r="D2242" s="25"/>
      <c r="E2242" s="11"/>
      <c r="F2242" s="26">
        <v>5300</v>
      </c>
      <c r="G2242" s="11" t="s">
        <v>1006</v>
      </c>
      <c r="H2242" s="11" t="s">
        <v>1006</v>
      </c>
      <c r="I2242" s="12" t="s">
        <v>1388</v>
      </c>
      <c r="J2242" s="11" t="s">
        <v>2805</v>
      </c>
    </row>
    <row r="2243" spans="1:10" s="10" customFormat="1" x14ac:dyDescent="0.25">
      <c r="A2243" s="21" t="s">
        <v>3940</v>
      </c>
      <c r="D2243" s="25"/>
      <c r="E2243" s="11"/>
      <c r="F2243" s="26">
        <v>5389</v>
      </c>
      <c r="G2243" s="11" t="s">
        <v>3941</v>
      </c>
      <c r="H2243" s="11" t="s">
        <v>1006</v>
      </c>
      <c r="I2243" s="12" t="s">
        <v>3941</v>
      </c>
      <c r="J2243" s="11" t="s">
        <v>2805</v>
      </c>
    </row>
    <row r="2244" spans="1:10" s="10" customFormat="1" x14ac:dyDescent="0.25">
      <c r="A2244" s="21" t="s">
        <v>3944</v>
      </c>
      <c r="D2244" s="25"/>
      <c r="E2244" s="11"/>
      <c r="F2244" s="26">
        <v>5274</v>
      </c>
      <c r="G2244" s="11" t="s">
        <v>3945</v>
      </c>
      <c r="H2244" s="11" t="s">
        <v>1006</v>
      </c>
      <c r="I2244" s="12" t="s">
        <v>3945</v>
      </c>
      <c r="J2244" s="11" t="s">
        <v>2805</v>
      </c>
    </row>
    <row r="2245" spans="1:10" s="10" customFormat="1" x14ac:dyDescent="0.25">
      <c r="A2245" s="21" t="s">
        <v>3947</v>
      </c>
      <c r="D2245" s="25"/>
      <c r="E2245" s="11"/>
      <c r="F2245" s="26">
        <v>5372</v>
      </c>
      <c r="G2245" s="11" t="s">
        <v>3948</v>
      </c>
      <c r="H2245" s="11" t="s">
        <v>1006</v>
      </c>
      <c r="I2245" s="12" t="s">
        <v>3948</v>
      </c>
      <c r="J2245" s="11" t="s">
        <v>2805</v>
      </c>
    </row>
    <row r="2246" spans="1:10" s="10" customFormat="1" x14ac:dyDescent="0.25">
      <c r="A2246" s="21" t="s">
        <v>3951</v>
      </c>
      <c r="D2246" s="25"/>
      <c r="E2246" s="11"/>
      <c r="F2246" s="26">
        <v>5383</v>
      </c>
      <c r="G2246" s="11" t="s">
        <v>3952</v>
      </c>
      <c r="H2246" s="11" t="s">
        <v>1006</v>
      </c>
      <c r="I2246" s="12" t="s">
        <v>3952</v>
      </c>
      <c r="J2246" s="11" t="s">
        <v>2805</v>
      </c>
    </row>
    <row r="2247" spans="1:10" s="10" customFormat="1" x14ac:dyDescent="0.25">
      <c r="A2247" s="21" t="s">
        <v>3955</v>
      </c>
      <c r="D2247" s="25"/>
      <c r="E2247" s="11"/>
      <c r="F2247" s="26">
        <v>5386</v>
      </c>
      <c r="G2247" s="11" t="s">
        <v>3956</v>
      </c>
      <c r="H2247" s="11" t="s">
        <v>1006</v>
      </c>
      <c r="I2247" s="12" t="s">
        <v>3956</v>
      </c>
      <c r="J2247" s="11" t="s">
        <v>2805</v>
      </c>
    </row>
    <row r="2248" spans="1:10" s="10" customFormat="1" x14ac:dyDescent="0.25">
      <c r="A2248" s="21" t="s">
        <v>3958</v>
      </c>
      <c r="D2248" s="25"/>
      <c r="E2248" s="11"/>
      <c r="F2248" s="26">
        <v>5327</v>
      </c>
      <c r="G2248" s="11" t="s">
        <v>3959</v>
      </c>
      <c r="H2248" s="11" t="s">
        <v>1006</v>
      </c>
      <c r="I2248" s="12" t="s">
        <v>3959</v>
      </c>
      <c r="J2248" s="11" t="s">
        <v>2805</v>
      </c>
    </row>
    <row r="2249" spans="1:10" s="10" customFormat="1" x14ac:dyDescent="0.25">
      <c r="A2249" s="21" t="s">
        <v>1361</v>
      </c>
      <c r="D2249" s="25"/>
      <c r="E2249" s="11"/>
      <c r="F2249" s="26">
        <v>5473</v>
      </c>
      <c r="G2249" s="11" t="s">
        <v>1362</v>
      </c>
      <c r="H2249" s="11" t="s">
        <v>1006</v>
      </c>
      <c r="I2249" s="12" t="s">
        <v>1362</v>
      </c>
      <c r="J2249" s="11" t="s">
        <v>2805</v>
      </c>
    </row>
    <row r="2250" spans="1:10" s="10" customFormat="1" x14ac:dyDescent="0.25">
      <c r="A2250" s="21" t="s">
        <v>1364</v>
      </c>
      <c r="D2250" s="25"/>
      <c r="E2250" s="11"/>
      <c r="F2250" s="26">
        <v>5355</v>
      </c>
      <c r="G2250" s="11" t="s">
        <v>1365</v>
      </c>
      <c r="H2250" s="11" t="s">
        <v>1006</v>
      </c>
      <c r="I2250" s="12" t="s">
        <v>1365</v>
      </c>
      <c r="J2250" s="11" t="s">
        <v>2805</v>
      </c>
    </row>
    <row r="2251" spans="1:10" s="10" customFormat="1" x14ac:dyDescent="0.25">
      <c r="A2251" s="21" t="s">
        <v>1367</v>
      </c>
      <c r="D2251" s="25"/>
      <c r="E2251" s="11"/>
      <c r="F2251" s="26">
        <v>5314</v>
      </c>
      <c r="G2251" s="11" t="s">
        <v>1368</v>
      </c>
      <c r="H2251" s="11" t="s">
        <v>1006</v>
      </c>
      <c r="I2251" s="12" t="s">
        <v>1368</v>
      </c>
      <c r="J2251" s="11" t="s">
        <v>2805</v>
      </c>
    </row>
    <row r="2252" spans="1:10" s="10" customFormat="1" x14ac:dyDescent="0.25">
      <c r="A2252" s="21" t="s">
        <v>1371</v>
      </c>
      <c r="D2252" s="25"/>
      <c r="E2252" s="11"/>
      <c r="F2252" s="26">
        <v>5379</v>
      </c>
      <c r="G2252" s="11" t="s">
        <v>1372</v>
      </c>
      <c r="H2252" s="11" t="s">
        <v>1006</v>
      </c>
      <c r="I2252" s="12" t="s">
        <v>1372</v>
      </c>
      <c r="J2252" s="11" t="s">
        <v>2805</v>
      </c>
    </row>
    <row r="2253" spans="1:10" s="10" customFormat="1" x14ac:dyDescent="0.25">
      <c r="A2253" s="21" t="s">
        <v>1374</v>
      </c>
      <c r="D2253" s="25"/>
      <c r="E2253" s="11"/>
      <c r="F2253" s="26">
        <v>5275</v>
      </c>
      <c r="G2253" s="11" t="s">
        <v>1377</v>
      </c>
      <c r="H2253" s="11" t="s">
        <v>1006</v>
      </c>
      <c r="I2253" s="12" t="s">
        <v>1375</v>
      </c>
      <c r="J2253" s="11" t="s">
        <v>2805</v>
      </c>
    </row>
    <row r="2254" spans="1:10" s="10" customFormat="1" x14ac:dyDescent="0.25">
      <c r="A2254" s="21" t="s">
        <v>1378</v>
      </c>
      <c r="D2254" s="25"/>
      <c r="E2254" s="11"/>
      <c r="F2254" s="26">
        <v>5350</v>
      </c>
      <c r="G2254" s="11" t="s">
        <v>1379</v>
      </c>
      <c r="H2254" s="11" t="s">
        <v>1006</v>
      </c>
      <c r="I2254" s="12" t="s">
        <v>1379</v>
      </c>
      <c r="J2254" s="11" t="s">
        <v>2805</v>
      </c>
    </row>
    <row r="2255" spans="1:10" s="10" customFormat="1" x14ac:dyDescent="0.25">
      <c r="A2255" s="21" t="s">
        <v>1382</v>
      </c>
      <c r="D2255" s="25"/>
      <c r="E2255" s="11"/>
      <c r="F2255" s="26">
        <v>5357</v>
      </c>
      <c r="G2255" s="11" t="s">
        <v>1383</v>
      </c>
      <c r="H2255" s="11" t="s">
        <v>1006</v>
      </c>
      <c r="I2255" s="12" t="s">
        <v>1383</v>
      </c>
      <c r="J2255" s="11" t="s">
        <v>2805</v>
      </c>
    </row>
    <row r="2256" spans="1:10" s="10" customFormat="1" x14ac:dyDescent="0.25">
      <c r="A2256" s="21" t="s">
        <v>192</v>
      </c>
      <c r="D2256" s="25"/>
      <c r="E2256" s="11"/>
      <c r="F2256" s="26">
        <v>5533</v>
      </c>
      <c r="G2256" s="11" t="s">
        <v>193</v>
      </c>
      <c r="H2256" s="11" t="s">
        <v>2778</v>
      </c>
      <c r="I2256" s="12" t="s">
        <v>193</v>
      </c>
      <c r="J2256" s="11" t="s">
        <v>2805</v>
      </c>
    </row>
    <row r="2257" spans="1:10" s="10" customFormat="1" x14ac:dyDescent="0.25">
      <c r="A2257" s="21" t="s">
        <v>196</v>
      </c>
      <c r="D2257" s="25"/>
      <c r="E2257" s="11"/>
      <c r="F2257" s="26">
        <v>5634</v>
      </c>
      <c r="G2257" s="11" t="s">
        <v>197</v>
      </c>
      <c r="H2257" s="11" t="s">
        <v>2778</v>
      </c>
      <c r="I2257" s="12" t="s">
        <v>197</v>
      </c>
      <c r="J2257" s="11" t="s">
        <v>2805</v>
      </c>
    </row>
    <row r="2258" spans="1:10" s="10" customFormat="1" x14ac:dyDescent="0.25">
      <c r="A2258" s="21" t="s">
        <v>203</v>
      </c>
      <c r="D2258" s="25"/>
      <c r="E2258" s="11"/>
      <c r="F2258" s="26">
        <v>5565</v>
      </c>
      <c r="G2258" s="11" t="s">
        <v>207</v>
      </c>
      <c r="H2258" s="11" t="s">
        <v>2778</v>
      </c>
      <c r="I2258" s="12" t="s">
        <v>204</v>
      </c>
      <c r="J2258" s="11" t="s">
        <v>2805</v>
      </c>
    </row>
    <row r="2259" spans="1:10" s="10" customFormat="1" x14ac:dyDescent="0.25">
      <c r="A2259" s="21" t="s">
        <v>208</v>
      </c>
      <c r="D2259" s="25"/>
      <c r="E2259" s="11"/>
      <c r="F2259" s="26">
        <v>5621</v>
      </c>
      <c r="G2259" s="11" t="s">
        <v>209</v>
      </c>
      <c r="H2259" s="11" t="s">
        <v>2778</v>
      </c>
      <c r="I2259" s="12" t="s">
        <v>209</v>
      </c>
      <c r="J2259" s="11" t="s">
        <v>2805</v>
      </c>
    </row>
    <row r="2260" spans="1:10" s="10" customFormat="1" x14ac:dyDescent="0.25">
      <c r="A2260" s="21" t="s">
        <v>199</v>
      </c>
      <c r="D2260" s="25"/>
      <c r="E2260" s="11"/>
      <c r="F2260" s="26">
        <v>5505</v>
      </c>
      <c r="G2260" s="11" t="s">
        <v>202</v>
      </c>
      <c r="H2260" s="11" t="s">
        <v>2778</v>
      </c>
      <c r="I2260" s="12" t="s">
        <v>200</v>
      </c>
      <c r="J2260" s="11" t="s">
        <v>2805</v>
      </c>
    </row>
    <row r="2261" spans="1:10" s="10" customFormat="1" x14ac:dyDescent="0.25">
      <c r="A2261" s="21" t="s">
        <v>212</v>
      </c>
      <c r="D2261" s="25"/>
      <c r="E2261" s="11"/>
      <c r="F2261" s="26">
        <v>5528</v>
      </c>
      <c r="G2261" s="11" t="s">
        <v>216</v>
      </c>
      <c r="H2261" s="11" t="s">
        <v>2778</v>
      </c>
      <c r="I2261" s="12" t="s">
        <v>213</v>
      </c>
      <c r="J2261" s="11" t="s">
        <v>2805</v>
      </c>
    </row>
    <row r="2262" spans="1:10" s="10" customFormat="1" x14ac:dyDescent="0.25">
      <c r="A2262" s="21" t="s">
        <v>217</v>
      </c>
      <c r="D2262" s="25"/>
      <c r="E2262" s="11"/>
      <c r="F2262" s="26">
        <v>5632</v>
      </c>
      <c r="G2262" s="11" t="s">
        <v>220</v>
      </c>
      <c r="H2262" s="11" t="s">
        <v>2778</v>
      </c>
      <c r="I2262" s="12" t="s">
        <v>218</v>
      </c>
      <c r="J2262" s="11" t="s">
        <v>2805</v>
      </c>
    </row>
    <row r="2263" spans="1:10" s="10" customFormat="1" x14ac:dyDescent="0.25">
      <c r="A2263" s="21" t="s">
        <v>188</v>
      </c>
      <c r="D2263" s="25"/>
      <c r="E2263" s="11"/>
      <c r="F2263" s="26">
        <v>5626</v>
      </c>
      <c r="G2263" s="11" t="s">
        <v>4350</v>
      </c>
      <c r="H2263" s="11" t="s">
        <v>2778</v>
      </c>
      <c r="I2263" s="12" t="s">
        <v>189</v>
      </c>
      <c r="J2263" s="11" t="s">
        <v>2805</v>
      </c>
    </row>
    <row r="2264" spans="1:10" s="10" customFormat="1" x14ac:dyDescent="0.25">
      <c r="A2264" s="21" t="s">
        <v>221</v>
      </c>
      <c r="D2264" s="25"/>
      <c r="E2264" s="11"/>
      <c r="F2264" s="26">
        <v>5569</v>
      </c>
      <c r="G2264" s="11" t="s">
        <v>225</v>
      </c>
      <c r="H2264" s="11" t="s">
        <v>2778</v>
      </c>
      <c r="I2264" s="12" t="s">
        <v>222</v>
      </c>
      <c r="J2264" s="11" t="s">
        <v>2805</v>
      </c>
    </row>
    <row r="2265" spans="1:10" s="10" customFormat="1" x14ac:dyDescent="0.25">
      <c r="A2265" s="21" t="s">
        <v>226</v>
      </c>
      <c r="D2265" s="25"/>
      <c r="E2265" s="11"/>
      <c r="F2265" s="26">
        <v>5531</v>
      </c>
      <c r="G2265" s="11" t="s">
        <v>229</v>
      </c>
      <c r="H2265" s="11" t="s">
        <v>2778</v>
      </c>
      <c r="I2265" s="12" t="s">
        <v>227</v>
      </c>
      <c r="J2265" s="11" t="s">
        <v>2805</v>
      </c>
    </row>
    <row r="2266" spans="1:10" s="10" customFormat="1" x14ac:dyDescent="0.25">
      <c r="A2266" s="21" t="s">
        <v>126</v>
      </c>
      <c r="D2266" s="25"/>
      <c r="E2266" s="11"/>
      <c r="F2266" s="26">
        <v>5620</v>
      </c>
      <c r="G2266" s="11" t="s">
        <v>4368</v>
      </c>
      <c r="H2266" s="11" t="s">
        <v>2778</v>
      </c>
      <c r="I2266" s="12" t="s">
        <v>127</v>
      </c>
      <c r="J2266" s="11" t="s">
        <v>2805</v>
      </c>
    </row>
    <row r="2267" spans="1:10" s="10" customFormat="1" x14ac:dyDescent="0.25">
      <c r="A2267" s="21" t="s">
        <v>132</v>
      </c>
      <c r="D2267" s="25"/>
      <c r="E2267" s="11"/>
      <c r="F2267" s="26">
        <v>5501</v>
      </c>
      <c r="G2267" s="11" t="s">
        <v>133</v>
      </c>
      <c r="H2267" s="11" t="s">
        <v>2778</v>
      </c>
      <c r="I2267" s="12" t="s">
        <v>133</v>
      </c>
      <c r="J2267" s="11" t="s">
        <v>2800</v>
      </c>
    </row>
    <row r="2268" spans="1:10" s="10" customFormat="1" x14ac:dyDescent="0.25">
      <c r="A2268" s="21" t="s">
        <v>136</v>
      </c>
      <c r="D2268" s="25"/>
      <c r="E2268" s="11"/>
      <c r="F2268" s="26">
        <v>5582</v>
      </c>
      <c r="G2268" s="11" t="s">
        <v>140</v>
      </c>
      <c r="H2268" s="11" t="s">
        <v>2778</v>
      </c>
      <c r="I2268" s="12" t="s">
        <v>137</v>
      </c>
      <c r="J2268" s="11" t="s">
        <v>2805</v>
      </c>
    </row>
    <row r="2269" spans="1:10" s="10" customFormat="1" x14ac:dyDescent="0.25">
      <c r="A2269" s="21" t="s">
        <v>1051</v>
      </c>
      <c r="D2269" s="25"/>
      <c r="E2269" s="11"/>
      <c r="F2269" s="26">
        <v>5573</v>
      </c>
      <c r="G2269" s="11" t="s">
        <v>2683</v>
      </c>
      <c r="H2269" s="11" t="s">
        <v>2778</v>
      </c>
      <c r="I2269" s="12" t="s">
        <v>1052</v>
      </c>
      <c r="J2269" s="11" t="s">
        <v>2805</v>
      </c>
    </row>
    <row r="2270" spans="1:10" s="10" customFormat="1" x14ac:dyDescent="0.25">
      <c r="A2270" s="21" t="s">
        <v>141</v>
      </c>
      <c r="D2270" s="25"/>
      <c r="E2270" s="11"/>
      <c r="F2270" s="26">
        <v>5567</v>
      </c>
      <c r="G2270" s="11" t="s">
        <v>142</v>
      </c>
      <c r="H2270" s="11" t="s">
        <v>2778</v>
      </c>
      <c r="I2270" s="12" t="s">
        <v>142</v>
      </c>
      <c r="J2270" s="11" t="s">
        <v>2805</v>
      </c>
    </row>
    <row r="2271" spans="1:10" s="10" customFormat="1" x14ac:dyDescent="0.25">
      <c r="A2271" s="21" t="s">
        <v>144</v>
      </c>
      <c r="D2271" s="25"/>
      <c r="E2271" s="11"/>
      <c r="F2271" s="26">
        <v>5592</v>
      </c>
      <c r="G2271" s="11" t="s">
        <v>145</v>
      </c>
      <c r="H2271" s="11" t="s">
        <v>2778</v>
      </c>
      <c r="I2271" s="12" t="s">
        <v>145</v>
      </c>
      <c r="J2271" s="11" t="s">
        <v>2805</v>
      </c>
    </row>
    <row r="2272" spans="1:10" s="10" customFormat="1" x14ac:dyDescent="0.25">
      <c r="A2272" s="21" t="s">
        <v>2694</v>
      </c>
      <c r="D2272" s="25"/>
      <c r="E2272" s="11"/>
      <c r="F2272" s="26">
        <v>5590</v>
      </c>
      <c r="G2272" s="11" t="s">
        <v>346</v>
      </c>
      <c r="H2272" s="11" t="s">
        <v>2778</v>
      </c>
      <c r="I2272" s="12" t="s">
        <v>346</v>
      </c>
      <c r="J2272" s="11" t="s">
        <v>2805</v>
      </c>
    </row>
    <row r="2273" spans="1:10" s="10" customFormat="1" x14ac:dyDescent="0.25">
      <c r="A2273" s="21" t="s">
        <v>2696</v>
      </c>
      <c r="D2273" s="25"/>
      <c r="E2273" s="11"/>
      <c r="F2273" s="26">
        <v>5594</v>
      </c>
      <c r="G2273" s="11" t="s">
        <v>2697</v>
      </c>
      <c r="H2273" s="11" t="s">
        <v>2778</v>
      </c>
      <c r="I2273" s="12" t="s">
        <v>2697</v>
      </c>
      <c r="J2273" s="11" t="s">
        <v>2805</v>
      </c>
    </row>
    <row r="2274" spans="1:10" s="10" customFormat="1" x14ac:dyDescent="0.25">
      <c r="A2274" s="21" t="s">
        <v>2700</v>
      </c>
      <c r="D2274" s="25"/>
      <c r="E2274" s="11"/>
      <c r="F2274" s="26">
        <v>5540</v>
      </c>
      <c r="G2274" s="11" t="s">
        <v>4399</v>
      </c>
      <c r="H2274" s="11" t="s">
        <v>2778</v>
      </c>
      <c r="I2274" s="12" t="s">
        <v>4399</v>
      </c>
      <c r="J2274" s="11" t="s">
        <v>2805</v>
      </c>
    </row>
    <row r="2275" spans="1:10" s="10" customFormat="1" x14ac:dyDescent="0.25">
      <c r="A2275" s="21" t="s">
        <v>2706</v>
      </c>
      <c r="D2275" s="25"/>
      <c r="E2275" s="11"/>
      <c r="F2275" s="26">
        <v>5507</v>
      </c>
      <c r="G2275" s="11" t="s">
        <v>2707</v>
      </c>
      <c r="H2275" s="11" t="s">
        <v>2778</v>
      </c>
      <c r="I2275" s="12" t="s">
        <v>2707</v>
      </c>
      <c r="J2275" s="11" t="s">
        <v>2800</v>
      </c>
    </row>
    <row r="2276" spans="1:10" s="10" customFormat="1" x14ac:dyDescent="0.25">
      <c r="A2276" s="21" t="s">
        <v>2709</v>
      </c>
      <c r="D2276" s="25"/>
      <c r="E2276" s="11"/>
      <c r="F2276" s="26">
        <v>5515</v>
      </c>
      <c r="G2276" s="11" t="s">
        <v>4731</v>
      </c>
      <c r="H2276" s="11" t="s">
        <v>2778</v>
      </c>
      <c r="I2276" s="12" t="s">
        <v>4731</v>
      </c>
      <c r="J2276" s="11" t="s">
        <v>2800</v>
      </c>
    </row>
    <row r="2277" spans="1:10" s="10" customFormat="1" x14ac:dyDescent="0.25">
      <c r="A2277" s="21" t="s">
        <v>2711</v>
      </c>
      <c r="D2277" s="25"/>
      <c r="E2277" s="11"/>
      <c r="F2277" s="26">
        <v>5613</v>
      </c>
      <c r="G2277" s="11" t="s">
        <v>2715</v>
      </c>
      <c r="H2277" s="11" t="s">
        <v>2778</v>
      </c>
      <c r="I2277" s="12" t="s">
        <v>2712</v>
      </c>
      <c r="J2277" s="11" t="s">
        <v>2805</v>
      </c>
    </row>
    <row r="2278" spans="1:10" s="10" customFormat="1" x14ac:dyDescent="0.25">
      <c r="A2278" s="21" t="s">
        <v>2716</v>
      </c>
      <c r="D2278" s="25"/>
      <c r="E2278" s="11"/>
      <c r="F2278" s="26">
        <v>5633</v>
      </c>
      <c r="G2278" s="11" t="s">
        <v>868</v>
      </c>
      <c r="H2278" s="11" t="s">
        <v>2778</v>
      </c>
      <c r="I2278" s="12" t="s">
        <v>868</v>
      </c>
      <c r="J2278" s="11" t="s">
        <v>2805</v>
      </c>
    </row>
    <row r="2279" spans="1:10" s="10" customFormat="1" x14ac:dyDescent="0.25">
      <c r="A2279" s="21" t="s">
        <v>183</v>
      </c>
      <c r="D2279" s="25"/>
      <c r="E2279" s="11"/>
      <c r="F2279" s="26">
        <v>5500</v>
      </c>
      <c r="G2279" s="11" t="s">
        <v>2778</v>
      </c>
      <c r="H2279" s="11" t="s">
        <v>2778</v>
      </c>
      <c r="I2279" s="12" t="s">
        <v>2778</v>
      </c>
      <c r="J2279" s="11" t="s">
        <v>2800</v>
      </c>
    </row>
    <row r="2280" spans="1:10" s="10" customFormat="1" x14ac:dyDescent="0.25">
      <c r="A2280" s="21" t="s">
        <v>184</v>
      </c>
      <c r="D2280" s="25"/>
      <c r="E2280" s="11"/>
      <c r="F2280" s="26">
        <v>5500</v>
      </c>
      <c r="G2280" s="11" t="s">
        <v>2778</v>
      </c>
      <c r="H2280" s="11" t="s">
        <v>2778</v>
      </c>
      <c r="I2280" s="12" t="s">
        <v>185</v>
      </c>
      <c r="J2280" s="11" t="s">
        <v>2800</v>
      </c>
    </row>
    <row r="2281" spans="1:10" s="10" customFormat="1" x14ac:dyDescent="0.25">
      <c r="A2281" s="21" t="s">
        <v>2718</v>
      </c>
      <c r="D2281" s="25"/>
      <c r="E2281" s="11"/>
      <c r="F2281" s="26">
        <v>5609</v>
      </c>
      <c r="G2281" s="11" t="s">
        <v>2719</v>
      </c>
      <c r="H2281" s="11" t="s">
        <v>2778</v>
      </c>
      <c r="I2281" s="12" t="s">
        <v>2719</v>
      </c>
      <c r="J2281" s="11" t="s">
        <v>2805</v>
      </c>
    </row>
    <row r="2282" spans="1:10" s="10" customFormat="1" x14ac:dyDescent="0.25">
      <c r="A2282" s="21" t="s">
        <v>2721</v>
      </c>
      <c r="D2282" s="25"/>
      <c r="E2282" s="11"/>
      <c r="F2282" s="26">
        <v>5584</v>
      </c>
      <c r="G2282" s="11" t="s">
        <v>2722</v>
      </c>
      <c r="H2282" s="11" t="s">
        <v>2778</v>
      </c>
      <c r="I2282" s="12" t="s">
        <v>2722</v>
      </c>
      <c r="J2282" s="11" t="s">
        <v>2805</v>
      </c>
    </row>
    <row r="2283" spans="1:10" s="10" customFormat="1" x14ac:dyDescent="0.25">
      <c r="A2283" s="21" t="s">
        <v>2725</v>
      </c>
      <c r="D2283" s="25"/>
      <c r="E2283" s="11"/>
      <c r="F2283" s="26">
        <v>5553</v>
      </c>
      <c r="G2283" s="11" t="s">
        <v>2726</v>
      </c>
      <c r="H2283" s="11" t="s">
        <v>2778</v>
      </c>
      <c r="I2283" s="12" t="s">
        <v>2726</v>
      </c>
      <c r="J2283" s="11" t="s">
        <v>2805</v>
      </c>
    </row>
    <row r="2284" spans="1:10" s="10" customFormat="1" x14ac:dyDescent="0.25">
      <c r="A2284" s="21" t="s">
        <v>2729</v>
      </c>
      <c r="D2284" s="25"/>
      <c r="E2284" s="11"/>
      <c r="F2284" s="26">
        <v>5624</v>
      </c>
      <c r="G2284" s="11" t="s">
        <v>2730</v>
      </c>
      <c r="H2284" s="11" t="s">
        <v>2778</v>
      </c>
      <c r="I2284" s="12" t="s">
        <v>2730</v>
      </c>
      <c r="J2284" s="11" t="s">
        <v>2805</v>
      </c>
    </row>
    <row r="2285" spans="1:10" s="10" customFormat="1" x14ac:dyDescent="0.25">
      <c r="A2285" s="21" t="s">
        <v>2732</v>
      </c>
      <c r="D2285" s="25"/>
      <c r="E2285" s="11"/>
      <c r="F2285" s="26">
        <v>5577</v>
      </c>
      <c r="G2285" s="11" t="s">
        <v>1668</v>
      </c>
      <c r="H2285" s="11" t="s">
        <v>2778</v>
      </c>
      <c r="I2285" s="12" t="s">
        <v>1668</v>
      </c>
      <c r="J2285" s="11" t="s">
        <v>2800</v>
      </c>
    </row>
    <row r="2286" spans="1:10" s="10" customFormat="1" x14ac:dyDescent="0.25">
      <c r="A2286" s="21" t="s">
        <v>2734</v>
      </c>
      <c r="D2286" s="25"/>
      <c r="E2286" s="11"/>
      <c r="F2286" s="26">
        <v>5525</v>
      </c>
      <c r="G2286" s="11" t="s">
        <v>2738</v>
      </c>
      <c r="H2286" s="11" t="s">
        <v>2778</v>
      </c>
      <c r="I2286" s="12" t="s">
        <v>2735</v>
      </c>
      <c r="J2286" s="11" t="s">
        <v>2805</v>
      </c>
    </row>
    <row r="2287" spans="1:10" s="10" customFormat="1" x14ac:dyDescent="0.25">
      <c r="A2287" s="21" t="s">
        <v>2739</v>
      </c>
      <c r="D2287" s="25"/>
      <c r="E2287" s="11"/>
      <c r="F2287" s="26">
        <v>5529</v>
      </c>
      <c r="G2287" s="11" t="s">
        <v>2740</v>
      </c>
      <c r="H2287" s="11" t="s">
        <v>2778</v>
      </c>
      <c r="I2287" s="12" t="s">
        <v>2740</v>
      </c>
      <c r="J2287" s="11" t="s">
        <v>2805</v>
      </c>
    </row>
    <row r="2288" spans="1:10" s="10" customFormat="1" x14ac:dyDescent="0.25">
      <c r="A2288" s="21" t="s">
        <v>2742</v>
      </c>
      <c r="D2288" s="25"/>
      <c r="E2288" s="11"/>
      <c r="F2288" s="26">
        <v>5512</v>
      </c>
      <c r="G2288" s="11" t="s">
        <v>2140</v>
      </c>
      <c r="H2288" s="11" t="s">
        <v>2778</v>
      </c>
      <c r="I2288" s="12" t="s">
        <v>2140</v>
      </c>
      <c r="J2288" s="11" t="s">
        <v>2805</v>
      </c>
    </row>
    <row r="2289" spans="1:10" s="10" customFormat="1" x14ac:dyDescent="0.25">
      <c r="A2289" s="21" t="s">
        <v>2744</v>
      </c>
      <c r="D2289" s="25"/>
      <c r="E2289" s="11"/>
      <c r="F2289" s="26">
        <v>5535</v>
      </c>
      <c r="G2289" s="11" t="s">
        <v>1275</v>
      </c>
      <c r="H2289" s="11" t="s">
        <v>2778</v>
      </c>
      <c r="I2289" s="12" t="s">
        <v>1275</v>
      </c>
      <c r="J2289" s="11" t="s">
        <v>2805</v>
      </c>
    </row>
    <row r="2290" spans="1:10" s="10" customFormat="1" x14ac:dyDescent="0.25">
      <c r="A2290" s="21" t="s">
        <v>130</v>
      </c>
      <c r="D2290" s="25"/>
      <c r="E2290" s="11"/>
      <c r="F2290" s="26">
        <v>5570</v>
      </c>
      <c r="G2290" s="11" t="s">
        <v>247</v>
      </c>
      <c r="H2290" s="11" t="s">
        <v>2778</v>
      </c>
      <c r="I2290" s="12" t="s">
        <v>3263</v>
      </c>
      <c r="J2290" s="11" t="s">
        <v>2800</v>
      </c>
    </row>
    <row r="2291" spans="1:10" s="10" customFormat="1" x14ac:dyDescent="0.25">
      <c r="A2291" s="21" t="s">
        <v>2747</v>
      </c>
      <c r="D2291" s="25"/>
      <c r="E2291" s="11"/>
      <c r="F2291" s="26">
        <v>5600</v>
      </c>
      <c r="G2291" s="11" t="s">
        <v>2748</v>
      </c>
      <c r="H2291" s="11" t="s">
        <v>2778</v>
      </c>
      <c r="I2291" s="12" t="s">
        <v>2748</v>
      </c>
      <c r="J2291" s="11" t="s">
        <v>2800</v>
      </c>
    </row>
    <row r="2292" spans="1:10" s="10" customFormat="1" x14ac:dyDescent="0.25">
      <c r="A2292" s="21" t="s">
        <v>2751</v>
      </c>
      <c r="D2292" s="25"/>
      <c r="E2292" s="11"/>
      <c r="F2292" s="26">
        <v>5596</v>
      </c>
      <c r="G2292" s="11" t="s">
        <v>1894</v>
      </c>
      <c r="H2292" s="11" t="s">
        <v>2778</v>
      </c>
      <c r="I2292" s="12" t="s">
        <v>1894</v>
      </c>
      <c r="J2292" s="11" t="s">
        <v>2805</v>
      </c>
    </row>
    <row r="2293" spans="1:10" s="10" customFormat="1" x14ac:dyDescent="0.25">
      <c r="A2293" s="21" t="s">
        <v>2753</v>
      </c>
      <c r="D2293" s="25"/>
      <c r="E2293" s="11"/>
      <c r="F2293" s="26">
        <v>5560</v>
      </c>
      <c r="G2293" s="11" t="s">
        <v>2754</v>
      </c>
      <c r="H2293" s="11" t="s">
        <v>2778</v>
      </c>
      <c r="I2293" s="12" t="s">
        <v>2754</v>
      </c>
      <c r="J2293" s="11" t="s">
        <v>2805</v>
      </c>
    </row>
    <row r="2294" spans="1:10" s="10" customFormat="1" x14ac:dyDescent="0.25">
      <c r="A2294" s="21" t="s">
        <v>2756</v>
      </c>
      <c r="D2294" s="25"/>
      <c r="E2294" s="11"/>
      <c r="F2294" s="26">
        <v>5561</v>
      </c>
      <c r="G2294" s="11" t="s">
        <v>2757</v>
      </c>
      <c r="H2294" s="11" t="s">
        <v>2778</v>
      </c>
      <c r="I2294" s="12" t="s">
        <v>2757</v>
      </c>
      <c r="J2294" s="11" t="s">
        <v>2805</v>
      </c>
    </row>
    <row r="2295" spans="1:10" s="10" customFormat="1" x14ac:dyDescent="0.25">
      <c r="A2295" s="21" t="s">
        <v>2759</v>
      </c>
      <c r="D2295" s="25"/>
      <c r="E2295" s="11"/>
      <c r="F2295" s="26">
        <v>5545</v>
      </c>
      <c r="G2295" s="11" t="s">
        <v>2760</v>
      </c>
      <c r="H2295" s="11" t="s">
        <v>2778</v>
      </c>
      <c r="I2295" s="12" t="s">
        <v>2760</v>
      </c>
      <c r="J2295" s="11" t="s">
        <v>2805</v>
      </c>
    </row>
    <row r="2296" spans="1:10" s="10" customFormat="1" x14ac:dyDescent="0.25">
      <c r="A2296" s="21" t="s">
        <v>2762</v>
      </c>
      <c r="D2296" s="25"/>
      <c r="E2296" s="11"/>
      <c r="F2296" s="26">
        <v>5612</v>
      </c>
      <c r="G2296" s="11" t="s">
        <v>2766</v>
      </c>
      <c r="H2296" s="11" t="s">
        <v>2778</v>
      </c>
      <c r="I2296" s="12" t="s">
        <v>2763</v>
      </c>
      <c r="J2296" s="11" t="s">
        <v>2805</v>
      </c>
    </row>
    <row r="2297" spans="1:10" s="10" customFormat="1" x14ac:dyDescent="0.25">
      <c r="A2297" s="21" t="s">
        <v>1048</v>
      </c>
      <c r="D2297" s="25"/>
      <c r="E2297" s="11"/>
      <c r="F2297" s="26">
        <v>5622</v>
      </c>
      <c r="G2297" s="11" t="s">
        <v>1049</v>
      </c>
      <c r="H2297" s="11" t="s">
        <v>2778</v>
      </c>
      <c r="I2297" s="12" t="s">
        <v>1049</v>
      </c>
      <c r="J2297" s="11" t="s">
        <v>2805</v>
      </c>
    </row>
    <row r="2298" spans="1:10" s="10" customFormat="1" x14ac:dyDescent="0.25">
      <c r="A2298" s="21" t="s">
        <v>1054</v>
      </c>
      <c r="D2298" s="25"/>
      <c r="E2298" s="11"/>
      <c r="F2298" s="26">
        <v>5521</v>
      </c>
      <c r="G2298" s="11" t="s">
        <v>1055</v>
      </c>
      <c r="H2298" s="11" t="s">
        <v>2778</v>
      </c>
      <c r="I2298" s="12" t="s">
        <v>1055</v>
      </c>
      <c r="J2298" s="11" t="s">
        <v>2805</v>
      </c>
    </row>
    <row r="2299" spans="1:10" s="10" customFormat="1" x14ac:dyDescent="0.25">
      <c r="A2299" s="21" t="s">
        <v>2702</v>
      </c>
      <c r="D2299" s="25"/>
      <c r="E2299" s="11"/>
      <c r="F2299" s="26">
        <v>5664</v>
      </c>
      <c r="G2299" s="11" t="s">
        <v>2705</v>
      </c>
      <c r="H2299" s="11" t="s">
        <v>2778</v>
      </c>
      <c r="I2299" s="12" t="s">
        <v>1842</v>
      </c>
      <c r="J2299" s="11" t="s">
        <v>2805</v>
      </c>
    </row>
    <row r="2300" spans="1:10" s="10" customFormat="1" x14ac:dyDescent="0.25">
      <c r="A2300" s="21" t="s">
        <v>1057</v>
      </c>
      <c r="D2300" s="25"/>
      <c r="E2300" s="11"/>
      <c r="F2300" s="26">
        <v>5665</v>
      </c>
      <c r="G2300" s="11" t="s">
        <v>1058</v>
      </c>
      <c r="H2300" s="11" t="s">
        <v>2778</v>
      </c>
      <c r="I2300" s="12" t="s">
        <v>1058</v>
      </c>
      <c r="J2300" s="11" t="s">
        <v>2805</v>
      </c>
    </row>
    <row r="2301" spans="1:10" s="10" customFormat="1" x14ac:dyDescent="0.25">
      <c r="A2301" s="21" t="s">
        <v>4665</v>
      </c>
      <c r="D2301" s="25"/>
      <c r="E2301" s="11"/>
      <c r="F2301" s="26">
        <v>3337</v>
      </c>
      <c r="G2301" s="11" t="s">
        <v>4668</v>
      </c>
      <c r="H2301" s="11" t="s">
        <v>1064</v>
      </c>
      <c r="I2301" s="12" t="s">
        <v>4666</v>
      </c>
      <c r="J2301" s="11" t="s">
        <v>2805</v>
      </c>
    </row>
    <row r="2302" spans="1:10" s="10" customFormat="1" x14ac:dyDescent="0.25">
      <c r="A2302" s="21" t="s">
        <v>2865</v>
      </c>
      <c r="D2302" s="25"/>
      <c r="E2302" s="11"/>
      <c r="F2302" s="26">
        <v>3363</v>
      </c>
      <c r="G2302" s="11" t="s">
        <v>2226</v>
      </c>
      <c r="H2302" s="11" t="s">
        <v>1064</v>
      </c>
      <c r="I2302" s="12" t="s">
        <v>2866</v>
      </c>
      <c r="J2302" s="11" t="s">
        <v>2805</v>
      </c>
    </row>
    <row r="2303" spans="1:10" s="10" customFormat="1" x14ac:dyDescent="0.25">
      <c r="A2303" s="21" t="s">
        <v>1065</v>
      </c>
      <c r="D2303" s="25"/>
      <c r="E2303" s="11"/>
      <c r="F2303" s="26">
        <v>3363</v>
      </c>
      <c r="G2303" s="11" t="s">
        <v>1066</v>
      </c>
      <c r="H2303" s="11" t="s">
        <v>1064</v>
      </c>
      <c r="I2303" s="12" t="s">
        <v>1066</v>
      </c>
      <c r="J2303" s="11" t="s">
        <v>2805</v>
      </c>
    </row>
    <row r="2304" spans="1:10" s="10" customFormat="1" x14ac:dyDescent="0.25">
      <c r="A2304" s="21" t="s">
        <v>4757</v>
      </c>
      <c r="D2304" s="25"/>
      <c r="E2304" s="11"/>
      <c r="F2304" s="26">
        <v>3385</v>
      </c>
      <c r="G2304" s="11" t="s">
        <v>4758</v>
      </c>
      <c r="H2304" s="11" t="s">
        <v>1064</v>
      </c>
      <c r="I2304" s="12" t="s">
        <v>4758</v>
      </c>
      <c r="J2304" s="11" t="s">
        <v>2805</v>
      </c>
    </row>
    <row r="2305" spans="1:10" s="10" customFormat="1" x14ac:dyDescent="0.25">
      <c r="A2305" s="21" t="s">
        <v>1068</v>
      </c>
      <c r="D2305" s="25"/>
      <c r="E2305" s="11"/>
      <c r="F2305" s="26">
        <v>3350</v>
      </c>
      <c r="G2305" s="11" t="s">
        <v>1069</v>
      </c>
      <c r="H2305" s="11" t="s">
        <v>1064</v>
      </c>
      <c r="I2305" s="12" t="s">
        <v>1069</v>
      </c>
      <c r="J2305" s="11" t="s">
        <v>2805</v>
      </c>
    </row>
    <row r="2306" spans="1:10" s="10" customFormat="1" x14ac:dyDescent="0.25">
      <c r="A2306" s="21" t="s">
        <v>1071</v>
      </c>
      <c r="D2306" s="25"/>
      <c r="E2306" s="11"/>
      <c r="F2306" s="26">
        <v>3364</v>
      </c>
      <c r="G2306" s="11" t="s">
        <v>1075</v>
      </c>
      <c r="H2306" s="11" t="s">
        <v>1064</v>
      </c>
      <c r="I2306" s="12" t="s">
        <v>1072</v>
      </c>
      <c r="J2306" s="11" t="s">
        <v>2805</v>
      </c>
    </row>
    <row r="2307" spans="1:10" s="10" customFormat="1" x14ac:dyDescent="0.25">
      <c r="A2307" s="21" t="s">
        <v>1076</v>
      </c>
      <c r="D2307" s="25"/>
      <c r="E2307" s="11"/>
      <c r="F2307" s="26">
        <v>3351</v>
      </c>
      <c r="G2307" s="11" t="s">
        <v>1077</v>
      </c>
      <c r="H2307" s="11" t="s">
        <v>1064</v>
      </c>
      <c r="I2307" s="12" t="s">
        <v>1077</v>
      </c>
      <c r="J2307" s="11" t="s">
        <v>2805</v>
      </c>
    </row>
    <row r="2308" spans="1:10" s="10" customFormat="1" x14ac:dyDescent="0.25">
      <c r="A2308" s="21" t="s">
        <v>1079</v>
      </c>
      <c r="D2308" s="25"/>
      <c r="E2308" s="11"/>
      <c r="F2308" s="26">
        <v>3366</v>
      </c>
      <c r="G2308" s="11" t="s">
        <v>2099</v>
      </c>
      <c r="H2308" s="11" t="s">
        <v>1064</v>
      </c>
      <c r="I2308" s="12" t="s">
        <v>2097</v>
      </c>
      <c r="J2308" s="11" t="s">
        <v>2805</v>
      </c>
    </row>
    <row r="2309" spans="1:10" s="10" customFormat="1" x14ac:dyDescent="0.25">
      <c r="A2309" s="21" t="s">
        <v>2100</v>
      </c>
      <c r="D2309" s="25"/>
      <c r="E2309" s="11"/>
      <c r="F2309" s="26">
        <v>3317</v>
      </c>
      <c r="G2309" s="11" t="s">
        <v>2101</v>
      </c>
      <c r="H2309" s="11" t="s">
        <v>1064</v>
      </c>
      <c r="I2309" s="12" t="s">
        <v>2101</v>
      </c>
      <c r="J2309" s="11" t="s">
        <v>2805</v>
      </c>
    </row>
    <row r="2310" spans="1:10" s="10" customFormat="1" x14ac:dyDescent="0.25">
      <c r="A2310" s="21" t="s">
        <v>2103</v>
      </c>
      <c r="D2310" s="25"/>
      <c r="E2310" s="11"/>
      <c r="F2310" s="26">
        <v>3362</v>
      </c>
      <c r="G2310" s="11" t="s">
        <v>2104</v>
      </c>
      <c r="H2310" s="11" t="s">
        <v>1064</v>
      </c>
      <c r="I2310" s="12" t="s">
        <v>2104</v>
      </c>
      <c r="J2310" s="11" t="s">
        <v>2805</v>
      </c>
    </row>
    <row r="2311" spans="1:10" s="10" customFormat="1" x14ac:dyDescent="0.25">
      <c r="A2311" s="21" t="s">
        <v>2106</v>
      </c>
      <c r="D2311" s="25"/>
      <c r="E2311" s="11"/>
      <c r="F2311" s="26">
        <v>3375</v>
      </c>
      <c r="G2311" s="11" t="s">
        <v>2107</v>
      </c>
      <c r="H2311" s="11" t="s">
        <v>1064</v>
      </c>
      <c r="I2311" s="12" t="s">
        <v>2107</v>
      </c>
      <c r="J2311" s="11" t="s">
        <v>2805</v>
      </c>
    </row>
    <row r="2312" spans="1:10" s="10" customFormat="1" x14ac:dyDescent="0.25">
      <c r="A2312" s="21" t="s">
        <v>2110</v>
      </c>
      <c r="D2312" s="25"/>
      <c r="E2312" s="11"/>
      <c r="F2312" s="26">
        <v>3308</v>
      </c>
      <c r="G2312" s="11" t="s">
        <v>3673</v>
      </c>
      <c r="H2312" s="11" t="s">
        <v>1064</v>
      </c>
      <c r="I2312" s="12" t="s">
        <v>3673</v>
      </c>
      <c r="J2312" s="11" t="s">
        <v>2805</v>
      </c>
    </row>
    <row r="2313" spans="1:10" s="10" customFormat="1" x14ac:dyDescent="0.25">
      <c r="A2313" s="21" t="s">
        <v>2116</v>
      </c>
      <c r="D2313" s="25"/>
      <c r="E2313" s="11"/>
      <c r="F2313" s="26">
        <v>3332</v>
      </c>
      <c r="G2313" s="11" t="s">
        <v>2117</v>
      </c>
      <c r="H2313" s="11" t="s">
        <v>1064</v>
      </c>
      <c r="I2313" s="12" t="s">
        <v>2117</v>
      </c>
      <c r="J2313" s="11" t="s">
        <v>2805</v>
      </c>
    </row>
    <row r="2314" spans="1:10" s="10" customFormat="1" x14ac:dyDescent="0.25">
      <c r="A2314" s="21" t="s">
        <v>2113</v>
      </c>
      <c r="D2314" s="25"/>
      <c r="E2314" s="11"/>
      <c r="F2314" s="26">
        <v>3313</v>
      </c>
      <c r="G2314" s="11" t="s">
        <v>2114</v>
      </c>
      <c r="H2314" s="11" t="s">
        <v>1064</v>
      </c>
      <c r="I2314" s="12" t="s">
        <v>2114</v>
      </c>
      <c r="J2314" s="11" t="s">
        <v>2805</v>
      </c>
    </row>
    <row r="2315" spans="1:10" s="10" customFormat="1" x14ac:dyDescent="0.25">
      <c r="A2315" s="21" t="s">
        <v>2873</v>
      </c>
      <c r="D2315" s="25"/>
      <c r="E2315" s="11"/>
      <c r="F2315" s="26">
        <v>3371</v>
      </c>
      <c r="G2315" s="11" t="s">
        <v>2874</v>
      </c>
      <c r="H2315" s="11" t="s">
        <v>1064</v>
      </c>
      <c r="I2315" s="12" t="s">
        <v>2874</v>
      </c>
      <c r="J2315" s="11" t="s">
        <v>2805</v>
      </c>
    </row>
    <row r="2316" spans="1:10" s="10" customFormat="1" x14ac:dyDescent="0.25">
      <c r="A2316" s="21" t="s">
        <v>4661</v>
      </c>
      <c r="D2316" s="25"/>
      <c r="E2316" s="11"/>
      <c r="F2316" s="26">
        <v>3327</v>
      </c>
      <c r="G2316" s="11" t="s">
        <v>4662</v>
      </c>
      <c r="H2316" s="11" t="s">
        <v>1064</v>
      </c>
      <c r="I2316" s="12" t="s">
        <v>4662</v>
      </c>
      <c r="J2316" s="11" t="s">
        <v>2805</v>
      </c>
    </row>
    <row r="2317" spans="1:10" s="10" customFormat="1" x14ac:dyDescent="0.25">
      <c r="A2317" s="21" t="s">
        <v>268</v>
      </c>
      <c r="D2317" s="25"/>
      <c r="E2317" s="11"/>
      <c r="F2317" s="26">
        <v>3338</v>
      </c>
      <c r="G2317" s="11" t="s">
        <v>269</v>
      </c>
      <c r="H2317" s="11" t="s">
        <v>1064</v>
      </c>
      <c r="I2317" s="12" t="s">
        <v>269</v>
      </c>
      <c r="J2317" s="11" t="s">
        <v>2805</v>
      </c>
    </row>
    <row r="2318" spans="1:10" s="10" customFormat="1" x14ac:dyDescent="0.25">
      <c r="A2318" s="21" t="s">
        <v>4669</v>
      </c>
      <c r="D2318" s="25"/>
      <c r="E2318" s="11"/>
      <c r="F2318" s="26">
        <v>3380</v>
      </c>
      <c r="G2318" s="11" t="s">
        <v>267</v>
      </c>
      <c r="H2318" s="11" t="s">
        <v>1064</v>
      </c>
      <c r="I2318" s="12" t="s">
        <v>265</v>
      </c>
      <c r="J2318" s="11" t="s">
        <v>2800</v>
      </c>
    </row>
    <row r="2319" spans="1:10" s="10" customFormat="1" x14ac:dyDescent="0.25">
      <c r="A2319" s="21" t="s">
        <v>272</v>
      </c>
      <c r="D2319" s="25"/>
      <c r="E2319" s="11"/>
      <c r="F2319" s="26">
        <v>3324</v>
      </c>
      <c r="G2319" s="11" t="s">
        <v>275</v>
      </c>
      <c r="H2319" s="11" t="s">
        <v>1064</v>
      </c>
      <c r="I2319" s="12" t="s">
        <v>273</v>
      </c>
      <c r="J2319" s="11" t="s">
        <v>2805</v>
      </c>
    </row>
    <row r="2320" spans="1:10" s="10" customFormat="1" x14ac:dyDescent="0.25">
      <c r="A2320" s="21" t="s">
        <v>280</v>
      </c>
      <c r="D2320" s="25"/>
      <c r="E2320" s="11"/>
      <c r="F2320" s="26">
        <v>3353</v>
      </c>
      <c r="G2320" s="11" t="s">
        <v>281</v>
      </c>
      <c r="H2320" s="11" t="s">
        <v>1064</v>
      </c>
      <c r="I2320" s="12" t="s">
        <v>281</v>
      </c>
      <c r="J2320" s="11" t="s">
        <v>2805</v>
      </c>
    </row>
    <row r="2321" spans="1:10" s="10" customFormat="1" x14ac:dyDescent="0.25">
      <c r="A2321" s="21" t="s">
        <v>2069</v>
      </c>
      <c r="D2321" s="25"/>
      <c r="E2321" s="11"/>
      <c r="F2321" s="26">
        <v>3328</v>
      </c>
      <c r="G2321" s="11" t="s">
        <v>2070</v>
      </c>
      <c r="H2321" s="11" t="s">
        <v>1064</v>
      </c>
      <c r="I2321" s="12" t="s">
        <v>2070</v>
      </c>
      <c r="J2321" s="11" t="s">
        <v>2805</v>
      </c>
    </row>
    <row r="2322" spans="1:10" s="10" customFormat="1" x14ac:dyDescent="0.25">
      <c r="A2322" s="21" t="s">
        <v>2072</v>
      </c>
      <c r="D2322" s="25"/>
      <c r="E2322" s="11"/>
      <c r="F2322" s="26">
        <v>3315</v>
      </c>
      <c r="G2322" s="11" t="s">
        <v>938</v>
      </c>
      <c r="H2322" s="11" t="s">
        <v>1064</v>
      </c>
      <c r="I2322" s="12" t="s">
        <v>2073</v>
      </c>
      <c r="J2322" s="11" t="s">
        <v>2805</v>
      </c>
    </row>
    <row r="2323" spans="1:10" s="10" customFormat="1" x14ac:dyDescent="0.25">
      <c r="A2323" s="21" t="s">
        <v>2075</v>
      </c>
      <c r="D2323" s="25"/>
      <c r="E2323" s="11"/>
      <c r="F2323" s="26">
        <v>3374</v>
      </c>
      <c r="G2323" s="11" t="s">
        <v>4300</v>
      </c>
      <c r="H2323" s="11" t="s">
        <v>1064</v>
      </c>
      <c r="I2323" s="12" t="s">
        <v>4300</v>
      </c>
      <c r="J2323" s="11" t="s">
        <v>2805</v>
      </c>
    </row>
    <row r="2324" spans="1:10" s="10" customFormat="1" x14ac:dyDescent="0.25">
      <c r="A2324" s="21" t="s">
        <v>2077</v>
      </c>
      <c r="D2324" s="25"/>
      <c r="E2324" s="11"/>
      <c r="F2324" s="26">
        <v>3384</v>
      </c>
      <c r="G2324" s="11" t="s">
        <v>2078</v>
      </c>
      <c r="H2324" s="11" t="s">
        <v>1064</v>
      </c>
      <c r="I2324" s="12" t="s">
        <v>2078</v>
      </c>
      <c r="J2324" s="11" t="s">
        <v>2805</v>
      </c>
    </row>
    <row r="2325" spans="1:10" s="10" customFormat="1" x14ac:dyDescent="0.25">
      <c r="A2325" s="21" t="s">
        <v>2080</v>
      </c>
      <c r="D2325" s="25"/>
      <c r="E2325" s="11"/>
      <c r="F2325" s="26">
        <v>3361</v>
      </c>
      <c r="G2325" s="11" t="s">
        <v>4672</v>
      </c>
      <c r="H2325" s="11" t="s">
        <v>1064</v>
      </c>
      <c r="I2325" s="12" t="s">
        <v>4670</v>
      </c>
      <c r="J2325" s="11" t="s">
        <v>2800</v>
      </c>
    </row>
    <row r="2326" spans="1:10" s="10" customFormat="1" x14ac:dyDescent="0.25">
      <c r="A2326" s="21" t="s">
        <v>1060</v>
      </c>
      <c r="D2326" s="25"/>
      <c r="E2326" s="11"/>
      <c r="F2326" s="26">
        <v>3300</v>
      </c>
      <c r="G2326" s="11" t="s">
        <v>1061</v>
      </c>
      <c r="H2326" s="11" t="s">
        <v>1064</v>
      </c>
      <c r="I2326" s="12" t="s">
        <v>1061</v>
      </c>
      <c r="J2326" s="11" t="s">
        <v>2800</v>
      </c>
    </row>
    <row r="2327" spans="1:10" s="10" customFormat="1" x14ac:dyDescent="0.25">
      <c r="A2327" s="21" t="s">
        <v>4677</v>
      </c>
      <c r="D2327" s="25"/>
      <c r="E2327" s="11"/>
      <c r="F2327" s="26">
        <v>3300</v>
      </c>
      <c r="G2327" s="11" t="s">
        <v>1061</v>
      </c>
      <c r="H2327" s="11" t="s">
        <v>1064</v>
      </c>
      <c r="I2327" s="12" t="s">
        <v>4678</v>
      </c>
      <c r="J2327" s="11" t="s">
        <v>2805</v>
      </c>
    </row>
    <row r="2328" spans="1:10" s="10" customFormat="1" x14ac:dyDescent="0.25">
      <c r="A2328" s="21" t="s">
        <v>4673</v>
      </c>
      <c r="D2328" s="25"/>
      <c r="E2328" s="11"/>
      <c r="F2328" s="26">
        <v>3301</v>
      </c>
      <c r="G2328" s="11" t="s">
        <v>1061</v>
      </c>
      <c r="H2328" s="11" t="s">
        <v>1064</v>
      </c>
      <c r="I2328" s="12" t="s">
        <v>4674</v>
      </c>
      <c r="J2328" s="11" t="s">
        <v>2805</v>
      </c>
    </row>
    <row r="2329" spans="1:10" s="10" customFormat="1" x14ac:dyDescent="0.25">
      <c r="A2329" s="21" t="s">
        <v>4681</v>
      </c>
      <c r="D2329" s="25"/>
      <c r="E2329" s="11"/>
      <c r="F2329" s="26">
        <v>3378</v>
      </c>
      <c r="G2329" s="11" t="s">
        <v>4684</v>
      </c>
      <c r="H2329" s="11" t="s">
        <v>1064</v>
      </c>
      <c r="I2329" s="12" t="s">
        <v>4682</v>
      </c>
      <c r="J2329" s="11" t="s">
        <v>2805</v>
      </c>
    </row>
    <row r="2330" spans="1:10" s="10" customFormat="1" x14ac:dyDescent="0.25">
      <c r="A2330" s="21" t="s">
        <v>276</v>
      </c>
      <c r="D2330" s="25"/>
      <c r="E2330" s="11"/>
      <c r="F2330" s="26">
        <v>3370</v>
      </c>
      <c r="G2330" s="11" t="s">
        <v>279</v>
      </c>
      <c r="H2330" s="11" t="s">
        <v>1064</v>
      </c>
      <c r="I2330" s="12" t="s">
        <v>277</v>
      </c>
      <c r="J2330" s="11" t="s">
        <v>2800</v>
      </c>
    </row>
    <row r="2331" spans="1:10" s="10" customFormat="1" x14ac:dyDescent="0.25">
      <c r="A2331" s="21" t="s">
        <v>4685</v>
      </c>
      <c r="D2331" s="25"/>
      <c r="E2331" s="11"/>
      <c r="F2331" s="26">
        <v>3381</v>
      </c>
      <c r="G2331" s="11" t="s">
        <v>4686</v>
      </c>
      <c r="H2331" s="11" t="s">
        <v>1064</v>
      </c>
      <c r="I2331" s="12" t="s">
        <v>4686</v>
      </c>
      <c r="J2331" s="11" t="s">
        <v>2805</v>
      </c>
    </row>
    <row r="2332" spans="1:10" s="10" customFormat="1" x14ac:dyDescent="0.25">
      <c r="A2332" s="21" t="s">
        <v>4736</v>
      </c>
      <c r="D2332" s="25"/>
      <c r="E2332" s="11"/>
      <c r="F2332" s="26">
        <v>3334</v>
      </c>
      <c r="G2332" s="11" t="s">
        <v>4737</v>
      </c>
      <c r="H2332" s="11" t="s">
        <v>1064</v>
      </c>
      <c r="I2332" s="12" t="s">
        <v>4737</v>
      </c>
      <c r="J2332" s="11" t="s">
        <v>2805</v>
      </c>
    </row>
    <row r="2333" spans="1:10" s="10" customFormat="1" x14ac:dyDescent="0.25">
      <c r="A2333" s="21" t="s">
        <v>4740</v>
      </c>
      <c r="D2333" s="25"/>
      <c r="E2333" s="11"/>
      <c r="F2333" s="26">
        <v>3322</v>
      </c>
      <c r="G2333" s="11" t="s">
        <v>4741</v>
      </c>
      <c r="H2333" s="11" t="s">
        <v>1064</v>
      </c>
      <c r="I2333" s="12" t="s">
        <v>4741</v>
      </c>
      <c r="J2333" s="11" t="s">
        <v>2805</v>
      </c>
    </row>
    <row r="2334" spans="1:10" s="10" customFormat="1" x14ac:dyDescent="0.25">
      <c r="A2334" s="21" t="s">
        <v>4743</v>
      </c>
      <c r="D2334" s="25"/>
      <c r="E2334" s="11"/>
      <c r="F2334" s="26">
        <v>3357</v>
      </c>
      <c r="G2334" s="11" t="s">
        <v>4744</v>
      </c>
      <c r="H2334" s="11" t="s">
        <v>1064</v>
      </c>
      <c r="I2334" s="12" t="s">
        <v>4744</v>
      </c>
      <c r="J2334" s="11" t="s">
        <v>2805</v>
      </c>
    </row>
    <row r="2335" spans="1:10" s="10" customFormat="1" x14ac:dyDescent="0.25">
      <c r="A2335" s="21" t="s">
        <v>4747</v>
      </c>
      <c r="D2335" s="25"/>
      <c r="E2335" s="11"/>
      <c r="F2335" s="26">
        <v>3307</v>
      </c>
      <c r="G2335" s="11" t="s">
        <v>1275</v>
      </c>
      <c r="H2335" s="11" t="s">
        <v>1064</v>
      </c>
      <c r="I2335" s="12" t="s">
        <v>1275</v>
      </c>
      <c r="J2335" s="11" t="s">
        <v>2805</v>
      </c>
    </row>
    <row r="2336" spans="1:10" s="10" customFormat="1" x14ac:dyDescent="0.25">
      <c r="A2336" s="21" t="s">
        <v>4749</v>
      </c>
      <c r="D2336" s="25"/>
      <c r="E2336" s="11"/>
      <c r="F2336" s="26">
        <v>3352</v>
      </c>
      <c r="G2336" s="11" t="s">
        <v>349</v>
      </c>
      <c r="H2336" s="11" t="s">
        <v>1064</v>
      </c>
      <c r="I2336" s="12" t="s">
        <v>349</v>
      </c>
      <c r="J2336" s="11" t="s">
        <v>2805</v>
      </c>
    </row>
    <row r="2337" spans="1:10" s="10" customFormat="1" x14ac:dyDescent="0.25">
      <c r="A2337" s="21" t="s">
        <v>4754</v>
      </c>
      <c r="D2337" s="25"/>
      <c r="E2337" s="11"/>
      <c r="F2337" s="26">
        <v>3356</v>
      </c>
      <c r="G2337" s="11" t="s">
        <v>794</v>
      </c>
      <c r="H2337" s="11" t="s">
        <v>1064</v>
      </c>
      <c r="I2337" s="12" t="s">
        <v>794</v>
      </c>
      <c r="J2337" s="11" t="s">
        <v>2805</v>
      </c>
    </row>
    <row r="2338" spans="1:10" s="10" customFormat="1" x14ac:dyDescent="0.25">
      <c r="A2338" s="21" t="s">
        <v>4761</v>
      </c>
      <c r="D2338" s="25"/>
      <c r="E2338" s="11"/>
      <c r="F2338" s="26">
        <v>3316</v>
      </c>
      <c r="G2338" s="11" t="s">
        <v>4762</v>
      </c>
      <c r="H2338" s="11" t="s">
        <v>1064</v>
      </c>
      <c r="I2338" s="12" t="s">
        <v>4762</v>
      </c>
      <c r="J2338" s="11" t="s">
        <v>2805</v>
      </c>
    </row>
    <row r="2339" spans="1:10" s="10" customFormat="1" x14ac:dyDescent="0.25">
      <c r="A2339" s="21" t="s">
        <v>4751</v>
      </c>
      <c r="D2339" s="25"/>
      <c r="E2339" s="11"/>
      <c r="F2339" s="26">
        <v>3322</v>
      </c>
      <c r="G2339" s="11" t="s">
        <v>4752</v>
      </c>
      <c r="H2339" s="11" t="s">
        <v>1064</v>
      </c>
      <c r="I2339" s="12" t="s">
        <v>4752</v>
      </c>
      <c r="J2339" s="11" t="s">
        <v>2805</v>
      </c>
    </row>
    <row r="2340" spans="1:10" s="10" customFormat="1" x14ac:dyDescent="0.25">
      <c r="A2340" s="21" t="s">
        <v>2868</v>
      </c>
      <c r="D2340" s="25"/>
      <c r="E2340" s="11"/>
      <c r="F2340" s="26">
        <v>3376</v>
      </c>
      <c r="G2340" s="11" t="s">
        <v>2872</v>
      </c>
      <c r="H2340" s="11" t="s">
        <v>1064</v>
      </c>
      <c r="I2340" s="12" t="s">
        <v>2869</v>
      </c>
      <c r="J2340" s="11" t="s">
        <v>2805</v>
      </c>
    </row>
    <row r="2341" spans="1:10" s="10" customFormat="1" x14ac:dyDescent="0.25">
      <c r="A2341" s="21" t="s">
        <v>4110</v>
      </c>
      <c r="D2341" s="25"/>
      <c r="E2341" s="11"/>
      <c r="F2341" s="26">
        <v>8345</v>
      </c>
      <c r="G2341" s="11" t="s">
        <v>4111</v>
      </c>
      <c r="H2341" s="11" t="s">
        <v>4108</v>
      </c>
      <c r="I2341" s="12" t="s">
        <v>4111</v>
      </c>
      <c r="J2341" s="11" t="s">
        <v>2805</v>
      </c>
    </row>
    <row r="2342" spans="1:10" s="10" customFormat="1" x14ac:dyDescent="0.25">
      <c r="A2342" s="21" t="s">
        <v>4113</v>
      </c>
      <c r="D2342" s="25"/>
      <c r="E2342" s="11"/>
      <c r="F2342" s="26">
        <v>8354</v>
      </c>
      <c r="G2342" s="11" t="s">
        <v>4114</v>
      </c>
      <c r="H2342" s="11" t="s">
        <v>4108</v>
      </c>
      <c r="I2342" s="12" t="s">
        <v>4114</v>
      </c>
      <c r="J2342" s="11" t="s">
        <v>2805</v>
      </c>
    </row>
    <row r="2343" spans="1:10" s="10" customFormat="1" x14ac:dyDescent="0.25">
      <c r="A2343" s="21" t="s">
        <v>1553</v>
      </c>
      <c r="D2343" s="25"/>
      <c r="E2343" s="11"/>
      <c r="F2343" s="26">
        <v>8312</v>
      </c>
      <c r="G2343" s="11" t="s">
        <v>1554</v>
      </c>
      <c r="H2343" s="11" t="s">
        <v>4108</v>
      </c>
      <c r="I2343" s="12" t="s">
        <v>1554</v>
      </c>
      <c r="J2343" s="11" t="s">
        <v>2805</v>
      </c>
    </row>
    <row r="2344" spans="1:10" s="10" customFormat="1" x14ac:dyDescent="0.25">
      <c r="A2344" s="21" t="s">
        <v>4117</v>
      </c>
      <c r="D2344" s="25"/>
      <c r="E2344" s="11"/>
      <c r="F2344" s="26">
        <v>8309</v>
      </c>
      <c r="G2344" s="11" t="s">
        <v>2835</v>
      </c>
      <c r="H2344" s="11" t="s">
        <v>4108</v>
      </c>
      <c r="I2344" s="12" t="s">
        <v>2835</v>
      </c>
      <c r="J2344" s="11" t="s">
        <v>2805</v>
      </c>
    </row>
    <row r="2345" spans="1:10" s="10" customFormat="1" x14ac:dyDescent="0.25">
      <c r="A2345" s="21" t="s">
        <v>4119</v>
      </c>
      <c r="D2345" s="25"/>
      <c r="E2345" s="11"/>
      <c r="F2345" s="26">
        <v>8353</v>
      </c>
      <c r="G2345" s="11" t="s">
        <v>4120</v>
      </c>
      <c r="H2345" s="11" t="s">
        <v>4108</v>
      </c>
      <c r="I2345" s="12" t="s">
        <v>4120</v>
      </c>
      <c r="J2345" s="11" t="s">
        <v>2805</v>
      </c>
    </row>
    <row r="2346" spans="1:10" s="10" customFormat="1" x14ac:dyDescent="0.25">
      <c r="A2346" s="21" t="s">
        <v>4125</v>
      </c>
      <c r="D2346" s="25"/>
      <c r="E2346" s="11"/>
      <c r="F2346" s="26">
        <v>8322</v>
      </c>
      <c r="G2346" s="11" t="s">
        <v>4126</v>
      </c>
      <c r="H2346" s="11" t="s">
        <v>4108</v>
      </c>
      <c r="I2346" s="12" t="s">
        <v>4126</v>
      </c>
      <c r="J2346" s="11" t="s">
        <v>2800</v>
      </c>
    </row>
    <row r="2347" spans="1:10" s="10" customFormat="1" x14ac:dyDescent="0.25">
      <c r="A2347" s="21" t="s">
        <v>4128</v>
      </c>
      <c r="D2347" s="25"/>
      <c r="E2347" s="11"/>
      <c r="F2347" s="26">
        <v>8350</v>
      </c>
      <c r="G2347" s="11" t="s">
        <v>4129</v>
      </c>
      <c r="H2347" s="11" t="s">
        <v>4108</v>
      </c>
      <c r="I2347" s="12" t="s">
        <v>4129</v>
      </c>
      <c r="J2347" s="11" t="s">
        <v>2805</v>
      </c>
    </row>
    <row r="2348" spans="1:10" s="10" customFormat="1" x14ac:dyDescent="0.25">
      <c r="A2348" s="21" t="s">
        <v>1570</v>
      </c>
      <c r="D2348" s="25"/>
      <c r="E2348" s="11"/>
      <c r="F2348" s="26">
        <v>8371</v>
      </c>
      <c r="G2348" s="11" t="s">
        <v>1571</v>
      </c>
      <c r="H2348" s="11" t="s">
        <v>4108</v>
      </c>
      <c r="I2348" s="12" t="s">
        <v>1571</v>
      </c>
      <c r="J2348" s="11" t="s">
        <v>2805</v>
      </c>
    </row>
    <row r="2349" spans="1:10" s="10" customFormat="1" x14ac:dyDescent="0.25">
      <c r="A2349" s="21" t="s">
        <v>4131</v>
      </c>
      <c r="D2349" s="25"/>
      <c r="E2349" s="11"/>
      <c r="F2349" s="26">
        <v>8347</v>
      </c>
      <c r="G2349" s="11" t="s">
        <v>4132</v>
      </c>
      <c r="H2349" s="11" t="s">
        <v>4108</v>
      </c>
      <c r="I2349" s="12" t="s">
        <v>4132</v>
      </c>
      <c r="J2349" s="11" t="s">
        <v>2805</v>
      </c>
    </row>
    <row r="2350" spans="1:10" s="10" customFormat="1" x14ac:dyDescent="0.25">
      <c r="A2350" s="21" t="s">
        <v>4135</v>
      </c>
      <c r="D2350" s="25"/>
      <c r="E2350" s="11"/>
      <c r="F2350" s="26">
        <v>8349</v>
      </c>
      <c r="G2350" s="11" t="s">
        <v>4136</v>
      </c>
      <c r="H2350" s="11" t="s">
        <v>4108</v>
      </c>
      <c r="I2350" s="12" t="s">
        <v>4136</v>
      </c>
      <c r="J2350" s="11" t="s">
        <v>2805</v>
      </c>
    </row>
    <row r="2351" spans="1:10" s="10" customFormat="1" x14ac:dyDescent="0.25">
      <c r="A2351" s="21" t="s">
        <v>4122</v>
      </c>
      <c r="D2351" s="25"/>
      <c r="E2351" s="11"/>
      <c r="F2351" s="26">
        <v>8352</v>
      </c>
      <c r="G2351" s="11" t="s">
        <v>4123</v>
      </c>
      <c r="H2351" s="11" t="s">
        <v>4108</v>
      </c>
      <c r="I2351" s="12" t="s">
        <v>4123</v>
      </c>
      <c r="J2351" s="11" t="s">
        <v>2805</v>
      </c>
    </row>
    <row r="2352" spans="1:10" s="10" customFormat="1" x14ac:dyDescent="0.25">
      <c r="A2352" s="21" t="s">
        <v>4107</v>
      </c>
      <c r="D2352" s="25"/>
      <c r="E2352" s="11"/>
      <c r="F2352" s="26">
        <v>8300</v>
      </c>
      <c r="G2352" s="11" t="s">
        <v>4108</v>
      </c>
      <c r="H2352" s="11" t="s">
        <v>4108</v>
      </c>
      <c r="I2352" s="12" t="s">
        <v>4108</v>
      </c>
      <c r="J2352" s="11" t="s">
        <v>2800</v>
      </c>
    </row>
    <row r="2353" spans="1:10" s="10" customFormat="1" x14ac:dyDescent="0.25">
      <c r="A2353" s="21" t="s">
        <v>4143</v>
      </c>
      <c r="D2353" s="25"/>
      <c r="E2353" s="11"/>
      <c r="F2353" s="26">
        <v>8313</v>
      </c>
      <c r="G2353" s="11" t="s">
        <v>1547</v>
      </c>
      <c r="H2353" s="11" t="s">
        <v>4108</v>
      </c>
      <c r="I2353" s="12" t="s">
        <v>1547</v>
      </c>
      <c r="J2353" s="11" t="s">
        <v>2805</v>
      </c>
    </row>
    <row r="2354" spans="1:10" s="10" customFormat="1" x14ac:dyDescent="0.25">
      <c r="A2354" s="21" t="s">
        <v>1584</v>
      </c>
      <c r="D2354" s="25"/>
      <c r="E2354" s="11"/>
      <c r="F2354" s="26">
        <v>8315</v>
      </c>
      <c r="G2354" s="11" t="s">
        <v>1585</v>
      </c>
      <c r="H2354" s="11" t="s">
        <v>4108</v>
      </c>
      <c r="I2354" s="12" t="s">
        <v>1585</v>
      </c>
      <c r="J2354" s="11" t="s">
        <v>2805</v>
      </c>
    </row>
    <row r="2355" spans="1:10" s="10" customFormat="1" x14ac:dyDescent="0.25">
      <c r="A2355" s="21" t="s">
        <v>1550</v>
      </c>
      <c r="D2355" s="25"/>
      <c r="E2355" s="11"/>
      <c r="F2355" s="26">
        <v>8318</v>
      </c>
      <c r="G2355" s="11" t="s">
        <v>1551</v>
      </c>
      <c r="H2355" s="11" t="s">
        <v>4108</v>
      </c>
      <c r="I2355" s="12" t="s">
        <v>1551</v>
      </c>
      <c r="J2355" s="11" t="s">
        <v>2805</v>
      </c>
    </row>
    <row r="2356" spans="1:10" s="10" customFormat="1" x14ac:dyDescent="0.25">
      <c r="A2356" s="21" t="s">
        <v>1556</v>
      </c>
      <c r="D2356" s="25"/>
      <c r="E2356" s="11"/>
      <c r="F2356" s="26">
        <v>8316</v>
      </c>
      <c r="G2356" s="11" t="s">
        <v>1557</v>
      </c>
      <c r="H2356" s="11" t="s">
        <v>4108</v>
      </c>
      <c r="I2356" s="12" t="s">
        <v>1557</v>
      </c>
      <c r="J2356" s="11" t="s">
        <v>2805</v>
      </c>
    </row>
    <row r="2357" spans="1:10" s="10" customFormat="1" x14ac:dyDescent="0.25">
      <c r="A2357" s="21" t="s">
        <v>4139</v>
      </c>
      <c r="D2357" s="25"/>
      <c r="E2357" s="11"/>
      <c r="F2357" s="26">
        <v>8319</v>
      </c>
      <c r="G2357" s="11" t="s">
        <v>4140</v>
      </c>
      <c r="H2357" s="11" t="s">
        <v>4108</v>
      </c>
      <c r="I2357" s="12" t="s">
        <v>4140</v>
      </c>
      <c r="J2357" s="11" t="s">
        <v>2800</v>
      </c>
    </row>
    <row r="2358" spans="1:10" s="10" customFormat="1" x14ac:dyDescent="0.25">
      <c r="A2358" s="21" t="s">
        <v>1573</v>
      </c>
      <c r="D2358" s="25"/>
      <c r="E2358" s="11"/>
      <c r="F2358" s="26">
        <v>8370</v>
      </c>
      <c r="G2358" s="11" t="s">
        <v>1574</v>
      </c>
      <c r="H2358" s="11" t="s">
        <v>4108</v>
      </c>
      <c r="I2358" s="12" t="s">
        <v>1574</v>
      </c>
      <c r="J2358" s="11" t="s">
        <v>2800</v>
      </c>
    </row>
    <row r="2359" spans="1:10" s="10" customFormat="1" x14ac:dyDescent="0.25">
      <c r="A2359" s="21" t="s">
        <v>1587</v>
      </c>
      <c r="D2359" s="25"/>
      <c r="E2359" s="11"/>
      <c r="F2359" s="26">
        <v>8306</v>
      </c>
      <c r="G2359" s="11" t="s">
        <v>1588</v>
      </c>
      <c r="H2359" s="11" t="s">
        <v>4108</v>
      </c>
      <c r="I2359" s="12" t="s">
        <v>1588</v>
      </c>
      <c r="J2359" s="11" t="s">
        <v>2805</v>
      </c>
    </row>
    <row r="2360" spans="1:10" s="10" customFormat="1" x14ac:dyDescent="0.25">
      <c r="A2360" s="21" t="s">
        <v>1560</v>
      </c>
      <c r="D2360" s="25"/>
      <c r="E2360" s="11"/>
      <c r="F2360" s="26">
        <v>8320</v>
      </c>
      <c r="G2360" s="11" t="s">
        <v>1561</v>
      </c>
      <c r="H2360" s="11" t="s">
        <v>4108</v>
      </c>
      <c r="I2360" s="12" t="s">
        <v>1561</v>
      </c>
      <c r="J2360" s="11" t="s">
        <v>2805</v>
      </c>
    </row>
    <row r="2361" spans="1:10" s="10" customFormat="1" x14ac:dyDescent="0.25">
      <c r="A2361" s="21" t="s">
        <v>1563</v>
      </c>
      <c r="D2361" s="25"/>
      <c r="E2361" s="11"/>
      <c r="F2361" s="26">
        <v>8311</v>
      </c>
      <c r="G2361" s="11" t="s">
        <v>1564</v>
      </c>
      <c r="H2361" s="11" t="s">
        <v>4108</v>
      </c>
      <c r="I2361" s="12" t="s">
        <v>1564</v>
      </c>
      <c r="J2361" s="11" t="s">
        <v>2805</v>
      </c>
    </row>
    <row r="2362" spans="1:10" s="10" customFormat="1" x14ac:dyDescent="0.25">
      <c r="A2362" s="21" t="s">
        <v>1580</v>
      </c>
      <c r="D2362" s="25"/>
      <c r="E2362" s="11"/>
      <c r="F2362" s="26">
        <v>8407</v>
      </c>
      <c r="G2362" s="11" t="s">
        <v>1581</v>
      </c>
      <c r="H2362" s="11" t="s">
        <v>4108</v>
      </c>
      <c r="I2362" s="12" t="s">
        <v>1581</v>
      </c>
      <c r="J2362" s="11" t="s">
        <v>2805</v>
      </c>
    </row>
    <row r="2363" spans="1:10" s="10" customFormat="1" x14ac:dyDescent="0.25">
      <c r="A2363" s="21" t="s">
        <v>1577</v>
      </c>
      <c r="D2363" s="25"/>
      <c r="E2363" s="11"/>
      <c r="F2363" s="26">
        <v>8408</v>
      </c>
      <c r="G2363" s="11" t="s">
        <v>1578</v>
      </c>
      <c r="H2363" s="11" t="s">
        <v>4108</v>
      </c>
      <c r="I2363" s="12" t="s">
        <v>1578</v>
      </c>
      <c r="J2363" s="11" t="s">
        <v>2805</v>
      </c>
    </row>
    <row r="2364" spans="1:10" s="10" customFormat="1" x14ac:dyDescent="0.25">
      <c r="A2364" s="21" t="s">
        <v>1567</v>
      </c>
      <c r="D2364" s="25"/>
      <c r="E2364" s="11"/>
      <c r="F2364" s="26">
        <v>8340</v>
      </c>
      <c r="G2364" s="11" t="s">
        <v>1568</v>
      </c>
      <c r="H2364" s="11" t="s">
        <v>4108</v>
      </c>
      <c r="I2364" s="12" t="s">
        <v>1568</v>
      </c>
      <c r="J2364" s="11" t="s">
        <v>2800</v>
      </c>
    </row>
    <row r="2365" spans="1:10" s="10" customFormat="1" x14ac:dyDescent="0.25">
      <c r="A2365" s="21" t="s">
        <v>1511</v>
      </c>
      <c r="D2365" s="25"/>
      <c r="E2365" s="11"/>
      <c r="F2365" s="26">
        <v>8328</v>
      </c>
      <c r="G2365" s="11" t="s">
        <v>1512</v>
      </c>
      <c r="H2365" s="11" t="s">
        <v>4173</v>
      </c>
      <c r="I2365" s="12" t="s">
        <v>1512</v>
      </c>
      <c r="J2365" s="11" t="s">
        <v>2805</v>
      </c>
    </row>
    <row r="2366" spans="1:10" s="10" customFormat="1" x14ac:dyDescent="0.25">
      <c r="A2366" s="21" t="s">
        <v>4233</v>
      </c>
      <c r="D2366" s="25"/>
      <c r="E2366" s="11"/>
      <c r="F2366" s="26">
        <v>8521</v>
      </c>
      <c r="G2366" s="11" t="s">
        <v>4236</v>
      </c>
      <c r="H2366" s="11" t="s">
        <v>4173</v>
      </c>
      <c r="I2366" s="12" t="s">
        <v>4234</v>
      </c>
      <c r="J2366" s="11" t="s">
        <v>2805</v>
      </c>
    </row>
    <row r="2367" spans="1:10" s="10" customFormat="1" x14ac:dyDescent="0.25">
      <c r="A2367" s="21" t="s">
        <v>1515</v>
      </c>
      <c r="D2367" s="25"/>
      <c r="E2367" s="11"/>
      <c r="F2367" s="26">
        <v>8305</v>
      </c>
      <c r="G2367" s="11" t="s">
        <v>1516</v>
      </c>
      <c r="H2367" s="11" t="s">
        <v>4173</v>
      </c>
      <c r="I2367" s="12" t="s">
        <v>1516</v>
      </c>
      <c r="J2367" s="11" t="s">
        <v>2805</v>
      </c>
    </row>
    <row r="2368" spans="1:10" s="10" customFormat="1" x14ac:dyDescent="0.25">
      <c r="A2368" s="21" t="s">
        <v>1519</v>
      </c>
      <c r="D2368" s="25"/>
      <c r="E2368" s="11"/>
      <c r="F2368" s="26">
        <v>8307</v>
      </c>
      <c r="G2368" s="11" t="s">
        <v>1520</v>
      </c>
      <c r="H2368" s="11" t="s">
        <v>4173</v>
      </c>
      <c r="I2368" s="12" t="s">
        <v>1520</v>
      </c>
      <c r="J2368" s="11" t="s">
        <v>2805</v>
      </c>
    </row>
    <row r="2369" spans="1:10" s="10" customFormat="1" x14ac:dyDescent="0.25">
      <c r="A2369" s="21" t="s">
        <v>1522</v>
      </c>
      <c r="D2369" s="25"/>
      <c r="E2369" s="11"/>
      <c r="F2369" s="26">
        <v>8326</v>
      </c>
      <c r="G2369" s="11" t="s">
        <v>1523</v>
      </c>
      <c r="H2369" s="11" t="s">
        <v>4173</v>
      </c>
      <c r="I2369" s="12" t="s">
        <v>1523</v>
      </c>
      <c r="J2369" s="11" t="s">
        <v>2805</v>
      </c>
    </row>
    <row r="2370" spans="1:10" s="10" customFormat="1" x14ac:dyDescent="0.25">
      <c r="A2370" s="21" t="s">
        <v>1536</v>
      </c>
      <c r="D2370" s="25"/>
      <c r="E2370" s="11"/>
      <c r="F2370" s="26">
        <v>8337</v>
      </c>
      <c r="G2370" s="11" t="s">
        <v>1537</v>
      </c>
      <c r="H2370" s="11" t="s">
        <v>4173</v>
      </c>
      <c r="I2370" s="12" t="s">
        <v>1537</v>
      </c>
      <c r="J2370" s="11" t="s">
        <v>2805</v>
      </c>
    </row>
    <row r="2371" spans="1:10" s="10" customFormat="1" x14ac:dyDescent="0.25">
      <c r="A2371" s="21" t="s">
        <v>1525</v>
      </c>
      <c r="D2371" s="25"/>
      <c r="E2371" s="11"/>
      <c r="F2371" s="26">
        <v>8364</v>
      </c>
      <c r="G2371" s="11" t="s">
        <v>1526</v>
      </c>
      <c r="H2371" s="11" t="s">
        <v>4173</v>
      </c>
      <c r="I2371" s="12" t="s">
        <v>1526</v>
      </c>
      <c r="J2371" s="11" t="s">
        <v>2805</v>
      </c>
    </row>
    <row r="2372" spans="1:10" s="10" customFormat="1" x14ac:dyDescent="0.25">
      <c r="A2372" s="21" t="s">
        <v>1617</v>
      </c>
      <c r="D2372" s="25"/>
      <c r="E2372" s="11"/>
      <c r="F2372" s="26">
        <v>8360</v>
      </c>
      <c r="G2372" s="11" t="s">
        <v>1618</v>
      </c>
      <c r="H2372" s="11" t="s">
        <v>4173</v>
      </c>
      <c r="I2372" s="12" t="s">
        <v>1618</v>
      </c>
      <c r="J2372" s="11" t="s">
        <v>2805</v>
      </c>
    </row>
    <row r="2373" spans="1:10" s="10" customFormat="1" x14ac:dyDescent="0.25">
      <c r="A2373" s="21" t="s">
        <v>1528</v>
      </c>
      <c r="D2373" s="25"/>
      <c r="E2373" s="11"/>
      <c r="F2373" s="26">
        <v>8303</v>
      </c>
      <c r="G2373" s="11" t="s">
        <v>1529</v>
      </c>
      <c r="H2373" s="11" t="s">
        <v>4173</v>
      </c>
      <c r="I2373" s="12" t="s">
        <v>1529</v>
      </c>
      <c r="J2373" s="11" t="s">
        <v>2805</v>
      </c>
    </row>
    <row r="2374" spans="1:10" s="10" customFormat="1" x14ac:dyDescent="0.25">
      <c r="A2374" s="21" t="s">
        <v>1532</v>
      </c>
      <c r="D2374" s="25"/>
      <c r="E2374" s="11"/>
      <c r="F2374" s="26">
        <v>8324</v>
      </c>
      <c r="G2374" s="11" t="s">
        <v>1533</v>
      </c>
      <c r="H2374" s="11" t="s">
        <v>4173</v>
      </c>
      <c r="I2374" s="12" t="s">
        <v>1533</v>
      </c>
      <c r="J2374" s="11" t="s">
        <v>2800</v>
      </c>
    </row>
    <row r="2375" spans="1:10" s="10" customFormat="1" x14ac:dyDescent="0.25">
      <c r="A2375" s="21" t="s">
        <v>4174</v>
      </c>
      <c r="D2375" s="25"/>
      <c r="E2375" s="11"/>
      <c r="F2375" s="26">
        <v>8416</v>
      </c>
      <c r="G2375" s="11" t="s">
        <v>4175</v>
      </c>
      <c r="H2375" s="11" t="s">
        <v>4173</v>
      </c>
      <c r="I2375" s="12" t="s">
        <v>4175</v>
      </c>
      <c r="J2375" s="11" t="s">
        <v>2805</v>
      </c>
    </row>
    <row r="2376" spans="1:10" s="10" customFormat="1" x14ac:dyDescent="0.25">
      <c r="A2376" s="21" t="s">
        <v>1508</v>
      </c>
      <c r="D2376" s="25"/>
      <c r="E2376" s="11"/>
      <c r="F2376" s="26">
        <v>8430</v>
      </c>
      <c r="G2376" s="11" t="s">
        <v>1509</v>
      </c>
      <c r="H2376" s="11" t="s">
        <v>4173</v>
      </c>
      <c r="I2376" s="12" t="s">
        <v>1509</v>
      </c>
      <c r="J2376" s="11" t="s">
        <v>2800</v>
      </c>
    </row>
    <row r="2377" spans="1:10" s="10" customFormat="1" x14ac:dyDescent="0.25">
      <c r="A2377" s="21" t="s">
        <v>1633</v>
      </c>
      <c r="D2377" s="25"/>
      <c r="E2377" s="11"/>
      <c r="F2377" s="26">
        <v>8503</v>
      </c>
      <c r="G2377" s="11" t="s">
        <v>4378</v>
      </c>
      <c r="H2377" s="11" t="s">
        <v>4173</v>
      </c>
      <c r="I2377" s="12" t="s">
        <v>4376</v>
      </c>
      <c r="J2377" s="11" t="s">
        <v>2805</v>
      </c>
    </row>
    <row r="2378" spans="1:10" s="10" customFormat="1" x14ac:dyDescent="0.25">
      <c r="A2378" s="21" t="s">
        <v>1543</v>
      </c>
      <c r="D2378" s="25"/>
      <c r="E2378" s="11"/>
      <c r="F2378" s="26">
        <v>8338</v>
      </c>
      <c r="G2378" s="11" t="s">
        <v>1596</v>
      </c>
      <c r="H2378" s="11" t="s">
        <v>4173</v>
      </c>
      <c r="I2378" s="12" t="s">
        <v>1594</v>
      </c>
      <c r="J2378" s="11" t="s">
        <v>2805</v>
      </c>
    </row>
    <row r="2379" spans="1:10" s="10" customFormat="1" x14ac:dyDescent="0.25">
      <c r="A2379" s="21" t="s">
        <v>1539</v>
      </c>
      <c r="D2379" s="25"/>
      <c r="E2379" s="11"/>
      <c r="F2379" s="26">
        <v>8325</v>
      </c>
      <c r="G2379" s="11" t="s">
        <v>1542</v>
      </c>
      <c r="H2379" s="11" t="s">
        <v>4173</v>
      </c>
      <c r="I2379" s="12" t="s">
        <v>1540</v>
      </c>
      <c r="J2379" s="11" t="s">
        <v>2805</v>
      </c>
    </row>
    <row r="2380" spans="1:10" s="10" customFormat="1" x14ac:dyDescent="0.25">
      <c r="A2380" s="21" t="s">
        <v>1597</v>
      </c>
      <c r="D2380" s="25"/>
      <c r="E2380" s="11"/>
      <c r="F2380" s="26">
        <v>8332</v>
      </c>
      <c r="G2380" s="11" t="s">
        <v>1600</v>
      </c>
      <c r="H2380" s="11" t="s">
        <v>4173</v>
      </c>
      <c r="I2380" s="12" t="s">
        <v>1598</v>
      </c>
      <c r="J2380" s="11" t="s">
        <v>2800</v>
      </c>
    </row>
    <row r="2381" spans="1:10" s="10" customFormat="1" x14ac:dyDescent="0.25">
      <c r="A2381" s="21" t="s">
        <v>1601</v>
      </c>
      <c r="D2381" s="25"/>
      <c r="E2381" s="11"/>
      <c r="F2381" s="26">
        <v>8334</v>
      </c>
      <c r="G2381" s="11" t="s">
        <v>1604</v>
      </c>
      <c r="H2381" s="11" t="s">
        <v>4173</v>
      </c>
      <c r="I2381" s="12" t="s">
        <v>1602</v>
      </c>
      <c r="J2381" s="11" t="s">
        <v>2805</v>
      </c>
    </row>
    <row r="2382" spans="1:10" s="10" customFormat="1" x14ac:dyDescent="0.25">
      <c r="A2382" s="21" t="s">
        <v>4177</v>
      </c>
      <c r="D2382" s="25"/>
      <c r="E2382" s="11"/>
      <c r="F2382" s="26">
        <v>8418</v>
      </c>
      <c r="G2382" s="11" t="s">
        <v>4180</v>
      </c>
      <c r="H2382" s="11" t="s">
        <v>4173</v>
      </c>
      <c r="I2382" s="12" t="s">
        <v>4178</v>
      </c>
      <c r="J2382" s="11" t="s">
        <v>2805</v>
      </c>
    </row>
    <row r="2383" spans="1:10" s="10" customFormat="1" x14ac:dyDescent="0.25">
      <c r="A2383" s="21" t="s">
        <v>1620</v>
      </c>
      <c r="D2383" s="25"/>
      <c r="E2383" s="11"/>
      <c r="F2383" s="26">
        <v>8363</v>
      </c>
      <c r="G2383" s="11" t="s">
        <v>1621</v>
      </c>
      <c r="H2383" s="11" t="s">
        <v>4173</v>
      </c>
      <c r="I2383" s="12" t="s">
        <v>1621</v>
      </c>
      <c r="J2383" s="11" t="s">
        <v>2805</v>
      </c>
    </row>
    <row r="2384" spans="1:10" s="10" customFormat="1" x14ac:dyDescent="0.25">
      <c r="A2384" s="21" t="s">
        <v>1627</v>
      </c>
      <c r="D2384" s="25"/>
      <c r="E2384" s="11"/>
      <c r="F2384" s="26">
        <v>8424</v>
      </c>
      <c r="G2384" s="11" t="s">
        <v>1628</v>
      </c>
      <c r="H2384" s="11" t="s">
        <v>4173</v>
      </c>
      <c r="I2384" s="12" t="s">
        <v>1628</v>
      </c>
      <c r="J2384" s="11" t="s">
        <v>2805</v>
      </c>
    </row>
    <row r="2385" spans="1:10" s="10" customFormat="1" x14ac:dyDescent="0.25">
      <c r="A2385" s="21" t="s">
        <v>1623</v>
      </c>
      <c r="D2385" s="25"/>
      <c r="E2385" s="11"/>
      <c r="F2385" s="26">
        <v>8361</v>
      </c>
      <c r="G2385" s="11" t="s">
        <v>1624</v>
      </c>
      <c r="H2385" s="11" t="s">
        <v>4173</v>
      </c>
      <c r="I2385" s="12" t="s">
        <v>1624</v>
      </c>
      <c r="J2385" s="11" t="s">
        <v>2805</v>
      </c>
    </row>
    <row r="2386" spans="1:10" s="10" customFormat="1" x14ac:dyDescent="0.25">
      <c r="A2386" s="21" t="s">
        <v>1605</v>
      </c>
      <c r="D2386" s="25"/>
      <c r="E2386" s="11"/>
      <c r="F2386" s="26">
        <v>8327</v>
      </c>
      <c r="G2386" s="11" t="s">
        <v>1606</v>
      </c>
      <c r="H2386" s="11" t="s">
        <v>4173</v>
      </c>
      <c r="I2386" s="12" t="s">
        <v>1606</v>
      </c>
      <c r="J2386" s="11" t="s">
        <v>2805</v>
      </c>
    </row>
    <row r="2387" spans="1:10" s="10" customFormat="1" x14ac:dyDescent="0.25">
      <c r="A2387" s="21" t="s">
        <v>4181</v>
      </c>
      <c r="D2387" s="25"/>
      <c r="E2387" s="11"/>
      <c r="F2387" s="26">
        <v>8422</v>
      </c>
      <c r="G2387" s="11" t="s">
        <v>4182</v>
      </c>
      <c r="H2387" s="11" t="s">
        <v>4173</v>
      </c>
      <c r="I2387" s="12" t="s">
        <v>4182</v>
      </c>
      <c r="J2387" s="11" t="s">
        <v>2805</v>
      </c>
    </row>
    <row r="2388" spans="1:10" s="10" customFormat="1" x14ac:dyDescent="0.25">
      <c r="A2388" s="21" t="s">
        <v>4184</v>
      </c>
      <c r="D2388" s="25"/>
      <c r="E2388" s="11"/>
      <c r="F2388" s="26">
        <v>8415</v>
      </c>
      <c r="G2388" s="11" t="s">
        <v>4185</v>
      </c>
      <c r="H2388" s="11" t="s">
        <v>4173</v>
      </c>
      <c r="I2388" s="12" t="s">
        <v>4185</v>
      </c>
      <c r="J2388" s="11" t="s">
        <v>2805</v>
      </c>
    </row>
    <row r="2389" spans="1:10" s="10" customFormat="1" x14ac:dyDescent="0.25">
      <c r="A2389" s="21" t="s">
        <v>4188</v>
      </c>
      <c r="D2389" s="25"/>
      <c r="E2389" s="11"/>
      <c r="F2389" s="26">
        <v>8412</v>
      </c>
      <c r="G2389" s="11" t="s">
        <v>4189</v>
      </c>
      <c r="H2389" s="11" t="s">
        <v>4173</v>
      </c>
      <c r="I2389" s="12" t="s">
        <v>4189</v>
      </c>
      <c r="J2389" s="11" t="s">
        <v>2805</v>
      </c>
    </row>
    <row r="2390" spans="1:10" s="10" customFormat="1" x14ac:dyDescent="0.25">
      <c r="A2390" s="21" t="s">
        <v>1635</v>
      </c>
      <c r="D2390" s="25"/>
      <c r="E2390" s="11"/>
      <c r="F2390" s="26">
        <v>8138</v>
      </c>
      <c r="G2390" s="11" t="s">
        <v>1636</v>
      </c>
      <c r="H2390" s="11" t="s">
        <v>4173</v>
      </c>
      <c r="I2390" s="12" t="s">
        <v>1636</v>
      </c>
      <c r="J2390" s="11" t="s">
        <v>2805</v>
      </c>
    </row>
    <row r="2391" spans="1:10" s="10" customFormat="1" x14ac:dyDescent="0.25">
      <c r="A2391" s="21" t="s">
        <v>1630</v>
      </c>
      <c r="D2391" s="25"/>
      <c r="E2391" s="11"/>
      <c r="F2391" s="26">
        <v>8520</v>
      </c>
      <c r="G2391" s="11" t="s">
        <v>1631</v>
      </c>
      <c r="H2391" s="11" t="s">
        <v>4173</v>
      </c>
      <c r="I2391" s="12" t="s">
        <v>1631</v>
      </c>
      <c r="J2391" s="11" t="s">
        <v>2800</v>
      </c>
    </row>
    <row r="2392" spans="1:10" s="10" customFormat="1" x14ac:dyDescent="0.25">
      <c r="A2392" s="21" t="s">
        <v>1591</v>
      </c>
      <c r="D2392" s="25"/>
      <c r="E2392" s="11"/>
      <c r="F2392" s="26">
        <v>8400</v>
      </c>
      <c r="G2392" s="11" t="s">
        <v>4172</v>
      </c>
      <c r="H2392" s="11" t="s">
        <v>4173</v>
      </c>
      <c r="I2392" s="12" t="s">
        <v>1592</v>
      </c>
      <c r="J2392" s="11" t="s">
        <v>2800</v>
      </c>
    </row>
    <row r="2393" spans="1:10" s="10" customFormat="1" x14ac:dyDescent="0.25">
      <c r="A2393" s="21" t="s">
        <v>4226</v>
      </c>
      <c r="D2393" s="25"/>
      <c r="E2393" s="11"/>
      <c r="F2393" s="26">
        <v>8532</v>
      </c>
      <c r="G2393" s="11" t="s">
        <v>4227</v>
      </c>
      <c r="H2393" s="11" t="s">
        <v>4173</v>
      </c>
      <c r="I2393" s="12" t="s">
        <v>4227</v>
      </c>
      <c r="J2393" s="11" t="s">
        <v>2805</v>
      </c>
    </row>
    <row r="2394" spans="1:10" s="10" customFormat="1" x14ac:dyDescent="0.25">
      <c r="A2394" s="21" t="s">
        <v>4229</v>
      </c>
      <c r="D2394" s="25"/>
      <c r="E2394" s="11"/>
      <c r="F2394" s="26">
        <v>8536</v>
      </c>
      <c r="G2394" s="11" t="s">
        <v>4230</v>
      </c>
      <c r="H2394" s="11" t="s">
        <v>4173</v>
      </c>
      <c r="I2394" s="12" t="s">
        <v>4230</v>
      </c>
      <c r="J2394" s="11" t="s">
        <v>2805</v>
      </c>
    </row>
    <row r="2395" spans="1:10" s="10" customFormat="1" x14ac:dyDescent="0.25">
      <c r="A2395" s="21" t="s">
        <v>1614</v>
      </c>
      <c r="D2395" s="25"/>
      <c r="E2395" s="11"/>
      <c r="F2395" s="26">
        <v>8500</v>
      </c>
      <c r="G2395" s="11" t="s">
        <v>1615</v>
      </c>
      <c r="H2395" s="11" t="s">
        <v>4173</v>
      </c>
      <c r="I2395" s="12" t="s">
        <v>1615</v>
      </c>
      <c r="J2395" s="11" t="s">
        <v>2800</v>
      </c>
    </row>
    <row r="2396" spans="1:10" s="10" customFormat="1" x14ac:dyDescent="0.25">
      <c r="A2396" s="21" t="s">
        <v>1611</v>
      </c>
      <c r="D2396" s="25"/>
      <c r="E2396" s="11"/>
      <c r="F2396" s="26">
        <v>8308</v>
      </c>
      <c r="G2396" s="11" t="s">
        <v>1612</v>
      </c>
      <c r="H2396" s="11" t="s">
        <v>4173</v>
      </c>
      <c r="I2396" s="12" t="s">
        <v>1612</v>
      </c>
      <c r="J2396" s="11" t="s">
        <v>2805</v>
      </c>
    </row>
    <row r="2397" spans="1:10" s="10" customFormat="1" x14ac:dyDescent="0.25">
      <c r="A2397" s="21" t="s">
        <v>1608</v>
      </c>
      <c r="D2397" s="25"/>
      <c r="E2397" s="11"/>
      <c r="F2397" s="26">
        <v>8336</v>
      </c>
      <c r="G2397" s="11" t="s">
        <v>1609</v>
      </c>
      <c r="H2397" s="11" t="s">
        <v>4173</v>
      </c>
      <c r="I2397" s="12" t="s">
        <v>1609</v>
      </c>
      <c r="J2397" s="11" t="s">
        <v>2800</v>
      </c>
    </row>
    <row r="2398" spans="1:10" s="10" customFormat="1" x14ac:dyDescent="0.25">
      <c r="A2398" s="21" t="s">
        <v>2803</v>
      </c>
      <c r="D2398" s="25"/>
      <c r="E2398" s="11"/>
      <c r="F2398" s="26">
        <v>4566</v>
      </c>
      <c r="G2398" s="11" t="s">
        <v>2804</v>
      </c>
      <c r="H2398" s="11" t="s">
        <v>2799</v>
      </c>
      <c r="I2398" s="12" t="s">
        <v>2804</v>
      </c>
      <c r="J2398" s="11" t="s">
        <v>2805</v>
      </c>
    </row>
    <row r="2399" spans="1:10" s="10" customFormat="1" x14ac:dyDescent="0.25">
      <c r="A2399" s="21" t="s">
        <v>2808</v>
      </c>
      <c r="D2399" s="25"/>
      <c r="E2399" s="11"/>
      <c r="F2399" s="26">
        <v>4449</v>
      </c>
      <c r="G2399" s="11" t="s">
        <v>2809</v>
      </c>
      <c r="H2399" s="11" t="s">
        <v>2799</v>
      </c>
      <c r="I2399" s="12" t="s">
        <v>2809</v>
      </c>
      <c r="J2399" s="11" t="s">
        <v>2805</v>
      </c>
    </row>
    <row r="2400" spans="1:10" s="10" customFormat="1" x14ac:dyDescent="0.25">
      <c r="A2400" s="21" t="s">
        <v>2812</v>
      </c>
      <c r="D2400" s="25"/>
      <c r="E2400" s="11"/>
      <c r="F2400" s="26">
        <v>4417</v>
      </c>
      <c r="G2400" s="11" t="s">
        <v>2813</v>
      </c>
      <c r="H2400" s="11" t="s">
        <v>2799</v>
      </c>
      <c r="I2400" s="12" t="s">
        <v>2813</v>
      </c>
      <c r="J2400" s="11" t="s">
        <v>2805</v>
      </c>
    </row>
    <row r="2401" spans="1:10" s="10" customFormat="1" x14ac:dyDescent="0.25">
      <c r="A2401" s="21" t="s">
        <v>2815</v>
      </c>
      <c r="D2401" s="25"/>
      <c r="E2401" s="11"/>
      <c r="F2401" s="26">
        <v>4427</v>
      </c>
      <c r="G2401" s="11" t="s">
        <v>2816</v>
      </c>
      <c r="H2401" s="11" t="s">
        <v>2799</v>
      </c>
      <c r="I2401" s="12" t="s">
        <v>2816</v>
      </c>
      <c r="J2401" s="11" t="s">
        <v>2805</v>
      </c>
    </row>
    <row r="2402" spans="1:10" s="10" customFormat="1" x14ac:dyDescent="0.25">
      <c r="A2402" s="21" t="s">
        <v>232</v>
      </c>
      <c r="D2402" s="25"/>
      <c r="E2402" s="11"/>
      <c r="F2402" s="26">
        <v>4407</v>
      </c>
      <c r="G2402" s="11" t="s">
        <v>236</v>
      </c>
      <c r="H2402" s="11" t="s">
        <v>2799</v>
      </c>
      <c r="I2402" s="12" t="s">
        <v>233</v>
      </c>
      <c r="J2402" s="11" t="s">
        <v>2805</v>
      </c>
    </row>
    <row r="2403" spans="1:10" s="10" customFormat="1" x14ac:dyDescent="0.25">
      <c r="A2403" s="21" t="s">
        <v>237</v>
      </c>
      <c r="D2403" s="25"/>
      <c r="E2403" s="11"/>
      <c r="F2403" s="26">
        <v>4403</v>
      </c>
      <c r="G2403" s="11" t="s">
        <v>238</v>
      </c>
      <c r="H2403" s="11" t="s">
        <v>2799</v>
      </c>
      <c r="I2403" s="12" t="s">
        <v>238</v>
      </c>
      <c r="J2403" s="11" t="s">
        <v>2805</v>
      </c>
    </row>
    <row r="2404" spans="1:10" s="10" customFormat="1" x14ac:dyDescent="0.25">
      <c r="A2404" s="21" t="s">
        <v>241</v>
      </c>
      <c r="D2404" s="25"/>
      <c r="E2404" s="11"/>
      <c r="F2404" s="26">
        <v>4423</v>
      </c>
      <c r="G2404" s="11" t="s">
        <v>242</v>
      </c>
      <c r="H2404" s="11" t="s">
        <v>2799</v>
      </c>
      <c r="I2404" s="12" t="s">
        <v>242</v>
      </c>
      <c r="J2404" s="11" t="s">
        <v>2805</v>
      </c>
    </row>
    <row r="2405" spans="1:10" s="10" customFormat="1" x14ac:dyDescent="0.25">
      <c r="A2405" s="21" t="s">
        <v>245</v>
      </c>
      <c r="D2405" s="25"/>
      <c r="E2405" s="11"/>
      <c r="F2405" s="26">
        <v>4531</v>
      </c>
      <c r="G2405" s="11" t="s">
        <v>246</v>
      </c>
      <c r="H2405" s="11" t="s">
        <v>2799</v>
      </c>
      <c r="I2405" s="12" t="s">
        <v>246</v>
      </c>
      <c r="J2405" s="11" t="s">
        <v>2805</v>
      </c>
    </row>
    <row r="2406" spans="1:10" s="10" customFormat="1" x14ac:dyDescent="0.25">
      <c r="A2406" s="21" t="s">
        <v>249</v>
      </c>
      <c r="D2406" s="25"/>
      <c r="E2406" s="11"/>
      <c r="F2406" s="26">
        <v>4421</v>
      </c>
      <c r="G2406" s="11" t="s">
        <v>250</v>
      </c>
      <c r="H2406" s="11" t="s">
        <v>2799</v>
      </c>
      <c r="I2406" s="12" t="s">
        <v>250</v>
      </c>
      <c r="J2406" s="11" t="s">
        <v>2805</v>
      </c>
    </row>
    <row r="2407" spans="1:10" s="10" customFormat="1" x14ac:dyDescent="0.25">
      <c r="A2407" s="21" t="s">
        <v>253</v>
      </c>
      <c r="D2407" s="25"/>
      <c r="E2407" s="11"/>
      <c r="F2407" s="26">
        <v>4444</v>
      </c>
      <c r="G2407" s="11" t="s">
        <v>254</v>
      </c>
      <c r="H2407" s="11" t="s">
        <v>2799</v>
      </c>
      <c r="I2407" s="12" t="s">
        <v>254</v>
      </c>
      <c r="J2407" s="11" t="s">
        <v>2805</v>
      </c>
    </row>
    <row r="2408" spans="1:10" s="10" customFormat="1" x14ac:dyDescent="0.25">
      <c r="A2408" s="21" t="s">
        <v>2146</v>
      </c>
      <c r="D2408" s="25"/>
      <c r="E2408" s="11"/>
      <c r="F2408" s="26">
        <v>4126</v>
      </c>
      <c r="G2408" s="11" t="s">
        <v>2149</v>
      </c>
      <c r="H2408" s="11" t="s">
        <v>2799</v>
      </c>
      <c r="I2408" s="12" t="s">
        <v>2147</v>
      </c>
      <c r="J2408" s="11" t="s">
        <v>2805</v>
      </c>
    </row>
    <row r="2409" spans="1:10" s="10" customFormat="1" x14ac:dyDescent="0.25">
      <c r="A2409" s="21" t="s">
        <v>257</v>
      </c>
      <c r="D2409" s="25"/>
      <c r="E2409" s="11"/>
      <c r="F2409" s="26">
        <v>4550</v>
      </c>
      <c r="G2409" s="11" t="s">
        <v>258</v>
      </c>
      <c r="H2409" s="11" t="s">
        <v>2799</v>
      </c>
      <c r="I2409" s="12" t="s">
        <v>258</v>
      </c>
      <c r="J2409" s="11" t="s">
        <v>2805</v>
      </c>
    </row>
    <row r="2410" spans="1:10" s="10" customFormat="1" x14ac:dyDescent="0.25">
      <c r="A2410" s="21" t="s">
        <v>261</v>
      </c>
      <c r="D2410" s="25"/>
      <c r="E2410" s="11"/>
      <c r="F2410" s="26">
        <v>4562</v>
      </c>
      <c r="G2410" s="11" t="s">
        <v>2850</v>
      </c>
      <c r="H2410" s="11" t="s">
        <v>2799</v>
      </c>
      <c r="I2410" s="12" t="s">
        <v>262</v>
      </c>
      <c r="J2410" s="11" t="s">
        <v>2805</v>
      </c>
    </row>
    <row r="2411" spans="1:10" s="10" customFormat="1" x14ac:dyDescent="0.25">
      <c r="A2411" s="21" t="s">
        <v>2851</v>
      </c>
      <c r="D2411" s="25"/>
      <c r="E2411" s="11"/>
      <c r="F2411" s="26">
        <v>4430</v>
      </c>
      <c r="G2411" s="11" t="s">
        <v>2852</v>
      </c>
      <c r="H2411" s="11" t="s">
        <v>2799</v>
      </c>
      <c r="I2411" s="12" t="s">
        <v>2852</v>
      </c>
      <c r="J2411" s="11" t="s">
        <v>2805</v>
      </c>
    </row>
    <row r="2412" spans="1:10" s="10" customFormat="1" x14ac:dyDescent="0.25">
      <c r="A2412" s="21" t="s">
        <v>2855</v>
      </c>
      <c r="D2412" s="25"/>
      <c r="E2412" s="11"/>
      <c r="F2412" s="26">
        <v>4532</v>
      </c>
      <c r="G2412" s="11" t="s">
        <v>2858</v>
      </c>
      <c r="H2412" s="11" t="s">
        <v>2799</v>
      </c>
      <c r="I2412" s="12" t="s">
        <v>2856</v>
      </c>
      <c r="J2412" s="11" t="s">
        <v>2805</v>
      </c>
    </row>
    <row r="2413" spans="1:10" s="10" customFormat="1" x14ac:dyDescent="0.25">
      <c r="A2413" s="21" t="s">
        <v>2859</v>
      </c>
      <c r="D2413" s="25"/>
      <c r="E2413" s="11"/>
      <c r="F2413" s="26">
        <v>4448</v>
      </c>
      <c r="G2413" s="11" t="s">
        <v>4648</v>
      </c>
      <c r="H2413" s="11" t="s">
        <v>2799</v>
      </c>
      <c r="I2413" s="12" t="s">
        <v>4645</v>
      </c>
      <c r="J2413" s="11" t="s">
        <v>2805</v>
      </c>
    </row>
    <row r="2414" spans="1:10" s="10" customFormat="1" x14ac:dyDescent="0.25">
      <c r="A2414" s="21" t="s">
        <v>2157</v>
      </c>
      <c r="D2414" s="25"/>
      <c r="E2414" s="11"/>
      <c r="F2414" s="26">
        <v>4416</v>
      </c>
      <c r="G2414" s="11" t="s">
        <v>2158</v>
      </c>
      <c r="H2414" s="11" t="s">
        <v>2799</v>
      </c>
      <c r="I2414" s="12" t="s">
        <v>2158</v>
      </c>
      <c r="J2414" s="11" t="s">
        <v>2805</v>
      </c>
    </row>
    <row r="2415" spans="1:10" s="10" customFormat="1" x14ac:dyDescent="0.25">
      <c r="A2415" s="21" t="s">
        <v>2169</v>
      </c>
      <c r="D2415" s="25"/>
      <c r="E2415" s="11"/>
      <c r="F2415" s="26">
        <v>4450</v>
      </c>
      <c r="G2415" s="11" t="s">
        <v>2170</v>
      </c>
      <c r="H2415" s="11" t="s">
        <v>2799</v>
      </c>
      <c r="I2415" s="12" t="s">
        <v>2170</v>
      </c>
      <c r="J2415" s="11" t="s">
        <v>2805</v>
      </c>
    </row>
    <row r="2416" spans="1:10" s="10" customFormat="1" x14ac:dyDescent="0.25">
      <c r="A2416" s="21" t="s">
        <v>4649</v>
      </c>
      <c r="D2416" s="25"/>
      <c r="E2416" s="11"/>
      <c r="F2416" s="26">
        <v>4440</v>
      </c>
      <c r="G2416" s="11" t="s">
        <v>4650</v>
      </c>
      <c r="H2416" s="11" t="s">
        <v>2799</v>
      </c>
      <c r="I2416" s="12" t="s">
        <v>4650</v>
      </c>
      <c r="J2416" s="11" t="s">
        <v>2805</v>
      </c>
    </row>
    <row r="2417" spans="1:10" s="10" customFormat="1" x14ac:dyDescent="0.25">
      <c r="A2417" s="21" t="s">
        <v>4653</v>
      </c>
      <c r="D2417" s="25"/>
      <c r="E2417" s="11"/>
      <c r="F2417" s="26">
        <v>4534</v>
      </c>
      <c r="G2417" s="11" t="s">
        <v>4654</v>
      </c>
      <c r="H2417" s="11" t="s">
        <v>2799</v>
      </c>
      <c r="I2417" s="12" t="s">
        <v>4654</v>
      </c>
      <c r="J2417" s="11" t="s">
        <v>2805</v>
      </c>
    </row>
    <row r="2418" spans="1:10" s="10" customFormat="1" x14ac:dyDescent="0.25">
      <c r="A2418" s="21" t="s">
        <v>2126</v>
      </c>
      <c r="D2418" s="25"/>
      <c r="E2418" s="11"/>
      <c r="F2418" s="26">
        <v>4190</v>
      </c>
      <c r="G2418" s="11" t="s">
        <v>2127</v>
      </c>
      <c r="H2418" s="11" t="s">
        <v>2799</v>
      </c>
      <c r="I2418" s="12" t="s">
        <v>2127</v>
      </c>
      <c r="J2418" s="11" t="s">
        <v>2805</v>
      </c>
    </row>
    <row r="2419" spans="1:10" s="10" customFormat="1" x14ac:dyDescent="0.25">
      <c r="A2419" s="21" t="s">
        <v>2130</v>
      </c>
      <c r="D2419" s="25"/>
      <c r="E2419" s="11"/>
      <c r="F2419" s="26">
        <v>4405</v>
      </c>
      <c r="G2419" s="11" t="s">
        <v>2134</v>
      </c>
      <c r="H2419" s="11" t="s">
        <v>2799</v>
      </c>
      <c r="I2419" s="12" t="s">
        <v>2131</v>
      </c>
      <c r="J2419" s="11" t="s">
        <v>2805</v>
      </c>
    </row>
    <row r="2420" spans="1:10" s="10" customFormat="1" x14ac:dyDescent="0.25">
      <c r="A2420" s="21" t="s">
        <v>2153</v>
      </c>
      <c r="D2420" s="25"/>
      <c r="E2420" s="11"/>
      <c r="F2420" s="26">
        <v>4402</v>
      </c>
      <c r="G2420" s="11" t="s">
        <v>2799</v>
      </c>
      <c r="H2420" s="11" t="s">
        <v>2799</v>
      </c>
      <c r="I2420" s="12" t="s">
        <v>2154</v>
      </c>
      <c r="J2420" s="11" t="s">
        <v>2805</v>
      </c>
    </row>
    <row r="2421" spans="1:10" s="10" customFormat="1" x14ac:dyDescent="0.25">
      <c r="A2421" s="21" t="s">
        <v>2165</v>
      </c>
      <c r="D2421" s="25"/>
      <c r="E2421" s="11"/>
      <c r="F2421" s="26">
        <v>4406</v>
      </c>
      <c r="G2421" s="11" t="s">
        <v>2799</v>
      </c>
      <c r="H2421" s="11" t="s">
        <v>2799</v>
      </c>
      <c r="I2421" s="12" t="s">
        <v>2166</v>
      </c>
      <c r="J2421" s="11" t="s">
        <v>2805</v>
      </c>
    </row>
    <row r="2422" spans="1:10" s="10" customFormat="1" x14ac:dyDescent="0.25">
      <c r="A2422" s="21" t="s">
        <v>2798</v>
      </c>
      <c r="D2422" s="25"/>
      <c r="E2422" s="11"/>
      <c r="F2422" s="26">
        <v>4400</v>
      </c>
      <c r="G2422" s="11" t="s">
        <v>2799</v>
      </c>
      <c r="H2422" s="11" t="s">
        <v>2799</v>
      </c>
      <c r="I2422" s="12" t="s">
        <v>2799</v>
      </c>
      <c r="J2422" s="11" t="s">
        <v>2800</v>
      </c>
    </row>
    <row r="2423" spans="1:10" s="10" customFormat="1" x14ac:dyDescent="0.25">
      <c r="A2423" s="21" t="s">
        <v>2122</v>
      </c>
      <c r="D2423" s="25"/>
      <c r="E2423" s="11"/>
      <c r="F2423" s="26">
        <v>4568</v>
      </c>
      <c r="G2423" s="11" t="s">
        <v>2125</v>
      </c>
      <c r="H2423" s="11" t="s">
        <v>2799</v>
      </c>
      <c r="I2423" s="12" t="s">
        <v>2123</v>
      </c>
      <c r="J2423" s="11" t="s">
        <v>2805</v>
      </c>
    </row>
    <row r="2424" spans="1:10" s="10" customFormat="1" x14ac:dyDescent="0.25">
      <c r="A2424" s="21" t="s">
        <v>2135</v>
      </c>
      <c r="D2424" s="25"/>
      <c r="E2424" s="11"/>
      <c r="F2424" s="26">
        <v>4411</v>
      </c>
      <c r="G2424" s="11" t="s">
        <v>2138</v>
      </c>
      <c r="H2424" s="11" t="s">
        <v>2799</v>
      </c>
      <c r="I2424" s="12" t="s">
        <v>2136</v>
      </c>
      <c r="J2424" s="11" t="s">
        <v>2805</v>
      </c>
    </row>
    <row r="2425" spans="1:10" s="10" customFormat="1" x14ac:dyDescent="0.25">
      <c r="A2425" s="21" t="s">
        <v>2139</v>
      </c>
      <c r="D2425" s="25"/>
      <c r="E2425" s="11"/>
      <c r="F2425" s="26">
        <v>4428</v>
      </c>
      <c r="G2425" s="11" t="s">
        <v>2140</v>
      </c>
      <c r="H2425" s="11" t="s">
        <v>2799</v>
      </c>
      <c r="I2425" s="12" t="s">
        <v>2140</v>
      </c>
      <c r="J2425" s="11" t="s">
        <v>2805</v>
      </c>
    </row>
    <row r="2426" spans="1:10" s="10" customFormat="1" x14ac:dyDescent="0.25">
      <c r="A2426" s="21" t="s">
        <v>2142</v>
      </c>
      <c r="D2426" s="25"/>
      <c r="E2426" s="11"/>
      <c r="F2426" s="26">
        <v>4530</v>
      </c>
      <c r="G2426" s="11" t="s">
        <v>2143</v>
      </c>
      <c r="H2426" s="11" t="s">
        <v>2799</v>
      </c>
      <c r="I2426" s="12" t="s">
        <v>2143</v>
      </c>
      <c r="J2426" s="11" t="s">
        <v>2800</v>
      </c>
    </row>
    <row r="2427" spans="1:10" s="10" customFormat="1" x14ac:dyDescent="0.25">
      <c r="A2427" s="21" t="s">
        <v>2160</v>
      </c>
      <c r="D2427" s="25"/>
      <c r="E2427" s="11"/>
      <c r="F2427" s="26">
        <v>4561</v>
      </c>
      <c r="G2427" s="11" t="s">
        <v>2161</v>
      </c>
      <c r="H2427" s="11" t="s">
        <v>2799</v>
      </c>
      <c r="I2427" s="12" t="s">
        <v>2161</v>
      </c>
      <c r="J2427" s="11" t="s">
        <v>2805</v>
      </c>
    </row>
    <row r="2428" spans="1:10" s="10" customFormat="1" x14ac:dyDescent="0.25">
      <c r="A2428" s="21" t="s">
        <v>2150</v>
      </c>
      <c r="D2428" s="25"/>
      <c r="E2428" s="11"/>
      <c r="F2428" s="26">
        <v>4560</v>
      </c>
      <c r="G2428" s="11" t="s">
        <v>2151</v>
      </c>
      <c r="H2428" s="11" t="s">
        <v>2799</v>
      </c>
      <c r="I2428" s="12" t="s">
        <v>2151</v>
      </c>
      <c r="J2428" s="11" t="s">
        <v>2800</v>
      </c>
    </row>
    <row r="2429" spans="1:10" s="10" customFormat="1" x14ac:dyDescent="0.25">
      <c r="A2429" s="21" t="s">
        <v>3337</v>
      </c>
      <c r="D2429" s="25"/>
      <c r="E2429" s="11"/>
      <c r="F2429" s="26">
        <v>5438</v>
      </c>
      <c r="G2429" s="11" t="s">
        <v>3338</v>
      </c>
      <c r="H2429" s="11" t="s">
        <v>3491</v>
      </c>
      <c r="I2429" s="12" t="s">
        <v>3338</v>
      </c>
      <c r="J2429" s="11" t="s">
        <v>2805</v>
      </c>
    </row>
    <row r="2430" spans="1:10" s="10" customFormat="1" x14ac:dyDescent="0.25">
      <c r="A2430" s="21" t="s">
        <v>3449</v>
      </c>
      <c r="D2430" s="25"/>
      <c r="E2430" s="11"/>
      <c r="F2430" s="26">
        <v>5405</v>
      </c>
      <c r="G2430" s="11" t="s">
        <v>3450</v>
      </c>
      <c r="H2430" s="11" t="s">
        <v>3491</v>
      </c>
      <c r="I2430" s="12" t="s">
        <v>3450</v>
      </c>
      <c r="J2430" s="11" t="s">
        <v>2805</v>
      </c>
    </row>
    <row r="2431" spans="1:10" s="10" customFormat="1" x14ac:dyDescent="0.25">
      <c r="A2431" s="21" t="s">
        <v>3452</v>
      </c>
      <c r="D2431" s="25"/>
      <c r="E2431" s="11"/>
      <c r="F2431" s="26">
        <v>5403</v>
      </c>
      <c r="G2431" s="11" t="s">
        <v>3453</v>
      </c>
      <c r="H2431" s="11" t="s">
        <v>3491</v>
      </c>
      <c r="I2431" s="12" t="s">
        <v>3453</v>
      </c>
      <c r="J2431" s="11" t="s">
        <v>2805</v>
      </c>
    </row>
    <row r="2432" spans="1:10" s="10" customFormat="1" x14ac:dyDescent="0.25">
      <c r="A2432" s="21" t="s">
        <v>3456</v>
      </c>
      <c r="D2432" s="25"/>
      <c r="E2432" s="11"/>
      <c r="F2432" s="26">
        <v>5423</v>
      </c>
      <c r="G2432" s="11" t="s">
        <v>3457</v>
      </c>
      <c r="H2432" s="11" t="s">
        <v>3491</v>
      </c>
      <c r="I2432" s="12" t="s">
        <v>3457</v>
      </c>
      <c r="J2432" s="11" t="s">
        <v>2805</v>
      </c>
    </row>
    <row r="2433" spans="1:10" s="10" customFormat="1" x14ac:dyDescent="0.25">
      <c r="A2433" s="21" t="s">
        <v>3459</v>
      </c>
      <c r="D2433" s="25"/>
      <c r="E2433" s="11"/>
      <c r="F2433" s="26">
        <v>5442</v>
      </c>
      <c r="G2433" s="11" t="s">
        <v>3460</v>
      </c>
      <c r="H2433" s="11" t="s">
        <v>3491</v>
      </c>
      <c r="I2433" s="12" t="s">
        <v>3460</v>
      </c>
      <c r="J2433" s="11" t="s">
        <v>2805</v>
      </c>
    </row>
    <row r="2434" spans="1:10" s="10" customFormat="1" x14ac:dyDescent="0.25">
      <c r="A2434" s="21" t="s">
        <v>3462</v>
      </c>
      <c r="D2434" s="25"/>
      <c r="E2434" s="11"/>
      <c r="F2434" s="26">
        <v>5413</v>
      </c>
      <c r="G2434" s="11" t="s">
        <v>3463</v>
      </c>
      <c r="H2434" s="11" t="s">
        <v>3491</v>
      </c>
      <c r="I2434" s="12" t="s">
        <v>3463</v>
      </c>
      <c r="J2434" s="11" t="s">
        <v>2805</v>
      </c>
    </row>
    <row r="2435" spans="1:10" s="10" customFormat="1" x14ac:dyDescent="0.25">
      <c r="A2435" s="21" t="s">
        <v>3332</v>
      </c>
      <c r="D2435" s="25"/>
      <c r="E2435" s="11"/>
      <c r="F2435" s="26">
        <v>5419</v>
      </c>
      <c r="G2435" s="11" t="s">
        <v>3336</v>
      </c>
      <c r="H2435" s="11" t="s">
        <v>3491</v>
      </c>
      <c r="I2435" s="12" t="s">
        <v>3333</v>
      </c>
      <c r="J2435" s="11" t="s">
        <v>2805</v>
      </c>
    </row>
    <row r="2436" spans="1:10" s="10" customFormat="1" x14ac:dyDescent="0.25">
      <c r="A2436" s="21" t="s">
        <v>3465</v>
      </c>
      <c r="D2436" s="25"/>
      <c r="E2436" s="11"/>
      <c r="F2436" s="26">
        <v>5460</v>
      </c>
      <c r="G2436" s="11" t="s">
        <v>3466</v>
      </c>
      <c r="H2436" s="11" t="s">
        <v>3491</v>
      </c>
      <c r="I2436" s="12" t="s">
        <v>3466</v>
      </c>
      <c r="J2436" s="11" t="s">
        <v>2805</v>
      </c>
    </row>
    <row r="2437" spans="1:10" s="10" customFormat="1" x14ac:dyDescent="0.25">
      <c r="A2437" s="21" t="s">
        <v>3468</v>
      </c>
      <c r="D2437" s="25"/>
      <c r="E2437" s="11"/>
      <c r="F2437" s="26">
        <v>5458</v>
      </c>
      <c r="G2437" s="11" t="s">
        <v>4386</v>
      </c>
      <c r="H2437" s="11" t="s">
        <v>3491</v>
      </c>
      <c r="I2437" s="12" t="s">
        <v>4386</v>
      </c>
      <c r="J2437" s="11" t="s">
        <v>2805</v>
      </c>
    </row>
    <row r="2438" spans="1:10" s="10" customFormat="1" x14ac:dyDescent="0.25">
      <c r="A2438" s="21" t="s">
        <v>3470</v>
      </c>
      <c r="D2438" s="25"/>
      <c r="E2438" s="11"/>
      <c r="F2438" s="26">
        <v>5407</v>
      </c>
      <c r="G2438" s="11" t="s">
        <v>3471</v>
      </c>
      <c r="H2438" s="11" t="s">
        <v>3491</v>
      </c>
      <c r="I2438" s="12" t="s">
        <v>3471</v>
      </c>
      <c r="J2438" s="11" t="s">
        <v>2805</v>
      </c>
    </row>
    <row r="2439" spans="1:10" s="10" customFormat="1" x14ac:dyDescent="0.25">
      <c r="A2439" s="21" t="s">
        <v>3473</v>
      </c>
      <c r="D2439" s="25"/>
      <c r="E2439" s="11"/>
      <c r="F2439" s="26">
        <v>5435</v>
      </c>
      <c r="G2439" s="11" t="s">
        <v>3474</v>
      </c>
      <c r="H2439" s="11" t="s">
        <v>3491</v>
      </c>
      <c r="I2439" s="12" t="s">
        <v>3474</v>
      </c>
      <c r="J2439" s="11" t="s">
        <v>2805</v>
      </c>
    </row>
    <row r="2440" spans="1:10" s="10" customFormat="1" x14ac:dyDescent="0.25">
      <c r="A2440" s="21" t="s">
        <v>3329</v>
      </c>
      <c r="D2440" s="25"/>
      <c r="E2440" s="11"/>
      <c r="F2440" s="26">
        <v>5400</v>
      </c>
      <c r="G2440" s="11" t="s">
        <v>1668</v>
      </c>
      <c r="H2440" s="11" t="s">
        <v>3491</v>
      </c>
      <c r="I2440" s="12" t="s">
        <v>3330</v>
      </c>
      <c r="J2440" s="11" t="s">
        <v>2805</v>
      </c>
    </row>
    <row r="2441" spans="1:10" s="10" customFormat="1" x14ac:dyDescent="0.25">
      <c r="A2441" s="21" t="s">
        <v>3477</v>
      </c>
      <c r="D2441" s="25"/>
      <c r="E2441" s="11"/>
      <c r="F2441" s="26">
        <v>5465</v>
      </c>
      <c r="G2441" s="11" t="s">
        <v>3478</v>
      </c>
      <c r="H2441" s="11" t="s">
        <v>3491</v>
      </c>
      <c r="I2441" s="12" t="s">
        <v>3478</v>
      </c>
      <c r="J2441" s="11" t="s">
        <v>2805</v>
      </c>
    </row>
    <row r="2442" spans="1:10" s="10" customFormat="1" x14ac:dyDescent="0.25">
      <c r="A2442" s="21" t="s">
        <v>3484</v>
      </c>
      <c r="D2442" s="25"/>
      <c r="E2442" s="11"/>
      <c r="F2442" s="26">
        <v>5449</v>
      </c>
      <c r="G2442" s="11" t="s">
        <v>1786</v>
      </c>
      <c r="H2442" s="11" t="s">
        <v>3491</v>
      </c>
      <c r="I2442" s="12" t="s">
        <v>3485</v>
      </c>
      <c r="J2442" s="11" t="s">
        <v>2805</v>
      </c>
    </row>
    <row r="2443" spans="1:10" s="10" customFormat="1" x14ac:dyDescent="0.25">
      <c r="A2443" s="21" t="s">
        <v>3326</v>
      </c>
      <c r="D2443" s="25"/>
      <c r="E2443" s="11"/>
      <c r="F2443" s="26">
        <v>5402</v>
      </c>
      <c r="G2443" s="11" t="s">
        <v>3491</v>
      </c>
      <c r="H2443" s="11" t="s">
        <v>3491</v>
      </c>
      <c r="I2443" s="12" t="s">
        <v>3491</v>
      </c>
      <c r="J2443" s="11" t="s">
        <v>2800</v>
      </c>
    </row>
    <row r="2444" spans="1:10" s="10" customFormat="1" x14ac:dyDescent="0.25">
      <c r="A2444" s="21" t="s">
        <v>1800</v>
      </c>
      <c r="D2444" s="25"/>
      <c r="E2444" s="11"/>
      <c r="F2444" s="26">
        <v>5418</v>
      </c>
      <c r="G2444" s="11" t="s">
        <v>247</v>
      </c>
      <c r="H2444" s="11" t="s">
        <v>3491</v>
      </c>
      <c r="I2444" s="12" t="s">
        <v>1993</v>
      </c>
      <c r="J2444" s="11" t="s">
        <v>2805</v>
      </c>
    </row>
    <row r="2445" spans="1:10" s="10" customFormat="1" x14ac:dyDescent="0.25">
      <c r="A2445" s="21" t="s">
        <v>3481</v>
      </c>
      <c r="D2445" s="25"/>
      <c r="E2445" s="11"/>
      <c r="F2445" s="26">
        <v>5411</v>
      </c>
      <c r="G2445" s="11" t="s">
        <v>353</v>
      </c>
      <c r="H2445" s="11" t="s">
        <v>3491</v>
      </c>
      <c r="I2445" s="12" t="s">
        <v>353</v>
      </c>
      <c r="J2445" s="11" t="s">
        <v>2805</v>
      </c>
    </row>
    <row r="2446" spans="1:10" s="10" customFormat="1" x14ac:dyDescent="0.25">
      <c r="A2446" s="21" t="s">
        <v>1787</v>
      </c>
      <c r="D2446" s="25"/>
      <c r="E2446" s="11"/>
      <c r="F2446" s="26">
        <v>5427</v>
      </c>
      <c r="G2446" s="11" t="s">
        <v>1788</v>
      </c>
      <c r="H2446" s="11" t="s">
        <v>3491</v>
      </c>
      <c r="I2446" s="12" t="s">
        <v>1788</v>
      </c>
      <c r="J2446" s="11" t="s">
        <v>2805</v>
      </c>
    </row>
    <row r="2447" spans="1:10" s="10" customFormat="1" x14ac:dyDescent="0.25">
      <c r="A2447" s="21" t="s">
        <v>1790</v>
      </c>
      <c r="D2447" s="25"/>
      <c r="E2447" s="11"/>
      <c r="F2447" s="26">
        <v>5415</v>
      </c>
      <c r="G2447" s="11" t="s">
        <v>1791</v>
      </c>
      <c r="H2447" s="11" t="s">
        <v>3491</v>
      </c>
      <c r="I2447" s="12" t="s">
        <v>1791</v>
      </c>
      <c r="J2447" s="11" t="s">
        <v>2805</v>
      </c>
    </row>
    <row r="2448" spans="1:10" s="10" customFormat="1" x14ac:dyDescent="0.25">
      <c r="A2448" s="21" t="s">
        <v>1794</v>
      </c>
      <c r="D2448" s="25"/>
      <c r="E2448" s="11"/>
      <c r="F2448" s="26">
        <v>5425</v>
      </c>
      <c r="G2448" s="11" t="s">
        <v>1795</v>
      </c>
      <c r="H2448" s="11" t="s">
        <v>3491</v>
      </c>
      <c r="I2448" s="12" t="s">
        <v>1795</v>
      </c>
      <c r="J2448" s="11" t="s">
        <v>2805</v>
      </c>
    </row>
    <row r="2449" spans="1:10" s="10" customFormat="1" x14ac:dyDescent="0.25">
      <c r="A2449" s="21" t="s">
        <v>1797</v>
      </c>
      <c r="D2449" s="25"/>
      <c r="E2449" s="11"/>
      <c r="F2449" s="26">
        <v>5452</v>
      </c>
      <c r="G2449" s="11" t="s">
        <v>1798</v>
      </c>
      <c r="H2449" s="11" t="s">
        <v>3491</v>
      </c>
      <c r="I2449" s="12" t="s">
        <v>1798</v>
      </c>
      <c r="J2449" s="11" t="s">
        <v>2805</v>
      </c>
    </row>
    <row r="2450" spans="1:10" s="10" customFormat="1" x14ac:dyDescent="0.25">
      <c r="A2450" s="21" t="s">
        <v>1924</v>
      </c>
      <c r="D2450" s="25"/>
      <c r="E2450" s="11"/>
      <c r="F2450" s="26">
        <v>6389</v>
      </c>
      <c r="G2450" s="11" t="s">
        <v>1925</v>
      </c>
      <c r="H2450" s="11" t="s">
        <v>992</v>
      </c>
      <c r="I2450" s="12" t="s">
        <v>1925</v>
      </c>
      <c r="J2450" s="11" t="s">
        <v>2805</v>
      </c>
    </row>
    <row r="2451" spans="1:10" s="10" customFormat="1" x14ac:dyDescent="0.25">
      <c r="A2451" s="21" t="s">
        <v>1928</v>
      </c>
      <c r="D2451" s="25"/>
      <c r="E2451" s="11"/>
      <c r="F2451" s="26">
        <v>6277</v>
      </c>
      <c r="G2451" s="11" t="s">
        <v>1929</v>
      </c>
      <c r="H2451" s="11" t="s">
        <v>992</v>
      </c>
      <c r="I2451" s="12" t="s">
        <v>1929</v>
      </c>
      <c r="J2451" s="11" t="s">
        <v>2805</v>
      </c>
    </row>
    <row r="2452" spans="1:10" s="10" customFormat="1" x14ac:dyDescent="0.25">
      <c r="A2452" s="21" t="s">
        <v>3672</v>
      </c>
      <c r="D2452" s="25"/>
      <c r="E2452" s="11"/>
      <c r="F2452" s="26">
        <v>5713</v>
      </c>
      <c r="G2452" s="11" t="s">
        <v>3673</v>
      </c>
      <c r="H2452" s="11" t="s">
        <v>992</v>
      </c>
      <c r="I2452" s="12" t="s">
        <v>3673</v>
      </c>
      <c r="J2452" s="11" t="s">
        <v>2805</v>
      </c>
    </row>
    <row r="2453" spans="1:10" s="10" customFormat="1" x14ac:dyDescent="0.25">
      <c r="A2453" s="21" t="s">
        <v>3675</v>
      </c>
      <c r="D2453" s="25"/>
      <c r="E2453" s="11"/>
      <c r="F2453" s="26">
        <v>5770</v>
      </c>
      <c r="G2453" s="11" t="s">
        <v>3676</v>
      </c>
      <c r="H2453" s="11" t="s">
        <v>992</v>
      </c>
      <c r="I2453" s="12" t="s">
        <v>3676</v>
      </c>
      <c r="J2453" s="11" t="s">
        <v>2805</v>
      </c>
    </row>
    <row r="2454" spans="1:10" s="10" customFormat="1" x14ac:dyDescent="0.25">
      <c r="A2454" s="21" t="s">
        <v>3678</v>
      </c>
      <c r="D2454" s="25"/>
      <c r="E2454" s="11"/>
      <c r="F2454" s="26">
        <v>5738</v>
      </c>
      <c r="G2454" s="11" t="s">
        <v>3679</v>
      </c>
      <c r="H2454" s="11" t="s">
        <v>992</v>
      </c>
      <c r="I2454" s="12" t="s">
        <v>3679</v>
      </c>
      <c r="J2454" s="11" t="s">
        <v>2805</v>
      </c>
    </row>
    <row r="2455" spans="1:10" s="10" customFormat="1" x14ac:dyDescent="0.25">
      <c r="A2455" s="21" t="s">
        <v>3681</v>
      </c>
      <c r="D2455" s="25"/>
      <c r="E2455" s="11"/>
      <c r="F2455" s="26">
        <v>5750</v>
      </c>
      <c r="G2455" s="11" t="s">
        <v>3682</v>
      </c>
      <c r="H2455" s="11" t="s">
        <v>992</v>
      </c>
      <c r="I2455" s="12" t="s">
        <v>3682</v>
      </c>
      <c r="J2455" s="11" t="s">
        <v>2805</v>
      </c>
    </row>
    <row r="2456" spans="1:10" s="10" customFormat="1" x14ac:dyDescent="0.25">
      <c r="A2456" s="21" t="s">
        <v>1967</v>
      </c>
      <c r="D2456" s="25"/>
      <c r="E2456" s="11"/>
      <c r="F2456" s="26">
        <v>5709</v>
      </c>
      <c r="G2456" s="11" t="s">
        <v>946</v>
      </c>
      <c r="H2456" s="11" t="s">
        <v>992</v>
      </c>
      <c r="I2456" s="12" t="s">
        <v>946</v>
      </c>
      <c r="J2456" s="11" t="s">
        <v>2805</v>
      </c>
    </row>
    <row r="2457" spans="1:10" s="10" customFormat="1" x14ac:dyDescent="0.25">
      <c r="A2457" s="21" t="s">
        <v>1976</v>
      </c>
      <c r="D2457" s="25"/>
      <c r="E2457" s="11"/>
      <c r="F2457" s="26">
        <v>5881</v>
      </c>
      <c r="G2457" s="11" t="s">
        <v>4307</v>
      </c>
      <c r="H2457" s="11" t="s">
        <v>992</v>
      </c>
      <c r="I2457" s="12" t="s">
        <v>4307</v>
      </c>
      <c r="J2457" s="11" t="s">
        <v>2805</v>
      </c>
    </row>
    <row r="2458" spans="1:10" s="10" customFormat="1" x14ac:dyDescent="0.25">
      <c r="A2458" s="21" t="s">
        <v>1979</v>
      </c>
      <c r="D2458" s="25"/>
      <c r="E2458" s="11"/>
      <c r="F2458" s="26">
        <v>5759</v>
      </c>
      <c r="G2458" s="11" t="s">
        <v>1980</v>
      </c>
      <c r="H2458" s="11" t="s">
        <v>992</v>
      </c>
      <c r="I2458" s="12" t="s">
        <v>1980</v>
      </c>
      <c r="J2458" s="11" t="s">
        <v>2805</v>
      </c>
    </row>
    <row r="2459" spans="1:10" s="10" customFormat="1" x14ac:dyDescent="0.25">
      <c r="A2459" s="21" t="s">
        <v>1982</v>
      </c>
      <c r="D2459" s="25"/>
      <c r="E2459" s="11"/>
      <c r="F2459" s="26">
        <v>6217</v>
      </c>
      <c r="G2459" s="11" t="s">
        <v>1983</v>
      </c>
      <c r="H2459" s="11" t="s">
        <v>992</v>
      </c>
      <c r="I2459" s="12" t="s">
        <v>1983</v>
      </c>
      <c r="J2459" s="11" t="s">
        <v>2805</v>
      </c>
    </row>
    <row r="2460" spans="1:10" s="10" customFormat="1" x14ac:dyDescent="0.25">
      <c r="A2460" s="21" t="s">
        <v>1985</v>
      </c>
      <c r="D2460" s="25"/>
      <c r="E2460" s="11"/>
      <c r="F2460" s="26">
        <v>5711</v>
      </c>
      <c r="G2460" s="11" t="s">
        <v>1986</v>
      </c>
      <c r="H2460" s="11" t="s">
        <v>992</v>
      </c>
      <c r="I2460" s="12" t="s">
        <v>1986</v>
      </c>
      <c r="J2460" s="11" t="s">
        <v>2805</v>
      </c>
    </row>
    <row r="2461" spans="1:10" s="10" customFormat="1" x14ac:dyDescent="0.25">
      <c r="A2461" s="21" t="s">
        <v>1988</v>
      </c>
      <c r="D2461" s="25"/>
      <c r="E2461" s="11"/>
      <c r="F2461" s="26">
        <v>5705</v>
      </c>
      <c r="G2461" s="11" t="s">
        <v>1991</v>
      </c>
      <c r="H2461" s="11" t="s">
        <v>992</v>
      </c>
      <c r="I2461" s="12" t="s">
        <v>1989</v>
      </c>
      <c r="J2461" s="11" t="s">
        <v>2805</v>
      </c>
    </row>
    <row r="2462" spans="1:10" s="10" customFormat="1" x14ac:dyDescent="0.25">
      <c r="A2462" s="21" t="s">
        <v>1921</v>
      </c>
      <c r="D2462" s="25"/>
      <c r="E2462" s="11"/>
      <c r="F2462" s="26">
        <v>5702</v>
      </c>
      <c r="G2462" s="11" t="s">
        <v>992</v>
      </c>
      <c r="H2462" s="11" t="s">
        <v>992</v>
      </c>
      <c r="I2462" s="12" t="s">
        <v>1922</v>
      </c>
      <c r="J2462" s="11" t="s">
        <v>2805</v>
      </c>
    </row>
    <row r="2463" spans="1:10" s="10" customFormat="1" x14ac:dyDescent="0.25">
      <c r="A2463" s="21" t="s">
        <v>1920</v>
      </c>
      <c r="D2463" s="25"/>
      <c r="E2463" s="11"/>
      <c r="F2463" s="26">
        <v>5700</v>
      </c>
      <c r="G2463" s="11" t="s">
        <v>992</v>
      </c>
      <c r="H2463" s="11" t="s">
        <v>992</v>
      </c>
      <c r="I2463" s="12" t="s">
        <v>992</v>
      </c>
      <c r="J2463" s="11" t="s">
        <v>2800</v>
      </c>
    </row>
    <row r="2464" spans="1:10" s="10" customFormat="1" x14ac:dyDescent="0.25">
      <c r="A2464" s="21" t="s">
        <v>1992</v>
      </c>
      <c r="D2464" s="25"/>
      <c r="E2464" s="11"/>
      <c r="F2464" s="26">
        <v>5755</v>
      </c>
      <c r="G2464" s="11" t="s">
        <v>247</v>
      </c>
      <c r="H2464" s="11" t="s">
        <v>992</v>
      </c>
      <c r="I2464" s="12" t="s">
        <v>1993</v>
      </c>
      <c r="J2464" s="11" t="s">
        <v>2805</v>
      </c>
    </row>
    <row r="2465" spans="1:10" s="10" customFormat="1" x14ac:dyDescent="0.25">
      <c r="A2465" s="21" t="s">
        <v>1996</v>
      </c>
      <c r="D2465" s="25"/>
      <c r="E2465" s="11"/>
      <c r="F2465" s="26">
        <v>5777</v>
      </c>
      <c r="G2465" s="11" t="s">
        <v>3726</v>
      </c>
      <c r="H2465" s="11" t="s">
        <v>992</v>
      </c>
      <c r="I2465" s="12" t="s">
        <v>3726</v>
      </c>
      <c r="J2465" s="11" t="s">
        <v>2805</v>
      </c>
    </row>
    <row r="2466" spans="1:10" s="10" customFormat="1" x14ac:dyDescent="0.25">
      <c r="A2466" s="21" t="s">
        <v>3728</v>
      </c>
      <c r="D2466" s="25"/>
      <c r="E2466" s="11"/>
      <c r="F2466" s="26">
        <v>5773</v>
      </c>
      <c r="G2466" s="11" t="s">
        <v>3729</v>
      </c>
      <c r="H2466" s="11" t="s">
        <v>992</v>
      </c>
      <c r="I2466" s="12" t="s">
        <v>3729</v>
      </c>
      <c r="J2466" s="11" t="s">
        <v>2805</v>
      </c>
    </row>
    <row r="2467" spans="1:10" s="10" customFormat="1" x14ac:dyDescent="0.25">
      <c r="A2467" s="21" t="s">
        <v>3731</v>
      </c>
      <c r="D2467" s="25"/>
      <c r="E2467" s="11"/>
      <c r="F2467" s="26">
        <v>6219</v>
      </c>
      <c r="G2467" s="11" t="s">
        <v>3732</v>
      </c>
      <c r="H2467" s="11" t="s">
        <v>992</v>
      </c>
      <c r="I2467" s="12" t="s">
        <v>3732</v>
      </c>
      <c r="J2467" s="11" t="s">
        <v>2805</v>
      </c>
    </row>
    <row r="2468" spans="1:10" s="10" customFormat="1" x14ac:dyDescent="0.25">
      <c r="A2468" s="21" t="s">
        <v>1973</v>
      </c>
      <c r="D2468" s="25"/>
      <c r="E2468" s="11"/>
      <c r="F2468" s="26">
        <v>5732</v>
      </c>
      <c r="G2468" s="11" t="s">
        <v>1970</v>
      </c>
      <c r="H2468" s="11" t="s">
        <v>992</v>
      </c>
      <c r="I2468" s="12" t="s">
        <v>1974</v>
      </c>
      <c r="J2468" s="11" t="s">
        <v>2805</v>
      </c>
    </row>
    <row r="2469" spans="1:10" s="10" customFormat="1" x14ac:dyDescent="0.25">
      <c r="A2469" s="21" t="s">
        <v>1969</v>
      </c>
      <c r="D2469" s="25"/>
      <c r="E2469" s="11"/>
      <c r="F2469" s="26">
        <v>5732</v>
      </c>
      <c r="G2469" s="11" t="s">
        <v>1970</v>
      </c>
      <c r="H2469" s="11" t="s">
        <v>992</v>
      </c>
      <c r="I2469" s="12" t="s">
        <v>1970</v>
      </c>
      <c r="J2469" s="11" t="s">
        <v>2800</v>
      </c>
    </row>
    <row r="2470" spans="1:10" s="10" customFormat="1" x14ac:dyDescent="0.25">
      <c r="A2470" s="21" t="s">
        <v>4023</v>
      </c>
      <c r="D2470" s="25"/>
      <c r="E2470" s="11"/>
      <c r="F2470" s="26">
        <v>9408</v>
      </c>
      <c r="G2470" s="11" t="s">
        <v>4024</v>
      </c>
      <c r="H2470" s="11" t="s">
        <v>1453</v>
      </c>
      <c r="I2470" s="12" t="s">
        <v>4024</v>
      </c>
      <c r="J2470" s="11" t="s">
        <v>2805</v>
      </c>
    </row>
    <row r="2471" spans="1:10" s="10" customFormat="1" x14ac:dyDescent="0.25">
      <c r="A2471" s="21" t="s">
        <v>4013</v>
      </c>
      <c r="D2471" s="25"/>
      <c r="E2471" s="11"/>
      <c r="F2471" s="26">
        <v>9011</v>
      </c>
      <c r="G2471" s="11" t="s">
        <v>4014</v>
      </c>
      <c r="H2471" s="11" t="s">
        <v>1453</v>
      </c>
      <c r="I2471" s="12" t="s">
        <v>4014</v>
      </c>
      <c r="J2471" s="11" t="s">
        <v>2800</v>
      </c>
    </row>
    <row r="2472" spans="1:10" s="10" customFormat="1" x14ac:dyDescent="0.25">
      <c r="A2472" s="21" t="s">
        <v>4007</v>
      </c>
      <c r="D2472" s="25"/>
      <c r="E2472" s="11"/>
      <c r="F2472" s="26">
        <v>9013</v>
      </c>
      <c r="G2472" s="11" t="s">
        <v>4008</v>
      </c>
      <c r="H2472" s="11" t="s">
        <v>1453</v>
      </c>
      <c r="I2472" s="12" t="s">
        <v>4008</v>
      </c>
      <c r="J2472" s="11" t="s">
        <v>2805</v>
      </c>
    </row>
    <row r="2473" spans="1:10" s="10" customFormat="1" x14ac:dyDescent="0.25">
      <c r="A2473" s="21" t="s">
        <v>3995</v>
      </c>
      <c r="D2473" s="25"/>
      <c r="E2473" s="11"/>
      <c r="F2473" s="26">
        <v>9303</v>
      </c>
      <c r="G2473" s="11" t="s">
        <v>3999</v>
      </c>
      <c r="H2473" s="11" t="s">
        <v>1453</v>
      </c>
      <c r="I2473" s="12" t="s">
        <v>3996</v>
      </c>
      <c r="J2473" s="11" t="s">
        <v>2805</v>
      </c>
    </row>
    <row r="2474" spans="1:10" s="10" customFormat="1" x14ac:dyDescent="0.25">
      <c r="A2474" s="21" t="s">
        <v>3992</v>
      </c>
      <c r="D2474" s="25"/>
      <c r="E2474" s="11"/>
      <c r="F2474" s="26">
        <v>9405</v>
      </c>
      <c r="G2474" s="11" t="s">
        <v>3993</v>
      </c>
      <c r="H2474" s="11" t="s">
        <v>1453</v>
      </c>
      <c r="I2474" s="12" t="s">
        <v>3993</v>
      </c>
      <c r="J2474" s="11" t="s">
        <v>2800</v>
      </c>
    </row>
    <row r="2475" spans="1:10" s="10" customFormat="1" x14ac:dyDescent="0.25">
      <c r="A2475" s="21" t="s">
        <v>4045</v>
      </c>
      <c r="D2475" s="25"/>
      <c r="E2475" s="11"/>
      <c r="F2475" s="26">
        <v>9301</v>
      </c>
      <c r="G2475" s="11" t="s">
        <v>4046</v>
      </c>
      <c r="H2475" s="11" t="s">
        <v>1453</v>
      </c>
      <c r="I2475" s="12" t="s">
        <v>4046</v>
      </c>
      <c r="J2475" s="11" t="s">
        <v>2805</v>
      </c>
    </row>
    <row r="2476" spans="1:10" s="10" customFormat="1" x14ac:dyDescent="0.25">
      <c r="A2476" s="21" t="s">
        <v>4000</v>
      </c>
      <c r="D2476" s="25"/>
      <c r="E2476" s="11"/>
      <c r="F2476" s="26">
        <v>9311</v>
      </c>
      <c r="G2476" s="11" t="s">
        <v>4001</v>
      </c>
      <c r="H2476" s="11" t="s">
        <v>1453</v>
      </c>
      <c r="I2476" s="12" t="s">
        <v>4001</v>
      </c>
      <c r="J2476" s="11" t="s">
        <v>2805</v>
      </c>
    </row>
    <row r="2477" spans="1:10" s="10" customFormat="1" x14ac:dyDescent="0.25">
      <c r="A2477" s="21" t="s">
        <v>4029</v>
      </c>
      <c r="D2477" s="25"/>
      <c r="E2477" s="11"/>
      <c r="F2477" s="26">
        <v>9017</v>
      </c>
      <c r="G2477" s="11" t="s">
        <v>4399</v>
      </c>
      <c r="H2477" s="11" t="s">
        <v>1453</v>
      </c>
      <c r="I2477" s="12" t="s">
        <v>4399</v>
      </c>
      <c r="J2477" s="11" t="s">
        <v>2805</v>
      </c>
    </row>
    <row r="2478" spans="1:10" s="10" customFormat="1" x14ac:dyDescent="0.25">
      <c r="A2478" s="21" t="s">
        <v>4031</v>
      </c>
      <c r="D2478" s="25"/>
      <c r="E2478" s="11"/>
      <c r="F2478" s="26">
        <v>9041</v>
      </c>
      <c r="G2478" s="11" t="s">
        <v>4032</v>
      </c>
      <c r="H2478" s="11" t="s">
        <v>1453</v>
      </c>
      <c r="I2478" s="12" t="s">
        <v>4032</v>
      </c>
      <c r="J2478" s="11" t="s">
        <v>2805</v>
      </c>
    </row>
    <row r="2479" spans="1:10" s="10" customFormat="1" x14ac:dyDescent="0.25">
      <c r="A2479" s="21" t="s">
        <v>4035</v>
      </c>
      <c r="D2479" s="25"/>
      <c r="E2479" s="11"/>
      <c r="F2479" s="26">
        <v>9040</v>
      </c>
      <c r="G2479" s="11" t="s">
        <v>4036</v>
      </c>
      <c r="H2479" s="11" t="s">
        <v>1453</v>
      </c>
      <c r="I2479" s="12" t="s">
        <v>4036</v>
      </c>
      <c r="J2479" s="11" t="s">
        <v>2805</v>
      </c>
    </row>
    <row r="2480" spans="1:10" s="10" customFormat="1" x14ac:dyDescent="0.25">
      <c r="A2480" s="21" t="s">
        <v>4039</v>
      </c>
      <c r="D2480" s="25"/>
      <c r="E2480" s="11"/>
      <c r="F2480" s="26">
        <v>9015</v>
      </c>
      <c r="G2480" s="11" t="s">
        <v>4040</v>
      </c>
      <c r="H2480" s="11" t="s">
        <v>1453</v>
      </c>
      <c r="I2480" s="12" t="s">
        <v>4040</v>
      </c>
      <c r="J2480" s="11" t="s">
        <v>2800</v>
      </c>
    </row>
    <row r="2481" spans="1:10" s="10" customFormat="1" x14ac:dyDescent="0.25">
      <c r="A2481" s="21" t="s">
        <v>4042</v>
      </c>
      <c r="D2481" s="25"/>
      <c r="E2481" s="11"/>
      <c r="F2481" s="26">
        <v>9050</v>
      </c>
      <c r="G2481" s="11" t="s">
        <v>4043</v>
      </c>
      <c r="H2481" s="11" t="s">
        <v>1453</v>
      </c>
      <c r="I2481" s="12" t="s">
        <v>4043</v>
      </c>
      <c r="J2481" s="11" t="s">
        <v>2800</v>
      </c>
    </row>
    <row r="2482" spans="1:10" s="10" customFormat="1" x14ac:dyDescent="0.25">
      <c r="A2482" s="21" t="s">
        <v>4003</v>
      </c>
      <c r="D2482" s="25"/>
      <c r="E2482" s="11"/>
      <c r="F2482" s="26">
        <v>9310</v>
      </c>
      <c r="G2482" s="11" t="s">
        <v>4006</v>
      </c>
      <c r="H2482" s="11" t="s">
        <v>1453</v>
      </c>
      <c r="I2482" s="12" t="s">
        <v>4004</v>
      </c>
      <c r="J2482" s="11" t="s">
        <v>2805</v>
      </c>
    </row>
    <row r="2483" spans="1:10" s="10" customFormat="1" x14ac:dyDescent="0.25">
      <c r="A2483" s="21" t="s">
        <v>4010</v>
      </c>
      <c r="D2483" s="25"/>
      <c r="E2483" s="11"/>
      <c r="F2483" s="26">
        <v>9300</v>
      </c>
      <c r="G2483" s="11" t="s">
        <v>4011</v>
      </c>
      <c r="H2483" s="11" t="s">
        <v>1453</v>
      </c>
      <c r="I2483" s="12" t="s">
        <v>4011</v>
      </c>
      <c r="J2483" s="11" t="s">
        <v>2805</v>
      </c>
    </row>
    <row r="2484" spans="1:10" s="10" customFormat="1" x14ac:dyDescent="0.25">
      <c r="A2484" s="21" t="s">
        <v>3988</v>
      </c>
      <c r="D2484" s="25"/>
      <c r="E2484" s="11"/>
      <c r="F2484" s="26">
        <v>9400</v>
      </c>
      <c r="G2484" s="11" t="s">
        <v>3985</v>
      </c>
      <c r="H2484" s="11" t="s">
        <v>1453</v>
      </c>
      <c r="I2484" s="12" t="s">
        <v>3989</v>
      </c>
      <c r="J2484" s="11" t="s">
        <v>2805</v>
      </c>
    </row>
    <row r="2485" spans="1:10" s="10" customFormat="1" x14ac:dyDescent="0.25">
      <c r="A2485" s="21" t="s">
        <v>3984</v>
      </c>
      <c r="D2485" s="25"/>
      <c r="E2485" s="11"/>
      <c r="F2485" s="26">
        <v>9400</v>
      </c>
      <c r="G2485" s="11" t="s">
        <v>3985</v>
      </c>
      <c r="H2485" s="11" t="s">
        <v>1453</v>
      </c>
      <c r="I2485" s="12" t="s">
        <v>3985</v>
      </c>
      <c r="J2485" s="11" t="s">
        <v>2800</v>
      </c>
    </row>
    <row r="2486" spans="1:10" s="10" customFormat="1" x14ac:dyDescent="0.25">
      <c r="A2486" s="21" t="s">
        <v>4019</v>
      </c>
      <c r="D2486" s="25"/>
      <c r="E2486" s="11"/>
      <c r="F2486" s="26">
        <v>9407</v>
      </c>
      <c r="G2486" s="11" t="s">
        <v>4020</v>
      </c>
      <c r="H2486" s="11" t="s">
        <v>1453</v>
      </c>
      <c r="I2486" s="12" t="s">
        <v>4020</v>
      </c>
      <c r="J2486" s="11" t="s">
        <v>2805</v>
      </c>
    </row>
    <row r="2487" spans="1:10" s="10" customFormat="1" x14ac:dyDescent="0.25">
      <c r="A2487" s="21" t="s">
        <v>4026</v>
      </c>
      <c r="D2487" s="25"/>
      <c r="E2487" s="11"/>
      <c r="F2487" s="26">
        <v>9398</v>
      </c>
      <c r="G2487" s="11" t="s">
        <v>4027</v>
      </c>
      <c r="H2487" s="11" t="s">
        <v>1453</v>
      </c>
      <c r="I2487" s="12" t="s">
        <v>4027</v>
      </c>
      <c r="J2487" s="11" t="s">
        <v>2805</v>
      </c>
    </row>
    <row r="2488" spans="1:10" s="10" customFormat="1" x14ac:dyDescent="0.25">
      <c r="A2488" s="21" t="s">
        <v>4016</v>
      </c>
      <c r="D2488" s="25"/>
      <c r="E2488" s="11"/>
      <c r="F2488" s="26">
        <v>9301</v>
      </c>
      <c r="G2488" s="11" t="s">
        <v>4017</v>
      </c>
      <c r="H2488" s="11" t="s">
        <v>1453</v>
      </c>
      <c r="I2488" s="12" t="s">
        <v>4017</v>
      </c>
      <c r="J2488" s="11" t="s">
        <v>2805</v>
      </c>
    </row>
    <row r="2489" spans="1:10" s="10" customFormat="1" x14ac:dyDescent="0.25">
      <c r="A2489" s="21" t="s">
        <v>3650</v>
      </c>
      <c r="D2489" s="25"/>
      <c r="E2489" s="11"/>
      <c r="F2489" s="26">
        <v>2109</v>
      </c>
      <c r="G2489" s="11" t="s">
        <v>3651</v>
      </c>
      <c r="H2489" s="11" t="s">
        <v>2171</v>
      </c>
      <c r="I2489" s="12" t="s">
        <v>3651</v>
      </c>
      <c r="J2489" s="11" t="s">
        <v>2805</v>
      </c>
    </row>
    <row r="2490" spans="1:10" s="10" customFormat="1" x14ac:dyDescent="0.25">
      <c r="A2490" s="21" t="s">
        <v>3654</v>
      </c>
      <c r="D2490" s="25"/>
      <c r="E2490" s="11"/>
      <c r="F2490" s="26">
        <v>2117</v>
      </c>
      <c r="G2490" s="11" t="s">
        <v>3655</v>
      </c>
      <c r="H2490" s="11" t="s">
        <v>2171</v>
      </c>
      <c r="I2490" s="12" t="s">
        <v>3655</v>
      </c>
      <c r="J2490" s="11" t="s">
        <v>2805</v>
      </c>
    </row>
    <row r="2491" spans="1:10" s="10" customFormat="1" x14ac:dyDescent="0.25">
      <c r="A2491" s="21" t="s">
        <v>2487</v>
      </c>
      <c r="D2491" s="25"/>
      <c r="E2491" s="11"/>
      <c r="F2491" s="26">
        <v>3051</v>
      </c>
      <c r="G2491" s="11" t="s">
        <v>2488</v>
      </c>
      <c r="H2491" s="11" t="s">
        <v>2171</v>
      </c>
      <c r="I2491" s="12" t="s">
        <v>2488</v>
      </c>
      <c r="J2491" s="11" t="s">
        <v>2805</v>
      </c>
    </row>
    <row r="2492" spans="1:10" s="10" customFormat="1" x14ac:dyDescent="0.25">
      <c r="A2492" s="21" t="s">
        <v>3657</v>
      </c>
      <c r="D2492" s="25"/>
      <c r="E2492" s="11"/>
      <c r="F2492" s="26">
        <v>2107</v>
      </c>
      <c r="G2492" s="11" t="s">
        <v>3658</v>
      </c>
      <c r="H2492" s="11" t="s">
        <v>2171</v>
      </c>
      <c r="I2492" s="12" t="s">
        <v>3658</v>
      </c>
      <c r="J2492" s="11" t="s">
        <v>2805</v>
      </c>
    </row>
    <row r="2493" spans="1:10" s="10" customFormat="1" x14ac:dyDescent="0.25">
      <c r="A2493" s="21" t="s">
        <v>3660</v>
      </c>
      <c r="D2493" s="25"/>
      <c r="E2493" s="11"/>
      <c r="F2493" s="26">
        <v>6103</v>
      </c>
      <c r="G2493" s="11" t="s">
        <v>3661</v>
      </c>
      <c r="H2493" s="11" t="s">
        <v>2171</v>
      </c>
      <c r="I2493" s="12" t="s">
        <v>3661</v>
      </c>
      <c r="J2493" s="11" t="s">
        <v>2805</v>
      </c>
    </row>
    <row r="2494" spans="1:10" s="10" customFormat="1" x14ac:dyDescent="0.25">
      <c r="A2494" s="21" t="s">
        <v>2490</v>
      </c>
      <c r="D2494" s="25"/>
      <c r="E2494" s="11"/>
      <c r="F2494" s="26">
        <v>2303</v>
      </c>
      <c r="G2494" s="11" t="s">
        <v>2491</v>
      </c>
      <c r="H2494" s="11" t="s">
        <v>2171</v>
      </c>
      <c r="I2494" s="12" t="s">
        <v>2491</v>
      </c>
      <c r="J2494" s="11" t="s">
        <v>2805</v>
      </c>
    </row>
    <row r="2495" spans="1:10" s="10" customFormat="1" x14ac:dyDescent="0.25">
      <c r="A2495" s="21" t="s">
        <v>3663</v>
      </c>
      <c r="D2495" s="25"/>
      <c r="E2495" s="11"/>
      <c r="F2495" s="26">
        <v>2183</v>
      </c>
      <c r="G2495" s="11" t="s">
        <v>3664</v>
      </c>
      <c r="H2495" s="11" t="s">
        <v>2171</v>
      </c>
      <c r="I2495" s="12" t="s">
        <v>3664</v>
      </c>
      <c r="J2495" s="11" t="s">
        <v>2805</v>
      </c>
    </row>
    <row r="2496" spans="1:10" s="10" customFormat="1" x14ac:dyDescent="0.25">
      <c r="A2496" s="21" t="s">
        <v>3667</v>
      </c>
      <c r="D2496" s="25"/>
      <c r="E2496" s="11"/>
      <c r="F2496" s="26">
        <v>2508</v>
      </c>
      <c r="G2496" s="11" t="s">
        <v>3668</v>
      </c>
      <c r="H2496" s="11" t="s">
        <v>2171</v>
      </c>
      <c r="I2496" s="12" t="s">
        <v>3668</v>
      </c>
      <c r="J2496" s="11" t="s">
        <v>2805</v>
      </c>
    </row>
    <row r="2497" spans="1:10" s="10" customFormat="1" x14ac:dyDescent="0.25">
      <c r="A2497" s="21" t="s">
        <v>2494</v>
      </c>
      <c r="D2497" s="25"/>
      <c r="E2497" s="11"/>
      <c r="F2497" s="26">
        <v>2242</v>
      </c>
      <c r="G2497" s="11" t="s">
        <v>2495</v>
      </c>
      <c r="H2497" s="11" t="s">
        <v>2171</v>
      </c>
      <c r="I2497" s="12" t="s">
        <v>2495</v>
      </c>
      <c r="J2497" s="11" t="s">
        <v>2805</v>
      </c>
    </row>
    <row r="2498" spans="1:10" s="10" customFormat="1" x14ac:dyDescent="0.25">
      <c r="A2498" s="21" t="s">
        <v>1116</v>
      </c>
      <c r="D2498" s="25"/>
      <c r="E2498" s="11"/>
      <c r="F2498" s="26">
        <v>2128</v>
      </c>
      <c r="G2498" s="11" t="s">
        <v>1117</v>
      </c>
      <c r="H2498" s="11" t="s">
        <v>2171</v>
      </c>
      <c r="I2498" s="12" t="s">
        <v>1117</v>
      </c>
      <c r="J2498" s="11" t="s">
        <v>2805</v>
      </c>
    </row>
    <row r="2499" spans="1:10" s="10" customFormat="1" x14ac:dyDescent="0.25">
      <c r="A2499" s="21" t="s">
        <v>2498</v>
      </c>
      <c r="D2499" s="25"/>
      <c r="E2499" s="11"/>
      <c r="F2499" s="26">
        <v>2344</v>
      </c>
      <c r="G2499" s="11" t="s">
        <v>2499</v>
      </c>
      <c r="H2499" s="11" t="s">
        <v>2171</v>
      </c>
      <c r="I2499" s="12" t="s">
        <v>2499</v>
      </c>
      <c r="J2499" s="11" t="s">
        <v>2805</v>
      </c>
    </row>
    <row r="2500" spans="1:10" s="10" customFormat="1" x14ac:dyDescent="0.25">
      <c r="A2500" s="21" t="s">
        <v>3686</v>
      </c>
      <c r="D2500" s="25"/>
      <c r="E2500" s="11"/>
      <c r="F2500" s="26">
        <v>2187</v>
      </c>
      <c r="G2500" s="11" t="s">
        <v>3687</v>
      </c>
      <c r="H2500" s="11" t="s">
        <v>2171</v>
      </c>
      <c r="I2500" s="12" t="s">
        <v>3687</v>
      </c>
      <c r="J2500" s="11" t="s">
        <v>2805</v>
      </c>
    </row>
    <row r="2501" spans="1:10" s="10" customFormat="1" x14ac:dyDescent="0.25">
      <c r="A2501" s="21" t="s">
        <v>2501</v>
      </c>
      <c r="D2501" s="25"/>
      <c r="E2501" s="11"/>
      <c r="F2501" s="26">
        <v>2307</v>
      </c>
      <c r="G2501" s="11" t="s">
        <v>2502</v>
      </c>
      <c r="H2501" s="11" t="s">
        <v>2171</v>
      </c>
      <c r="I2501" s="12" t="s">
        <v>2502</v>
      </c>
      <c r="J2501" s="11" t="s">
        <v>2805</v>
      </c>
    </row>
    <row r="2502" spans="1:10" s="10" customFormat="1" x14ac:dyDescent="0.25">
      <c r="A2502" s="21" t="s">
        <v>2504</v>
      </c>
      <c r="D2502" s="25"/>
      <c r="E2502" s="11"/>
      <c r="F2502" s="26">
        <v>3561</v>
      </c>
      <c r="G2502" s="11" t="s">
        <v>2247</v>
      </c>
      <c r="H2502" s="11" t="s">
        <v>2171</v>
      </c>
      <c r="I2502" s="12" t="s">
        <v>2247</v>
      </c>
      <c r="J2502" s="11" t="s">
        <v>2805</v>
      </c>
    </row>
    <row r="2503" spans="1:10" s="10" customFormat="1" x14ac:dyDescent="0.25">
      <c r="A2503" s="21" t="s">
        <v>2506</v>
      </c>
      <c r="D2503" s="25"/>
      <c r="E2503" s="11"/>
      <c r="F2503" s="26">
        <v>2246</v>
      </c>
      <c r="G2503" s="11" t="s">
        <v>2507</v>
      </c>
      <c r="H2503" s="11" t="s">
        <v>2171</v>
      </c>
      <c r="I2503" s="12" t="s">
        <v>2507</v>
      </c>
      <c r="J2503" s="11" t="s">
        <v>2805</v>
      </c>
    </row>
    <row r="2504" spans="1:10" s="10" customFormat="1" x14ac:dyDescent="0.25">
      <c r="A2504" s="21" t="s">
        <v>3689</v>
      </c>
      <c r="D2504" s="25"/>
      <c r="E2504" s="11"/>
      <c r="F2504" s="26">
        <v>2639</v>
      </c>
      <c r="G2504" s="11" t="s">
        <v>3690</v>
      </c>
      <c r="H2504" s="11" t="s">
        <v>2171</v>
      </c>
      <c r="I2504" s="12" t="s">
        <v>3690</v>
      </c>
      <c r="J2504" s="11" t="s">
        <v>2805</v>
      </c>
    </row>
    <row r="2505" spans="1:10" s="10" customFormat="1" x14ac:dyDescent="0.25">
      <c r="A2505" s="21" t="s">
        <v>2510</v>
      </c>
      <c r="D2505" s="25"/>
      <c r="E2505" s="11"/>
      <c r="F2505" s="26">
        <v>2248</v>
      </c>
      <c r="G2505" s="11" t="s">
        <v>2099</v>
      </c>
      <c r="H2505" s="11" t="s">
        <v>2171</v>
      </c>
      <c r="I2505" s="12" t="s">
        <v>2511</v>
      </c>
      <c r="J2505" s="11" t="s">
        <v>2805</v>
      </c>
    </row>
    <row r="2506" spans="1:10" s="10" customFormat="1" x14ac:dyDescent="0.25">
      <c r="A2506" s="21" t="s">
        <v>3692</v>
      </c>
      <c r="D2506" s="25"/>
      <c r="E2506" s="11"/>
      <c r="F2506" s="26">
        <v>2177</v>
      </c>
      <c r="G2506" s="11" t="s">
        <v>3693</v>
      </c>
      <c r="H2506" s="11" t="s">
        <v>2171</v>
      </c>
      <c r="I2506" s="12" t="s">
        <v>3693</v>
      </c>
      <c r="J2506" s="11" t="s">
        <v>2805</v>
      </c>
    </row>
    <row r="2507" spans="1:10" s="10" customFormat="1" x14ac:dyDescent="0.25">
      <c r="A2507" s="21" t="s">
        <v>3695</v>
      </c>
      <c r="D2507" s="25"/>
      <c r="E2507" s="11"/>
      <c r="F2507" s="26">
        <v>2179</v>
      </c>
      <c r="G2507" s="11" t="s">
        <v>3696</v>
      </c>
      <c r="H2507" s="11" t="s">
        <v>2171</v>
      </c>
      <c r="I2507" s="12" t="s">
        <v>3696</v>
      </c>
      <c r="J2507" s="11" t="s">
        <v>2805</v>
      </c>
    </row>
    <row r="2508" spans="1:10" s="10" customFormat="1" x14ac:dyDescent="0.25">
      <c r="A2508" s="21" t="s">
        <v>3699</v>
      </c>
      <c r="D2508" s="25"/>
      <c r="E2508" s="11"/>
      <c r="F2508" s="26">
        <v>2523</v>
      </c>
      <c r="G2508" s="11" t="s">
        <v>3700</v>
      </c>
      <c r="H2508" s="11" t="s">
        <v>2171</v>
      </c>
      <c r="I2508" s="12" t="s">
        <v>3700</v>
      </c>
      <c r="J2508" s="11" t="s">
        <v>2805</v>
      </c>
    </row>
    <row r="2509" spans="1:10" s="10" customFormat="1" x14ac:dyDescent="0.25">
      <c r="A2509" s="21" t="s">
        <v>3708</v>
      </c>
      <c r="D2509" s="25"/>
      <c r="E2509" s="11"/>
      <c r="F2509" s="26">
        <v>2643</v>
      </c>
      <c r="G2509" s="11" t="s">
        <v>3709</v>
      </c>
      <c r="H2509" s="11" t="s">
        <v>2171</v>
      </c>
      <c r="I2509" s="12" t="s">
        <v>3709</v>
      </c>
      <c r="J2509" s="11" t="s">
        <v>2805</v>
      </c>
    </row>
    <row r="2510" spans="1:10" s="10" customFormat="1" x14ac:dyDescent="0.25">
      <c r="A2510" s="21" t="s">
        <v>4216</v>
      </c>
      <c r="D2510" s="25"/>
      <c r="E2510" s="11"/>
      <c r="F2510" s="26">
        <v>3050</v>
      </c>
      <c r="G2510" s="11" t="s">
        <v>1657</v>
      </c>
      <c r="H2510" s="11" t="s">
        <v>2171</v>
      </c>
      <c r="I2510" s="12" t="s">
        <v>1657</v>
      </c>
      <c r="J2510" s="11" t="s">
        <v>2805</v>
      </c>
    </row>
    <row r="2511" spans="1:10" s="10" customFormat="1" x14ac:dyDescent="0.25">
      <c r="A2511" s="21" t="s">
        <v>3702</v>
      </c>
      <c r="D2511" s="25"/>
      <c r="E2511" s="11"/>
      <c r="F2511" s="26">
        <v>2500</v>
      </c>
      <c r="G2511" s="11" t="s">
        <v>3703</v>
      </c>
      <c r="H2511" s="11" t="s">
        <v>2171</v>
      </c>
      <c r="I2511" s="12" t="s">
        <v>3703</v>
      </c>
      <c r="J2511" s="11" t="s">
        <v>2800</v>
      </c>
    </row>
    <row r="2512" spans="1:10" s="10" customFormat="1" x14ac:dyDescent="0.25">
      <c r="A2512" s="21" t="s">
        <v>3705</v>
      </c>
      <c r="D2512" s="25"/>
      <c r="E2512" s="11"/>
      <c r="F2512" s="26">
        <v>2635</v>
      </c>
      <c r="G2512" s="11" t="s">
        <v>3706</v>
      </c>
      <c r="H2512" s="11" t="s">
        <v>2171</v>
      </c>
      <c r="I2512" s="12" t="s">
        <v>3706</v>
      </c>
      <c r="J2512" s="11" t="s">
        <v>2805</v>
      </c>
    </row>
    <row r="2513" spans="1:10" s="10" customFormat="1" x14ac:dyDescent="0.25">
      <c r="A2513" s="21" t="s">
        <v>4391</v>
      </c>
      <c r="D2513" s="25"/>
      <c r="E2513" s="11"/>
      <c r="F2513" s="26">
        <v>2454</v>
      </c>
      <c r="G2513" s="11" t="s">
        <v>4392</v>
      </c>
      <c r="H2513" s="11" t="s">
        <v>2171</v>
      </c>
      <c r="I2513" s="12" t="s">
        <v>4392</v>
      </c>
      <c r="J2513" s="11" t="s">
        <v>2805</v>
      </c>
    </row>
    <row r="2514" spans="1:10" s="10" customFormat="1" x14ac:dyDescent="0.25">
      <c r="A2514" s="21" t="s">
        <v>3711</v>
      </c>
      <c r="D2514" s="25"/>
      <c r="E2514" s="11"/>
      <c r="F2514" s="26">
        <v>2154</v>
      </c>
      <c r="G2514" s="11" t="s">
        <v>3712</v>
      </c>
      <c r="H2514" s="11" t="s">
        <v>2171</v>
      </c>
      <c r="I2514" s="12" t="s">
        <v>3712</v>
      </c>
      <c r="J2514" s="11" t="s">
        <v>2805</v>
      </c>
    </row>
    <row r="2515" spans="1:10" s="10" customFormat="1" x14ac:dyDescent="0.25">
      <c r="A2515" s="21" t="s">
        <v>3714</v>
      </c>
      <c r="D2515" s="25"/>
      <c r="E2515" s="11"/>
      <c r="F2515" s="26">
        <v>2138</v>
      </c>
      <c r="G2515" s="11" t="s">
        <v>3715</v>
      </c>
      <c r="H2515" s="11" t="s">
        <v>2171</v>
      </c>
      <c r="I2515" s="12" t="s">
        <v>3715</v>
      </c>
      <c r="J2515" s="11" t="s">
        <v>2805</v>
      </c>
    </row>
    <row r="2516" spans="1:10" s="10" customFormat="1" x14ac:dyDescent="0.25">
      <c r="A2516" s="21" t="s">
        <v>4394</v>
      </c>
      <c r="D2516" s="25"/>
      <c r="E2516" s="11"/>
      <c r="F2516" s="26">
        <v>2453</v>
      </c>
      <c r="G2516" s="11" t="s">
        <v>2515</v>
      </c>
      <c r="H2516" s="11" t="s">
        <v>2171</v>
      </c>
      <c r="I2516" s="12" t="s">
        <v>2515</v>
      </c>
      <c r="J2516" s="11" t="s">
        <v>2805</v>
      </c>
    </row>
    <row r="2517" spans="1:10" s="10" customFormat="1" x14ac:dyDescent="0.25">
      <c r="A2517" s="21" t="s">
        <v>3717</v>
      </c>
      <c r="D2517" s="25"/>
      <c r="E2517" s="11"/>
      <c r="F2517" s="26">
        <v>2618</v>
      </c>
      <c r="G2517" s="11" t="s">
        <v>3718</v>
      </c>
      <c r="H2517" s="11" t="s">
        <v>2171</v>
      </c>
      <c r="I2517" s="12" t="s">
        <v>3718</v>
      </c>
      <c r="J2517" s="11" t="s">
        <v>2805</v>
      </c>
    </row>
    <row r="2518" spans="1:10" s="10" customFormat="1" x14ac:dyDescent="0.25">
      <c r="A2518" s="21" t="s">
        <v>3720</v>
      </c>
      <c r="D2518" s="25"/>
      <c r="E2518" s="11"/>
      <c r="F2518" s="26">
        <v>2729</v>
      </c>
      <c r="G2518" s="11" t="s">
        <v>3721</v>
      </c>
      <c r="H2518" s="11" t="s">
        <v>2171</v>
      </c>
      <c r="I2518" s="12" t="s">
        <v>3721</v>
      </c>
      <c r="J2518" s="11" t="s">
        <v>2805</v>
      </c>
    </row>
    <row r="2519" spans="1:10" s="10" customFormat="1" x14ac:dyDescent="0.25">
      <c r="A2519" s="21" t="s">
        <v>3724</v>
      </c>
      <c r="D2519" s="25"/>
      <c r="E2519" s="11"/>
      <c r="F2519" s="26">
        <v>2170</v>
      </c>
      <c r="G2519" s="11" t="s">
        <v>3725</v>
      </c>
      <c r="H2519" s="11" t="s">
        <v>2171</v>
      </c>
      <c r="I2519" s="12" t="s">
        <v>3725</v>
      </c>
      <c r="J2519" s="11" t="s">
        <v>2800</v>
      </c>
    </row>
    <row r="2520" spans="1:10" s="10" customFormat="1" x14ac:dyDescent="0.25">
      <c r="A2520" s="21" t="s">
        <v>4218</v>
      </c>
      <c r="D2520" s="25"/>
      <c r="E2520" s="11"/>
      <c r="F2520" s="26">
        <v>3001</v>
      </c>
      <c r="G2520" s="11" t="s">
        <v>4219</v>
      </c>
      <c r="H2520" s="11" t="s">
        <v>2171</v>
      </c>
      <c r="I2520" s="12" t="s">
        <v>4219</v>
      </c>
      <c r="J2520" s="11" t="s">
        <v>2805</v>
      </c>
    </row>
    <row r="2521" spans="1:10" s="10" customFormat="1" x14ac:dyDescent="0.25">
      <c r="A2521" s="21" t="s">
        <v>2514</v>
      </c>
      <c r="D2521" s="25"/>
      <c r="E2521" s="11"/>
      <c r="F2521" s="26">
        <v>2148</v>
      </c>
      <c r="G2521" s="11" t="s">
        <v>4214</v>
      </c>
      <c r="H2521" s="11" t="s">
        <v>2171</v>
      </c>
      <c r="I2521" s="12" t="s">
        <v>4214</v>
      </c>
      <c r="J2521" s="11" t="s">
        <v>2805</v>
      </c>
    </row>
    <row r="2522" spans="1:10" s="10" customFormat="1" x14ac:dyDescent="0.25">
      <c r="A2522" s="21" t="s">
        <v>4222</v>
      </c>
      <c r="D2522" s="25"/>
      <c r="E2522" s="11"/>
      <c r="F2522" s="26">
        <v>2340</v>
      </c>
      <c r="G2522" s="11" t="s">
        <v>4223</v>
      </c>
      <c r="H2522" s="11" t="s">
        <v>2171</v>
      </c>
      <c r="I2522" s="12" t="s">
        <v>4223</v>
      </c>
      <c r="J2522" s="11" t="s">
        <v>2805</v>
      </c>
    </row>
    <row r="2523" spans="1:10" s="10" customFormat="1" x14ac:dyDescent="0.25">
      <c r="A2523" s="21" t="s">
        <v>1146</v>
      </c>
      <c r="D2523" s="25"/>
      <c r="E2523" s="11"/>
      <c r="F2523" s="26">
        <v>2173</v>
      </c>
      <c r="G2523" s="11" t="s">
        <v>1147</v>
      </c>
      <c r="H2523" s="11" t="s">
        <v>2171</v>
      </c>
      <c r="I2523" s="12" t="s">
        <v>1147</v>
      </c>
      <c r="J2523" s="11" t="s">
        <v>2805</v>
      </c>
    </row>
    <row r="2524" spans="1:10" s="10" customFormat="1" x14ac:dyDescent="0.25">
      <c r="A2524" s="21" t="s">
        <v>1143</v>
      </c>
      <c r="D2524" s="25"/>
      <c r="E2524" s="11"/>
      <c r="F2524" s="26">
        <v>2139</v>
      </c>
      <c r="G2524" s="11" t="s">
        <v>1144</v>
      </c>
      <c r="H2524" s="11" t="s">
        <v>2171</v>
      </c>
      <c r="I2524" s="12" t="s">
        <v>1144</v>
      </c>
      <c r="J2524" s="11" t="s">
        <v>2805</v>
      </c>
    </row>
    <row r="2525" spans="1:10" s="10" customFormat="1" x14ac:dyDescent="0.25">
      <c r="A2525" s="21" t="s">
        <v>1149</v>
      </c>
      <c r="D2525" s="25"/>
      <c r="E2525" s="11"/>
      <c r="F2525" s="26">
        <v>2633</v>
      </c>
      <c r="G2525" s="11" t="s">
        <v>1150</v>
      </c>
      <c r="H2525" s="11" t="s">
        <v>2171</v>
      </c>
      <c r="I2525" s="12" t="s">
        <v>1150</v>
      </c>
      <c r="J2525" s="11" t="s">
        <v>2805</v>
      </c>
    </row>
    <row r="2526" spans="1:10" s="10" customFormat="1" x14ac:dyDescent="0.25">
      <c r="A2526" s="21" t="s">
        <v>2433</v>
      </c>
      <c r="D2526" s="25"/>
      <c r="E2526" s="11"/>
      <c r="F2526" s="26">
        <v>2257</v>
      </c>
      <c r="G2526" s="11" t="s">
        <v>4252</v>
      </c>
      <c r="H2526" s="11" t="s">
        <v>2171</v>
      </c>
      <c r="I2526" s="12" t="s">
        <v>4252</v>
      </c>
      <c r="J2526" s="11" t="s">
        <v>2805</v>
      </c>
    </row>
    <row r="2527" spans="1:10" s="10" customFormat="1" x14ac:dyDescent="0.25">
      <c r="A2527" s="21" t="s">
        <v>4254</v>
      </c>
      <c r="D2527" s="25"/>
      <c r="E2527" s="11"/>
      <c r="F2527" s="26">
        <v>2240</v>
      </c>
      <c r="G2527" s="11" t="s">
        <v>4255</v>
      </c>
      <c r="H2527" s="11" t="s">
        <v>2171</v>
      </c>
      <c r="I2527" s="12" t="s">
        <v>4255</v>
      </c>
      <c r="J2527" s="11" t="s">
        <v>2805</v>
      </c>
    </row>
    <row r="2528" spans="1:10" s="10" customFormat="1" x14ac:dyDescent="0.25">
      <c r="A2528" s="21" t="s">
        <v>1152</v>
      </c>
      <c r="D2528" s="25"/>
      <c r="E2528" s="11"/>
      <c r="F2528" s="26">
        <v>2103</v>
      </c>
      <c r="G2528" s="11" t="s">
        <v>1153</v>
      </c>
      <c r="H2528" s="11" t="s">
        <v>2171</v>
      </c>
      <c r="I2528" s="12" t="s">
        <v>1153</v>
      </c>
      <c r="J2528" s="11" t="s">
        <v>2805</v>
      </c>
    </row>
    <row r="2529" spans="1:10" s="10" customFormat="1" x14ac:dyDescent="0.25">
      <c r="A2529" s="21" t="s">
        <v>1155</v>
      </c>
      <c r="D2529" s="25"/>
      <c r="E2529" s="11"/>
      <c r="F2529" s="26">
        <v>2506</v>
      </c>
      <c r="G2529" s="11" t="s">
        <v>1156</v>
      </c>
      <c r="H2529" s="11" t="s">
        <v>2171</v>
      </c>
      <c r="I2529" s="12" t="s">
        <v>1156</v>
      </c>
      <c r="J2529" s="11" t="s">
        <v>2805</v>
      </c>
    </row>
    <row r="2530" spans="1:10" s="10" customFormat="1" x14ac:dyDescent="0.25">
      <c r="A2530" s="21" t="s">
        <v>2517</v>
      </c>
      <c r="D2530" s="25"/>
      <c r="E2530" s="11"/>
      <c r="F2530" s="26">
        <v>2222</v>
      </c>
      <c r="G2530" s="11" t="s">
        <v>2518</v>
      </c>
      <c r="H2530" s="11" t="s">
        <v>2171</v>
      </c>
      <c r="I2530" s="12" t="s">
        <v>2518</v>
      </c>
      <c r="J2530" s="11" t="s">
        <v>2805</v>
      </c>
    </row>
    <row r="2531" spans="1:10" s="10" customFormat="1" x14ac:dyDescent="0.25">
      <c r="A2531" s="21" t="s">
        <v>1158</v>
      </c>
      <c r="D2531" s="25"/>
      <c r="E2531" s="11"/>
      <c r="F2531" s="26">
        <v>6036</v>
      </c>
      <c r="G2531" s="11" t="s">
        <v>1159</v>
      </c>
      <c r="H2531" s="11" t="s">
        <v>2171</v>
      </c>
      <c r="I2531" s="12" t="s">
        <v>1159</v>
      </c>
      <c r="J2531" s="11" t="s">
        <v>2805</v>
      </c>
    </row>
    <row r="2532" spans="1:10" s="10" customFormat="1" x14ac:dyDescent="0.25">
      <c r="A2532" s="21" t="s">
        <v>2526</v>
      </c>
      <c r="D2532" s="25"/>
      <c r="E2532" s="11"/>
      <c r="F2532" s="26">
        <v>2535</v>
      </c>
      <c r="G2532" s="11" t="s">
        <v>2527</v>
      </c>
      <c r="H2532" s="11" t="s">
        <v>2171</v>
      </c>
      <c r="I2532" s="12" t="s">
        <v>2527</v>
      </c>
      <c r="J2532" s="11" t="s">
        <v>2805</v>
      </c>
    </row>
    <row r="2533" spans="1:10" s="10" customFormat="1" x14ac:dyDescent="0.25">
      <c r="A2533" s="21" t="s">
        <v>2520</v>
      </c>
      <c r="D2533" s="25"/>
      <c r="E2533" s="11"/>
      <c r="F2533" s="26">
        <v>3029</v>
      </c>
      <c r="G2533" s="11" t="s">
        <v>2521</v>
      </c>
      <c r="H2533" s="11" t="s">
        <v>2171</v>
      </c>
      <c r="I2533" s="12" t="s">
        <v>2521</v>
      </c>
      <c r="J2533" s="11" t="s">
        <v>2805</v>
      </c>
    </row>
    <row r="2534" spans="1:10" s="10" customFormat="1" x14ac:dyDescent="0.25">
      <c r="A2534" s="21" t="s">
        <v>1162</v>
      </c>
      <c r="D2534" s="25"/>
      <c r="E2534" s="11"/>
      <c r="F2534" s="26">
        <v>2732</v>
      </c>
      <c r="G2534" s="11" t="s">
        <v>1163</v>
      </c>
      <c r="H2534" s="11" t="s">
        <v>2171</v>
      </c>
      <c r="I2534" s="12" t="s">
        <v>1163</v>
      </c>
      <c r="J2534" s="11" t="s">
        <v>2805</v>
      </c>
    </row>
    <row r="2535" spans="1:10" s="10" customFormat="1" x14ac:dyDescent="0.25">
      <c r="A2535" s="21" t="s">
        <v>4687</v>
      </c>
      <c r="D2535" s="25"/>
      <c r="E2535" s="11"/>
      <c r="F2535" s="26">
        <v>2918</v>
      </c>
      <c r="G2535" s="11" t="s">
        <v>4690</v>
      </c>
      <c r="H2535" s="11" t="s">
        <v>2171</v>
      </c>
      <c r="I2535" s="12" t="s">
        <v>4688</v>
      </c>
      <c r="J2535" s="11" t="s">
        <v>2805</v>
      </c>
    </row>
    <row r="2536" spans="1:10" s="10" customFormat="1" x14ac:dyDescent="0.25">
      <c r="A2536" s="21" t="s">
        <v>2523</v>
      </c>
      <c r="D2536" s="25"/>
      <c r="E2536" s="11"/>
      <c r="F2536" s="26">
        <v>3080</v>
      </c>
      <c r="G2536" s="11" t="s">
        <v>2524</v>
      </c>
      <c r="H2536" s="11" t="s">
        <v>2171</v>
      </c>
      <c r="I2536" s="12" t="s">
        <v>2524</v>
      </c>
      <c r="J2536" s="11" t="s">
        <v>2800</v>
      </c>
    </row>
    <row r="2537" spans="1:10" s="10" customFormat="1" x14ac:dyDescent="0.25">
      <c r="A2537" s="21" t="s">
        <v>2529</v>
      </c>
      <c r="D2537" s="25"/>
      <c r="E2537" s="11"/>
      <c r="F2537" s="26">
        <v>3087</v>
      </c>
      <c r="G2537" s="11" t="s">
        <v>2530</v>
      </c>
      <c r="H2537" s="11" t="s">
        <v>2171</v>
      </c>
      <c r="I2537" s="12" t="s">
        <v>2530</v>
      </c>
      <c r="J2537" s="11" t="s">
        <v>2805</v>
      </c>
    </row>
    <row r="2538" spans="1:10" s="10" customFormat="1" x14ac:dyDescent="0.25">
      <c r="A2538" s="21" t="s">
        <v>4691</v>
      </c>
      <c r="D2538" s="25"/>
      <c r="E2538" s="11"/>
      <c r="F2538" s="26">
        <v>2126</v>
      </c>
      <c r="G2538" s="11" t="s">
        <v>4692</v>
      </c>
      <c r="H2538" s="11" t="s">
        <v>2171</v>
      </c>
      <c r="I2538" s="12" t="s">
        <v>4692</v>
      </c>
      <c r="J2538" s="11" t="s">
        <v>2805</v>
      </c>
    </row>
    <row r="2539" spans="1:10" s="10" customFormat="1" x14ac:dyDescent="0.25">
      <c r="A2539" s="21" t="s">
        <v>4694</v>
      </c>
      <c r="D2539" s="25"/>
      <c r="E2539" s="11"/>
      <c r="F2539" s="26">
        <v>2630</v>
      </c>
      <c r="G2539" s="11" t="s">
        <v>4695</v>
      </c>
      <c r="H2539" s="11" t="s">
        <v>2171</v>
      </c>
      <c r="I2539" s="12" t="s">
        <v>4695</v>
      </c>
      <c r="J2539" s="11" t="s">
        <v>2800</v>
      </c>
    </row>
    <row r="2540" spans="1:10" s="10" customFormat="1" x14ac:dyDescent="0.25">
      <c r="A2540" s="21" t="s">
        <v>2533</v>
      </c>
      <c r="D2540" s="25"/>
      <c r="E2540" s="11"/>
      <c r="F2540" s="26">
        <v>3516</v>
      </c>
      <c r="G2540" s="11" t="s">
        <v>2534</v>
      </c>
      <c r="H2540" s="11" t="s">
        <v>2171</v>
      </c>
      <c r="I2540" s="12" t="s">
        <v>2534</v>
      </c>
      <c r="J2540" s="11" t="s">
        <v>2805</v>
      </c>
    </row>
    <row r="2541" spans="1:10" s="10" customFormat="1" x14ac:dyDescent="0.25">
      <c r="A2541" s="21" t="s">
        <v>2536</v>
      </c>
      <c r="D2541" s="25"/>
      <c r="E2541" s="11"/>
      <c r="F2541" s="26">
        <v>3009</v>
      </c>
      <c r="G2541" s="11" t="s">
        <v>2537</v>
      </c>
      <c r="H2541" s="11" t="s">
        <v>2171</v>
      </c>
      <c r="I2541" s="12" t="s">
        <v>2537</v>
      </c>
      <c r="J2541" s="11" t="s">
        <v>2805</v>
      </c>
    </row>
    <row r="2542" spans="1:10" s="10" customFormat="1" x14ac:dyDescent="0.25">
      <c r="A2542" s="21" t="s">
        <v>4697</v>
      </c>
      <c r="D2542" s="25"/>
      <c r="E2542" s="11"/>
      <c r="F2542" s="26">
        <v>2156</v>
      </c>
      <c r="G2542" s="11" t="s">
        <v>229</v>
      </c>
      <c r="H2542" s="11" t="s">
        <v>2171</v>
      </c>
      <c r="I2542" s="12" t="s">
        <v>4698</v>
      </c>
      <c r="J2542" s="11" t="s">
        <v>2805</v>
      </c>
    </row>
    <row r="2543" spans="1:10" s="10" customFormat="1" x14ac:dyDescent="0.25">
      <c r="A2543" s="21" t="s">
        <v>2539</v>
      </c>
      <c r="D2543" s="25"/>
      <c r="E2543" s="11"/>
      <c r="F2543" s="26">
        <v>2438</v>
      </c>
      <c r="G2543" s="11" t="s">
        <v>2540</v>
      </c>
      <c r="H2543" s="11" t="s">
        <v>2171</v>
      </c>
      <c r="I2543" s="12" t="s">
        <v>2540</v>
      </c>
      <c r="J2543" s="11" t="s">
        <v>2805</v>
      </c>
    </row>
    <row r="2544" spans="1:10" s="10" customFormat="1" x14ac:dyDescent="0.25">
      <c r="A2544" s="21" t="s">
        <v>284</v>
      </c>
      <c r="D2544" s="25"/>
      <c r="E2544" s="11"/>
      <c r="F2544" s="26">
        <v>2123</v>
      </c>
      <c r="G2544" s="11" t="s">
        <v>285</v>
      </c>
      <c r="H2544" s="11" t="s">
        <v>2171</v>
      </c>
      <c r="I2544" s="12" t="s">
        <v>285</v>
      </c>
      <c r="J2544" s="11" t="s">
        <v>2805</v>
      </c>
    </row>
    <row r="2545" spans="1:10" s="10" customFormat="1" x14ac:dyDescent="0.25">
      <c r="A2545" s="21" t="s">
        <v>287</v>
      </c>
      <c r="D2545" s="25"/>
      <c r="E2545" s="11"/>
      <c r="F2545" s="26">
        <v>2132</v>
      </c>
      <c r="G2545" s="11" t="s">
        <v>288</v>
      </c>
      <c r="H2545" s="11" t="s">
        <v>2171</v>
      </c>
      <c r="I2545" s="12" t="s">
        <v>288</v>
      </c>
      <c r="J2545" s="11" t="s">
        <v>2805</v>
      </c>
    </row>
    <row r="2546" spans="1:10" s="10" customFormat="1" x14ac:dyDescent="0.25">
      <c r="A2546" s="21" t="s">
        <v>2542</v>
      </c>
      <c r="D2546" s="25"/>
      <c r="E2546" s="11"/>
      <c r="F2546" s="26">
        <v>2252</v>
      </c>
      <c r="G2546" s="11" t="s">
        <v>2543</v>
      </c>
      <c r="H2546" s="11" t="s">
        <v>2171</v>
      </c>
      <c r="I2546" s="12" t="s">
        <v>2543</v>
      </c>
      <c r="J2546" s="11" t="s">
        <v>2805</v>
      </c>
    </row>
    <row r="2547" spans="1:10" s="10" customFormat="1" x14ac:dyDescent="0.25">
      <c r="A2547" s="21" t="s">
        <v>4337</v>
      </c>
      <c r="D2547" s="25"/>
      <c r="E2547" s="11"/>
      <c r="F2547" s="26">
        <v>2253</v>
      </c>
      <c r="G2547" s="11" t="s">
        <v>4338</v>
      </c>
      <c r="H2547" s="11" t="s">
        <v>2171</v>
      </c>
      <c r="I2547" s="12" t="s">
        <v>4338</v>
      </c>
      <c r="J2547" s="11" t="s">
        <v>2805</v>
      </c>
    </row>
    <row r="2548" spans="1:10" s="10" customFormat="1" x14ac:dyDescent="0.25">
      <c r="A2548" s="21" t="s">
        <v>4340</v>
      </c>
      <c r="D2548" s="25"/>
      <c r="E2548" s="11"/>
      <c r="F2548" s="26">
        <v>3044</v>
      </c>
      <c r="G2548" s="11" t="s">
        <v>2558</v>
      </c>
      <c r="H2548" s="11" t="s">
        <v>2171</v>
      </c>
      <c r="I2548" s="12" t="s">
        <v>4341</v>
      </c>
      <c r="J2548" s="11" t="s">
        <v>2805</v>
      </c>
    </row>
    <row r="2549" spans="1:10" s="10" customFormat="1" x14ac:dyDescent="0.25">
      <c r="A2549" s="21" t="s">
        <v>290</v>
      </c>
      <c r="D2549" s="25"/>
      <c r="E2549" s="11"/>
      <c r="F2549" s="26">
        <v>2640</v>
      </c>
      <c r="G2549" s="11" t="s">
        <v>291</v>
      </c>
      <c r="H2549" s="11" t="s">
        <v>2171</v>
      </c>
      <c r="I2549" s="12" t="s">
        <v>291</v>
      </c>
      <c r="J2549" s="11" t="s">
        <v>2805</v>
      </c>
    </row>
    <row r="2550" spans="1:10" s="10" customFormat="1" x14ac:dyDescent="0.25">
      <c r="A2550" s="21" t="s">
        <v>293</v>
      </c>
      <c r="D2550" s="25"/>
      <c r="E2550" s="11"/>
      <c r="F2550" s="26">
        <v>2921</v>
      </c>
      <c r="G2550" s="11" t="s">
        <v>294</v>
      </c>
      <c r="H2550" s="11" t="s">
        <v>2171</v>
      </c>
      <c r="I2550" s="12" t="s">
        <v>294</v>
      </c>
      <c r="J2550" s="11" t="s">
        <v>2805</v>
      </c>
    </row>
    <row r="2551" spans="1:10" s="10" customFormat="1" x14ac:dyDescent="0.25">
      <c r="A2551" s="21" t="s">
        <v>296</v>
      </c>
      <c r="D2551" s="25"/>
      <c r="E2551" s="11"/>
      <c r="F2551" s="26">
        <v>2152</v>
      </c>
      <c r="G2551" s="11" t="s">
        <v>2921</v>
      </c>
      <c r="H2551" s="11" t="s">
        <v>2171</v>
      </c>
      <c r="I2551" s="12" t="s">
        <v>2921</v>
      </c>
      <c r="J2551" s="11" t="s">
        <v>2800</v>
      </c>
    </row>
    <row r="2552" spans="1:10" s="10" customFormat="1" x14ac:dyDescent="0.25">
      <c r="A2552" s="21" t="s">
        <v>2559</v>
      </c>
      <c r="D2552" s="25"/>
      <c r="E2552" s="11"/>
      <c r="F2552" s="26">
        <v>3003</v>
      </c>
      <c r="G2552" s="11" t="s">
        <v>2560</v>
      </c>
      <c r="H2552" s="11" t="s">
        <v>2171</v>
      </c>
      <c r="I2552" s="12" t="s">
        <v>2560</v>
      </c>
      <c r="J2552" s="11" t="s">
        <v>2805</v>
      </c>
    </row>
    <row r="2553" spans="1:10" s="10" customFormat="1" x14ac:dyDescent="0.25">
      <c r="A2553" s="21" t="s">
        <v>2562</v>
      </c>
      <c r="D2553" s="25"/>
      <c r="E2553" s="11"/>
      <c r="F2553" s="26">
        <v>2352</v>
      </c>
      <c r="G2553" s="11" t="s">
        <v>2563</v>
      </c>
      <c r="H2553" s="11" t="s">
        <v>2171</v>
      </c>
      <c r="I2553" s="12" t="s">
        <v>2563</v>
      </c>
      <c r="J2553" s="11" t="s">
        <v>2805</v>
      </c>
    </row>
    <row r="2554" spans="1:10" s="10" customFormat="1" x14ac:dyDescent="0.25">
      <c r="A2554" s="21" t="s">
        <v>2923</v>
      </c>
      <c r="D2554" s="25"/>
      <c r="E2554" s="11"/>
      <c r="F2554" s="26">
        <v>2725</v>
      </c>
      <c r="G2554" s="11" t="s">
        <v>2924</v>
      </c>
      <c r="H2554" s="11" t="s">
        <v>2171</v>
      </c>
      <c r="I2554" s="12" t="s">
        <v>2924</v>
      </c>
      <c r="J2554" s="11" t="s">
        <v>2805</v>
      </c>
    </row>
    <row r="2555" spans="1:10" s="10" customFormat="1" x14ac:dyDescent="0.25">
      <c r="A2555" s="21" t="s">
        <v>2565</v>
      </c>
      <c r="D2555" s="25"/>
      <c r="E2555" s="11"/>
      <c r="F2555" s="26">
        <v>2309</v>
      </c>
      <c r="G2555" s="11" t="s">
        <v>2568</v>
      </c>
      <c r="H2555" s="11" t="s">
        <v>2171</v>
      </c>
      <c r="I2555" s="12" t="s">
        <v>2566</v>
      </c>
      <c r="J2555" s="11" t="s">
        <v>2805</v>
      </c>
    </row>
    <row r="2556" spans="1:10" s="10" customFormat="1" x14ac:dyDescent="0.25">
      <c r="A2556" s="21" t="s">
        <v>2569</v>
      </c>
      <c r="D2556" s="25"/>
      <c r="E2556" s="11"/>
      <c r="F2556" s="26">
        <v>3081</v>
      </c>
      <c r="G2556" s="11" t="s">
        <v>2570</v>
      </c>
      <c r="H2556" s="11" t="s">
        <v>2171</v>
      </c>
      <c r="I2556" s="12" t="s">
        <v>2570</v>
      </c>
      <c r="J2556" s="11" t="s">
        <v>2805</v>
      </c>
    </row>
    <row r="2557" spans="1:10" s="10" customFormat="1" x14ac:dyDescent="0.25">
      <c r="A2557" s="21" t="s">
        <v>2572</v>
      </c>
      <c r="D2557" s="25"/>
      <c r="E2557" s="11"/>
      <c r="F2557" s="26">
        <v>2249</v>
      </c>
      <c r="G2557" s="11" t="s">
        <v>442</v>
      </c>
      <c r="H2557" s="11" t="s">
        <v>2171</v>
      </c>
      <c r="I2557" s="12" t="s">
        <v>442</v>
      </c>
      <c r="J2557" s="11" t="s">
        <v>2805</v>
      </c>
    </row>
    <row r="2558" spans="1:10" s="10" customFormat="1" x14ac:dyDescent="0.25">
      <c r="A2558" s="21" t="s">
        <v>2927</v>
      </c>
      <c r="D2558" s="25"/>
      <c r="E2558" s="11"/>
      <c r="F2558" s="26">
        <v>2104</v>
      </c>
      <c r="G2558" s="11" t="s">
        <v>2930</v>
      </c>
      <c r="H2558" s="11" t="s">
        <v>2171</v>
      </c>
      <c r="I2558" s="12" t="s">
        <v>2928</v>
      </c>
      <c r="J2558" s="11" t="s">
        <v>2805</v>
      </c>
    </row>
    <row r="2559" spans="1:10" s="10" customFormat="1" x14ac:dyDescent="0.25">
      <c r="A2559" s="21" t="s">
        <v>2931</v>
      </c>
      <c r="D2559" s="25"/>
      <c r="E2559" s="11"/>
      <c r="F2559" s="26">
        <v>2723</v>
      </c>
      <c r="G2559" s="11" t="s">
        <v>2932</v>
      </c>
      <c r="H2559" s="11" t="s">
        <v>2171</v>
      </c>
      <c r="I2559" s="12" t="s">
        <v>2932</v>
      </c>
      <c r="J2559" s="11" t="s">
        <v>2805</v>
      </c>
    </row>
    <row r="2560" spans="1:10" s="10" customFormat="1" x14ac:dyDescent="0.25">
      <c r="A2560" s="21" t="s">
        <v>2577</v>
      </c>
      <c r="D2560" s="25"/>
      <c r="E2560" s="11"/>
      <c r="F2560" s="26">
        <v>3052</v>
      </c>
      <c r="G2560" s="11" t="s">
        <v>2578</v>
      </c>
      <c r="H2560" s="11" t="s">
        <v>2171</v>
      </c>
      <c r="I2560" s="12" t="s">
        <v>2578</v>
      </c>
      <c r="J2560" s="11" t="s">
        <v>2805</v>
      </c>
    </row>
    <row r="2561" spans="1:10" s="10" customFormat="1" x14ac:dyDescent="0.25">
      <c r="A2561" s="21" t="s">
        <v>2580</v>
      </c>
      <c r="D2561" s="25"/>
      <c r="E2561" s="11"/>
      <c r="F2561" s="26">
        <v>3057</v>
      </c>
      <c r="G2561" s="11" t="s">
        <v>2581</v>
      </c>
      <c r="H2561" s="11" t="s">
        <v>2171</v>
      </c>
      <c r="I2561" s="12" t="s">
        <v>2581</v>
      </c>
      <c r="J2561" s="11" t="s">
        <v>2805</v>
      </c>
    </row>
    <row r="2562" spans="1:10" s="10" customFormat="1" x14ac:dyDescent="0.25">
      <c r="A2562" s="21" t="s">
        <v>2935</v>
      </c>
      <c r="D2562" s="25"/>
      <c r="E2562" s="11"/>
      <c r="F2562" s="26">
        <v>2726</v>
      </c>
      <c r="G2562" s="11" t="s">
        <v>2936</v>
      </c>
      <c r="H2562" s="11" t="s">
        <v>2171</v>
      </c>
      <c r="I2562" s="12" t="s">
        <v>2936</v>
      </c>
      <c r="J2562" s="11" t="s">
        <v>2805</v>
      </c>
    </row>
    <row r="2563" spans="1:10" s="10" customFormat="1" x14ac:dyDescent="0.25">
      <c r="A2563" s="21" t="s">
        <v>2583</v>
      </c>
      <c r="D2563" s="25"/>
      <c r="E2563" s="11"/>
      <c r="F2563" s="26">
        <v>3020</v>
      </c>
      <c r="G2563" s="11" t="s">
        <v>2584</v>
      </c>
      <c r="H2563" s="11" t="s">
        <v>2171</v>
      </c>
      <c r="I2563" s="12" t="s">
        <v>2584</v>
      </c>
      <c r="J2563" s="11" t="s">
        <v>2805</v>
      </c>
    </row>
    <row r="2564" spans="1:10" s="10" customFormat="1" x14ac:dyDescent="0.25">
      <c r="A2564" s="21" t="s">
        <v>2574</v>
      </c>
      <c r="D2564" s="25"/>
      <c r="E2564" s="11"/>
      <c r="F2564" s="26">
        <v>2531</v>
      </c>
      <c r="G2564" s="11" t="s">
        <v>2575</v>
      </c>
      <c r="H2564" s="11" t="s">
        <v>2171</v>
      </c>
      <c r="I2564" s="12" t="s">
        <v>2575</v>
      </c>
      <c r="J2564" s="11" t="s">
        <v>2805</v>
      </c>
    </row>
    <row r="2565" spans="1:10" s="10" customFormat="1" x14ac:dyDescent="0.25">
      <c r="A2565" s="21" t="s">
        <v>2939</v>
      </c>
      <c r="D2565" s="25"/>
      <c r="E2565" s="11"/>
      <c r="F2565" s="26">
        <v>2505</v>
      </c>
      <c r="G2565" s="11" t="s">
        <v>2940</v>
      </c>
      <c r="H2565" s="11" t="s">
        <v>2171</v>
      </c>
      <c r="I2565" s="12" t="s">
        <v>2940</v>
      </c>
      <c r="J2565" s="11" t="s">
        <v>2805</v>
      </c>
    </row>
    <row r="2566" spans="1:10" s="10" customFormat="1" x14ac:dyDescent="0.25">
      <c r="A2566" s="21" t="s">
        <v>1</v>
      </c>
      <c r="D2566" s="25"/>
      <c r="E2566" s="11"/>
      <c r="F2566" s="26">
        <v>2451</v>
      </c>
      <c r="G2566" s="11" t="s">
        <v>2</v>
      </c>
      <c r="H2566" s="11" t="s">
        <v>2171</v>
      </c>
      <c r="I2566" s="12" t="s">
        <v>2</v>
      </c>
      <c r="J2566" s="11" t="s">
        <v>2805</v>
      </c>
    </row>
    <row r="2567" spans="1:10" s="10" customFormat="1" x14ac:dyDescent="0.25">
      <c r="A2567" s="21" t="s">
        <v>2942</v>
      </c>
      <c r="D2567" s="25"/>
      <c r="E2567" s="11"/>
      <c r="F2567" s="26">
        <v>2520</v>
      </c>
      <c r="G2567" s="11" t="s">
        <v>1231</v>
      </c>
      <c r="H2567" s="11" t="s">
        <v>2171</v>
      </c>
      <c r="I2567" s="12" t="s">
        <v>1231</v>
      </c>
      <c r="J2567" s="11" t="s">
        <v>2805</v>
      </c>
    </row>
    <row r="2568" spans="1:10" s="10" customFormat="1" x14ac:dyDescent="0.25">
      <c r="A2568" s="21" t="s">
        <v>2586</v>
      </c>
      <c r="D2568" s="25"/>
      <c r="E2568" s="11"/>
      <c r="F2568" s="26">
        <v>3586</v>
      </c>
      <c r="G2568" s="11" t="s">
        <v>2587</v>
      </c>
      <c r="H2568" s="11" t="s">
        <v>2171</v>
      </c>
      <c r="I2568" s="12" t="s">
        <v>2587</v>
      </c>
      <c r="J2568" s="11" t="s">
        <v>2805</v>
      </c>
    </row>
    <row r="2569" spans="1:10" s="10" customFormat="1" x14ac:dyDescent="0.25">
      <c r="A2569" s="21" t="s">
        <v>2589</v>
      </c>
      <c r="D2569" s="25"/>
      <c r="E2569" s="11"/>
      <c r="F2569" s="26">
        <v>2305</v>
      </c>
      <c r="G2569" s="11" t="s">
        <v>2590</v>
      </c>
      <c r="H2569" s="11" t="s">
        <v>2171</v>
      </c>
      <c r="I2569" s="12" t="s">
        <v>2590</v>
      </c>
      <c r="J2569" s="11" t="s">
        <v>2805</v>
      </c>
    </row>
    <row r="2570" spans="1:10" s="10" customFormat="1" x14ac:dyDescent="0.25">
      <c r="A2570" s="21" t="s">
        <v>2592</v>
      </c>
      <c r="D2570" s="25"/>
      <c r="E2570" s="11"/>
      <c r="F2570" s="26">
        <v>3036</v>
      </c>
      <c r="G2570" s="11" t="s">
        <v>2593</v>
      </c>
      <c r="H2570" s="11" t="s">
        <v>2171</v>
      </c>
      <c r="I2570" s="12" t="s">
        <v>2593</v>
      </c>
      <c r="J2570" s="11" t="s">
        <v>2805</v>
      </c>
    </row>
    <row r="2571" spans="1:10" s="10" customFormat="1" x14ac:dyDescent="0.25">
      <c r="A2571" s="21" t="s">
        <v>2595</v>
      </c>
      <c r="D2571" s="25"/>
      <c r="E2571" s="11"/>
      <c r="F2571" s="26">
        <v>2255</v>
      </c>
      <c r="G2571" s="11" t="s">
        <v>2596</v>
      </c>
      <c r="H2571" s="11" t="s">
        <v>2171</v>
      </c>
      <c r="I2571" s="12" t="s">
        <v>2596</v>
      </c>
      <c r="J2571" s="11" t="s">
        <v>2805</v>
      </c>
    </row>
    <row r="2572" spans="1:10" s="10" customFormat="1" x14ac:dyDescent="0.25">
      <c r="A2572" s="21" t="s">
        <v>4</v>
      </c>
      <c r="D2572" s="25"/>
      <c r="E2572" s="11"/>
      <c r="F2572" s="26">
        <v>2533</v>
      </c>
      <c r="G2572" s="11" t="s">
        <v>5</v>
      </c>
      <c r="H2572" s="11" t="s">
        <v>2171</v>
      </c>
      <c r="I2572" s="12" t="s">
        <v>5</v>
      </c>
      <c r="J2572" s="11" t="s">
        <v>2805</v>
      </c>
    </row>
    <row r="2573" spans="1:10" s="10" customFormat="1" x14ac:dyDescent="0.25">
      <c r="A2573" s="21" t="s">
        <v>1233</v>
      </c>
      <c r="D2573" s="25"/>
      <c r="E2573" s="11"/>
      <c r="F2573" s="26">
        <v>2181</v>
      </c>
      <c r="G2573" s="11" t="s">
        <v>1234</v>
      </c>
      <c r="H2573" s="11" t="s">
        <v>2171</v>
      </c>
      <c r="I2573" s="12" t="s">
        <v>1234</v>
      </c>
      <c r="J2573" s="11" t="s">
        <v>2805</v>
      </c>
    </row>
    <row r="2574" spans="1:10" s="10" customFormat="1" x14ac:dyDescent="0.25">
      <c r="A2574" s="21" t="s">
        <v>1237</v>
      </c>
      <c r="D2574" s="25"/>
      <c r="E2574" s="11"/>
      <c r="F2574" s="26">
        <v>2637</v>
      </c>
      <c r="G2574" s="11" t="s">
        <v>1238</v>
      </c>
      <c r="H2574" s="11" t="s">
        <v>2171</v>
      </c>
      <c r="I2574" s="12" t="s">
        <v>1238</v>
      </c>
      <c r="J2574" s="11" t="s">
        <v>2805</v>
      </c>
    </row>
    <row r="2575" spans="1:10" s="10" customFormat="1" x14ac:dyDescent="0.25">
      <c r="A2575" s="21" t="s">
        <v>3394</v>
      </c>
      <c r="D2575" s="25"/>
      <c r="E2575" s="11"/>
      <c r="F2575" s="26">
        <v>2209</v>
      </c>
      <c r="G2575" s="11" t="s">
        <v>3395</v>
      </c>
      <c r="H2575" s="11" t="s">
        <v>2171</v>
      </c>
      <c r="I2575" s="12" t="s">
        <v>3395</v>
      </c>
      <c r="J2575" s="11" t="s">
        <v>2805</v>
      </c>
    </row>
    <row r="2576" spans="1:10" s="10" customFormat="1" x14ac:dyDescent="0.25">
      <c r="A2576" s="21" t="s">
        <v>1240</v>
      </c>
      <c r="D2576" s="25"/>
      <c r="E2576" s="11"/>
      <c r="F2576" s="26">
        <v>2622</v>
      </c>
      <c r="G2576" s="11" t="s">
        <v>1241</v>
      </c>
      <c r="H2576" s="11" t="s">
        <v>2171</v>
      </c>
      <c r="I2576" s="12" t="s">
        <v>1241</v>
      </c>
      <c r="J2576" s="11" t="s">
        <v>2805</v>
      </c>
    </row>
    <row r="2577" spans="1:10" s="10" customFormat="1" x14ac:dyDescent="0.25">
      <c r="A2577" s="21" t="s">
        <v>795</v>
      </c>
      <c r="D2577" s="25"/>
      <c r="E2577" s="11"/>
      <c r="F2577" s="26">
        <v>3572</v>
      </c>
      <c r="G2577" s="11" t="s">
        <v>796</v>
      </c>
      <c r="H2577" s="11" t="s">
        <v>2171</v>
      </c>
      <c r="I2577" s="12" t="s">
        <v>796</v>
      </c>
      <c r="J2577" s="11" t="s">
        <v>2805</v>
      </c>
    </row>
    <row r="2578" spans="1:10" s="10" customFormat="1" x14ac:dyDescent="0.25">
      <c r="A2578" s="21" t="s">
        <v>799</v>
      </c>
      <c r="D2578" s="25"/>
      <c r="E2578" s="11"/>
      <c r="F2578" s="26">
        <v>3042</v>
      </c>
      <c r="G2578" s="11" t="s">
        <v>800</v>
      </c>
      <c r="H2578" s="11" t="s">
        <v>2171</v>
      </c>
      <c r="I2578" s="12" t="s">
        <v>800</v>
      </c>
      <c r="J2578" s="11" t="s">
        <v>2805</v>
      </c>
    </row>
    <row r="2579" spans="1:10" s="10" customFormat="1" x14ac:dyDescent="0.25">
      <c r="A2579" s="21" t="s">
        <v>802</v>
      </c>
      <c r="D2579" s="25"/>
      <c r="E2579" s="11"/>
      <c r="F2579" s="26">
        <v>3056</v>
      </c>
      <c r="G2579" s="11" t="s">
        <v>803</v>
      </c>
      <c r="H2579" s="11" t="s">
        <v>2171</v>
      </c>
      <c r="I2579" s="12" t="s">
        <v>803</v>
      </c>
      <c r="J2579" s="11" t="s">
        <v>2805</v>
      </c>
    </row>
    <row r="2580" spans="1:10" s="10" customFormat="1" x14ac:dyDescent="0.25">
      <c r="A2580" s="21" t="s">
        <v>805</v>
      </c>
      <c r="D2580" s="25"/>
      <c r="E2580" s="11"/>
      <c r="F2580" s="26">
        <v>2445</v>
      </c>
      <c r="G2580" s="11" t="s">
        <v>806</v>
      </c>
      <c r="H2580" s="11" t="s">
        <v>2171</v>
      </c>
      <c r="I2580" s="12" t="s">
        <v>806</v>
      </c>
      <c r="J2580" s="11" t="s">
        <v>2805</v>
      </c>
    </row>
    <row r="2581" spans="1:10" s="10" customFormat="1" x14ac:dyDescent="0.25">
      <c r="A2581" s="21" t="s">
        <v>811</v>
      </c>
      <c r="D2581" s="25"/>
      <c r="E2581" s="11"/>
      <c r="F2581" s="26">
        <v>2527</v>
      </c>
      <c r="G2581" s="11" t="s">
        <v>812</v>
      </c>
      <c r="H2581" s="11" t="s">
        <v>2171</v>
      </c>
      <c r="I2581" s="12" t="s">
        <v>812</v>
      </c>
      <c r="J2581" s="11" t="s">
        <v>2805</v>
      </c>
    </row>
    <row r="2582" spans="1:10" s="10" customFormat="1" x14ac:dyDescent="0.25">
      <c r="A2582" s="21" t="s">
        <v>2959</v>
      </c>
      <c r="D2582" s="25"/>
      <c r="E2582" s="11"/>
      <c r="F2582" s="26">
        <v>2609</v>
      </c>
      <c r="G2582" s="11" t="s">
        <v>2960</v>
      </c>
      <c r="H2582" s="11" t="s">
        <v>2171</v>
      </c>
      <c r="I2582" s="12" t="s">
        <v>2960</v>
      </c>
      <c r="J2582" s="11" t="s">
        <v>2805</v>
      </c>
    </row>
    <row r="2583" spans="1:10" s="10" customFormat="1" x14ac:dyDescent="0.25">
      <c r="A2583" s="21" t="s">
        <v>2977</v>
      </c>
      <c r="D2583" s="25"/>
      <c r="E2583" s="11"/>
      <c r="F2583" s="26">
        <v>2115</v>
      </c>
      <c r="G2583" s="11" t="s">
        <v>2980</v>
      </c>
      <c r="H2583" s="11" t="s">
        <v>2171</v>
      </c>
      <c r="I2583" s="12" t="s">
        <v>2978</v>
      </c>
      <c r="J2583" s="11" t="s">
        <v>2805</v>
      </c>
    </row>
    <row r="2584" spans="1:10" s="10" customFormat="1" x14ac:dyDescent="0.25">
      <c r="A2584" s="21" t="s">
        <v>2962</v>
      </c>
      <c r="D2584" s="25"/>
      <c r="E2584" s="11"/>
      <c r="F2584" s="26">
        <v>2728</v>
      </c>
      <c r="G2584" s="11" t="s">
        <v>2963</v>
      </c>
      <c r="H2584" s="11" t="s">
        <v>2171</v>
      </c>
      <c r="I2584" s="12" t="s">
        <v>2963</v>
      </c>
      <c r="J2584" s="11" t="s">
        <v>2805</v>
      </c>
    </row>
    <row r="2585" spans="1:10" s="10" customFormat="1" x14ac:dyDescent="0.25">
      <c r="A2585" s="21" t="s">
        <v>808</v>
      </c>
      <c r="D2585" s="25"/>
      <c r="E2585" s="11"/>
      <c r="F2585" s="26">
        <v>2313</v>
      </c>
      <c r="G2585" s="11" t="s">
        <v>809</v>
      </c>
      <c r="H2585" s="11" t="s">
        <v>2171</v>
      </c>
      <c r="I2585" s="12" t="s">
        <v>809</v>
      </c>
      <c r="J2585" s="11" t="s">
        <v>2805</v>
      </c>
    </row>
    <row r="2586" spans="1:10" s="10" customFormat="1" x14ac:dyDescent="0.25">
      <c r="A2586" s="21" t="s">
        <v>814</v>
      </c>
      <c r="D2586" s="25"/>
      <c r="E2586" s="11"/>
      <c r="F2586" s="26">
        <v>2212</v>
      </c>
      <c r="G2586" s="11" t="s">
        <v>815</v>
      </c>
      <c r="H2586" s="11" t="s">
        <v>2171</v>
      </c>
      <c r="I2586" s="12" t="s">
        <v>815</v>
      </c>
      <c r="J2586" s="11" t="s">
        <v>2805</v>
      </c>
    </row>
    <row r="2587" spans="1:10" s="10" customFormat="1" x14ac:dyDescent="0.25">
      <c r="A2587" s="21" t="s">
        <v>2965</v>
      </c>
      <c r="D2587" s="25"/>
      <c r="E2587" s="11"/>
      <c r="F2587" s="26">
        <v>2521</v>
      </c>
      <c r="G2587" s="11" t="s">
        <v>2966</v>
      </c>
      <c r="H2587" s="11" t="s">
        <v>2171</v>
      </c>
      <c r="I2587" s="12" t="s">
        <v>2966</v>
      </c>
      <c r="J2587" s="11" t="s">
        <v>2805</v>
      </c>
    </row>
    <row r="2588" spans="1:10" s="10" customFormat="1" x14ac:dyDescent="0.25">
      <c r="A2588" s="21" t="s">
        <v>2968</v>
      </c>
      <c r="D2588" s="25"/>
      <c r="E2588" s="11"/>
      <c r="F2588" s="26">
        <v>2601</v>
      </c>
      <c r="G2588" s="11" t="s">
        <v>2969</v>
      </c>
      <c r="H2588" s="11" t="s">
        <v>2171</v>
      </c>
      <c r="I2588" s="12" t="s">
        <v>2969</v>
      </c>
      <c r="J2588" s="11" t="s">
        <v>2805</v>
      </c>
    </row>
    <row r="2589" spans="1:10" s="10" customFormat="1" x14ac:dyDescent="0.25">
      <c r="A2589" s="21" t="s">
        <v>12</v>
      </c>
      <c r="D2589" s="25"/>
      <c r="E2589" s="11"/>
      <c r="F2589" s="26">
        <v>3032</v>
      </c>
      <c r="G2589" s="11" t="s">
        <v>13</v>
      </c>
      <c r="H2589" s="11" t="s">
        <v>2171</v>
      </c>
      <c r="I2589" s="12" t="s">
        <v>13</v>
      </c>
      <c r="J2589" s="11" t="s">
        <v>2805</v>
      </c>
    </row>
    <row r="2590" spans="1:10" s="10" customFormat="1" x14ac:dyDescent="0.25">
      <c r="A2590" s="21" t="s">
        <v>2971</v>
      </c>
      <c r="D2590" s="25"/>
      <c r="E2590" s="11"/>
      <c r="F2590" s="26">
        <v>2206</v>
      </c>
      <c r="G2590" s="11" t="s">
        <v>2972</v>
      </c>
      <c r="H2590" s="11" t="s">
        <v>2171</v>
      </c>
      <c r="I2590" s="12" t="s">
        <v>2972</v>
      </c>
      <c r="J2590" s="11" t="s">
        <v>2805</v>
      </c>
    </row>
    <row r="2591" spans="1:10" s="10" customFormat="1" x14ac:dyDescent="0.25">
      <c r="A2591" s="21" t="s">
        <v>2974</v>
      </c>
      <c r="D2591" s="25"/>
      <c r="E2591" s="11"/>
      <c r="F2591" s="26">
        <v>2110</v>
      </c>
      <c r="G2591" s="11" t="s">
        <v>2975</v>
      </c>
      <c r="H2591" s="11" t="s">
        <v>2171</v>
      </c>
      <c r="I2591" s="12" t="s">
        <v>2975</v>
      </c>
      <c r="J2591" s="11" t="s">
        <v>2805</v>
      </c>
    </row>
    <row r="2592" spans="1:10" s="10" customFormat="1" x14ac:dyDescent="0.25">
      <c r="A2592" s="21" t="s">
        <v>2981</v>
      </c>
      <c r="D2592" s="25"/>
      <c r="E2592" s="11"/>
      <c r="F2592" s="26">
        <v>2121</v>
      </c>
      <c r="G2592" s="11" t="s">
        <v>2982</v>
      </c>
      <c r="H2592" s="11" t="s">
        <v>2171</v>
      </c>
      <c r="I2592" s="12" t="s">
        <v>2982</v>
      </c>
      <c r="J2592" s="11" t="s">
        <v>2805</v>
      </c>
    </row>
    <row r="2593" spans="1:10" s="10" customFormat="1" x14ac:dyDescent="0.25">
      <c r="A2593" s="21" t="s">
        <v>2985</v>
      </c>
      <c r="D2593" s="25"/>
      <c r="E2593" s="11"/>
      <c r="F2593" s="26">
        <v>2113</v>
      </c>
      <c r="G2593" s="11" t="s">
        <v>2986</v>
      </c>
      <c r="H2593" s="11" t="s">
        <v>2171</v>
      </c>
      <c r="I2593" s="12" t="s">
        <v>2986</v>
      </c>
      <c r="J2593" s="11" t="s">
        <v>2805</v>
      </c>
    </row>
    <row r="2594" spans="1:10" s="10" customFormat="1" x14ac:dyDescent="0.25">
      <c r="A2594" s="21" t="s">
        <v>15</v>
      </c>
      <c r="D2594" s="25"/>
      <c r="E2594" s="11"/>
      <c r="F2594" s="26">
        <v>2529</v>
      </c>
      <c r="G2594" s="11" t="s">
        <v>16</v>
      </c>
      <c r="H2594" s="11" t="s">
        <v>2171</v>
      </c>
      <c r="I2594" s="12" t="s">
        <v>16</v>
      </c>
      <c r="J2594" s="11" t="s">
        <v>2805</v>
      </c>
    </row>
    <row r="2595" spans="1:10" s="10" customFormat="1" x14ac:dyDescent="0.25">
      <c r="A2595" s="21" t="s">
        <v>18</v>
      </c>
      <c r="D2595" s="25"/>
      <c r="E2595" s="11"/>
      <c r="F2595" s="26">
        <v>3085</v>
      </c>
      <c r="G2595" s="11" t="s">
        <v>324</v>
      </c>
      <c r="H2595" s="11" t="s">
        <v>2171</v>
      </c>
      <c r="I2595" s="12" t="s">
        <v>324</v>
      </c>
      <c r="J2595" s="11" t="s">
        <v>2805</v>
      </c>
    </row>
    <row r="2596" spans="1:10" s="10" customFormat="1" x14ac:dyDescent="0.25">
      <c r="A2596" s="21" t="s">
        <v>2428</v>
      </c>
      <c r="D2596" s="25"/>
      <c r="E2596" s="11"/>
      <c r="F2596" s="26">
        <v>2407</v>
      </c>
      <c r="G2596" s="11" t="s">
        <v>2432</v>
      </c>
      <c r="H2596" s="11" t="s">
        <v>2171</v>
      </c>
      <c r="I2596" s="12" t="s">
        <v>2429</v>
      </c>
      <c r="J2596" s="11" t="s">
        <v>2805</v>
      </c>
    </row>
    <row r="2597" spans="1:10" s="10" customFormat="1" x14ac:dyDescent="0.25">
      <c r="A2597" s="21" t="s">
        <v>20</v>
      </c>
      <c r="D2597" s="25"/>
      <c r="E2597" s="11"/>
      <c r="F2597" s="26">
        <v>3023</v>
      </c>
      <c r="G2597" s="11" t="s">
        <v>21</v>
      </c>
      <c r="H2597" s="11" t="s">
        <v>2171</v>
      </c>
      <c r="I2597" s="12" t="s">
        <v>21</v>
      </c>
      <c r="J2597" s="11" t="s">
        <v>2805</v>
      </c>
    </row>
    <row r="2598" spans="1:10" s="10" customFormat="1" x14ac:dyDescent="0.25">
      <c r="A2598" s="21" t="s">
        <v>2988</v>
      </c>
      <c r="D2598" s="25"/>
      <c r="E2598" s="11"/>
      <c r="F2598" s="26">
        <v>2202</v>
      </c>
      <c r="G2598" s="11" t="s">
        <v>2991</v>
      </c>
      <c r="H2598" s="11" t="s">
        <v>2171</v>
      </c>
      <c r="I2598" s="12" t="s">
        <v>2989</v>
      </c>
      <c r="J2598" s="11" t="s">
        <v>2805</v>
      </c>
    </row>
    <row r="2599" spans="1:10" s="10" customFormat="1" x14ac:dyDescent="0.25">
      <c r="A2599" s="21" t="s">
        <v>2992</v>
      </c>
      <c r="D2599" s="25"/>
      <c r="E2599" s="11"/>
      <c r="F2599" s="26">
        <v>2122</v>
      </c>
      <c r="G2599" s="11" t="s">
        <v>2993</v>
      </c>
      <c r="H2599" s="11" t="s">
        <v>2171</v>
      </c>
      <c r="I2599" s="12" t="s">
        <v>2993</v>
      </c>
      <c r="J2599" s="11" t="s">
        <v>2805</v>
      </c>
    </row>
    <row r="2600" spans="1:10" s="10" customFormat="1" x14ac:dyDescent="0.25">
      <c r="A2600" s="21" t="s">
        <v>30</v>
      </c>
      <c r="D2600" s="25"/>
      <c r="E2600" s="11"/>
      <c r="F2600" s="26">
        <v>2300</v>
      </c>
      <c r="G2600" s="11" t="s">
        <v>31</v>
      </c>
      <c r="H2600" s="11" t="s">
        <v>2171</v>
      </c>
      <c r="I2600" s="12" t="s">
        <v>31</v>
      </c>
      <c r="J2600" s="11" t="s">
        <v>2800</v>
      </c>
    </row>
    <row r="2601" spans="1:10" s="10" customFormat="1" x14ac:dyDescent="0.25">
      <c r="A2601" s="21" t="s">
        <v>23</v>
      </c>
      <c r="D2601" s="25"/>
      <c r="E2601" s="11"/>
      <c r="F2601" s="26">
        <v>2301</v>
      </c>
      <c r="G2601" s="11" t="s">
        <v>26</v>
      </c>
      <c r="H2601" s="11" t="s">
        <v>2171</v>
      </c>
      <c r="I2601" s="12" t="s">
        <v>24</v>
      </c>
      <c r="J2601" s="11" t="s">
        <v>2805</v>
      </c>
    </row>
    <row r="2602" spans="1:10" s="10" customFormat="1" x14ac:dyDescent="0.25">
      <c r="A2602" s="21" t="s">
        <v>33</v>
      </c>
      <c r="D2602" s="25"/>
      <c r="E2602" s="11"/>
      <c r="F2602" s="26">
        <v>3560</v>
      </c>
      <c r="G2602" s="11" t="s">
        <v>34</v>
      </c>
      <c r="H2602" s="11" t="s">
        <v>2171</v>
      </c>
      <c r="I2602" s="12" t="s">
        <v>34</v>
      </c>
      <c r="J2602" s="11" t="s">
        <v>2800</v>
      </c>
    </row>
    <row r="2603" spans="1:10" s="10" customFormat="1" x14ac:dyDescent="0.25">
      <c r="A2603" s="21" t="s">
        <v>27</v>
      </c>
      <c r="D2603" s="25"/>
      <c r="E2603" s="11"/>
      <c r="F2603" s="26">
        <v>3018</v>
      </c>
      <c r="G2603" s="11" t="s">
        <v>1862</v>
      </c>
      <c r="H2603" s="11" t="s">
        <v>2171</v>
      </c>
      <c r="I2603" s="12" t="s">
        <v>1862</v>
      </c>
      <c r="J2603" s="11" t="s">
        <v>2805</v>
      </c>
    </row>
    <row r="2604" spans="1:10" s="10" customFormat="1" x14ac:dyDescent="0.25">
      <c r="A2604" s="21" t="s">
        <v>2995</v>
      </c>
      <c r="D2604" s="25"/>
      <c r="E2604" s="11"/>
      <c r="F2604" s="26">
        <v>2134</v>
      </c>
      <c r="G2604" s="11" t="s">
        <v>2996</v>
      </c>
      <c r="H2604" s="11" t="s">
        <v>2171</v>
      </c>
      <c r="I2604" s="12" t="s">
        <v>2996</v>
      </c>
      <c r="J2604" s="11" t="s">
        <v>2805</v>
      </c>
    </row>
    <row r="2605" spans="1:10" s="10" customFormat="1" x14ac:dyDescent="0.25">
      <c r="A2605" s="21" t="s">
        <v>36</v>
      </c>
      <c r="D2605" s="25"/>
      <c r="E2605" s="11"/>
      <c r="F2605" s="26">
        <v>3555</v>
      </c>
      <c r="G2605" s="11" t="s">
        <v>37</v>
      </c>
      <c r="H2605" s="11" t="s">
        <v>2171</v>
      </c>
      <c r="I2605" s="12" t="s">
        <v>37</v>
      </c>
      <c r="J2605" s="11" t="s">
        <v>2805</v>
      </c>
    </row>
    <row r="2606" spans="1:10" s="10" customFormat="1" x14ac:dyDescent="0.25">
      <c r="A2606" s="21" t="s">
        <v>2641</v>
      </c>
      <c r="D2606" s="25"/>
      <c r="E2606" s="11"/>
      <c r="F2606" s="26">
        <v>2000</v>
      </c>
      <c r="G2606" s="11" t="s">
        <v>2512</v>
      </c>
      <c r="H2606" s="11" t="s">
        <v>2171</v>
      </c>
      <c r="I2606" s="12" t="s">
        <v>2642</v>
      </c>
      <c r="J2606" s="11" t="s">
        <v>2800</v>
      </c>
    </row>
    <row r="2607" spans="1:10" s="10" customFormat="1" x14ac:dyDescent="0.25">
      <c r="A2607" s="21" t="s">
        <v>2644</v>
      </c>
      <c r="D2607" s="25"/>
      <c r="E2607" s="11"/>
      <c r="F2607" s="26">
        <v>2000</v>
      </c>
      <c r="G2607" s="11" t="s">
        <v>2512</v>
      </c>
      <c r="H2607" s="11" t="s">
        <v>2171</v>
      </c>
      <c r="I2607" s="12" t="s">
        <v>2645</v>
      </c>
      <c r="J2607" s="11" t="s">
        <v>2800</v>
      </c>
    </row>
    <row r="2608" spans="1:10" s="10" customFormat="1" x14ac:dyDescent="0.25">
      <c r="A2608" s="21" t="s">
        <v>3623</v>
      </c>
      <c r="D2608" s="25"/>
      <c r="E2608" s="11"/>
      <c r="F2608" s="26">
        <v>2008</v>
      </c>
      <c r="G2608" s="11" t="s">
        <v>2512</v>
      </c>
      <c r="H2608" s="11" t="s">
        <v>2171</v>
      </c>
      <c r="I2608" s="12" t="s">
        <v>3624</v>
      </c>
      <c r="J2608" s="11" t="s">
        <v>2800</v>
      </c>
    </row>
    <row r="2609" spans="1:10" s="10" customFormat="1" x14ac:dyDescent="0.25">
      <c r="A2609" s="21" t="s">
        <v>3626</v>
      </c>
      <c r="D2609" s="25"/>
      <c r="E2609" s="11"/>
      <c r="F2609" s="26">
        <v>2000</v>
      </c>
      <c r="G2609" s="11" t="s">
        <v>2512</v>
      </c>
      <c r="H2609" s="11" t="s">
        <v>2171</v>
      </c>
      <c r="I2609" s="12" t="s">
        <v>3627</v>
      </c>
      <c r="J2609" s="11" t="s">
        <v>2800</v>
      </c>
    </row>
    <row r="2610" spans="1:10" s="10" customFormat="1" x14ac:dyDescent="0.25">
      <c r="A2610" s="21" t="s">
        <v>3629</v>
      </c>
      <c r="D2610" s="25"/>
      <c r="E2610" s="11"/>
      <c r="F2610" s="26">
        <v>2002</v>
      </c>
      <c r="G2610" s="11" t="s">
        <v>2512</v>
      </c>
      <c r="H2610" s="11" t="s">
        <v>2171</v>
      </c>
      <c r="I2610" s="12" t="s">
        <v>3630</v>
      </c>
      <c r="J2610" s="11" t="s">
        <v>2805</v>
      </c>
    </row>
    <row r="2611" spans="1:10" s="10" customFormat="1" x14ac:dyDescent="0.25">
      <c r="A2611" s="21" t="s">
        <v>3632</v>
      </c>
      <c r="D2611" s="25"/>
      <c r="E2611" s="11"/>
      <c r="F2611" s="26">
        <v>2000</v>
      </c>
      <c r="G2611" s="11" t="s">
        <v>2512</v>
      </c>
      <c r="H2611" s="11" t="s">
        <v>2171</v>
      </c>
      <c r="I2611" s="12" t="s">
        <v>3633</v>
      </c>
      <c r="J2611" s="11" t="s">
        <v>2800</v>
      </c>
    </row>
    <row r="2612" spans="1:10" s="10" customFormat="1" x14ac:dyDescent="0.25">
      <c r="A2612" s="21" t="s">
        <v>3635</v>
      </c>
      <c r="D2612" s="25"/>
      <c r="E2612" s="11"/>
      <c r="F2612" s="26">
        <v>2001</v>
      </c>
      <c r="G2612" s="11" t="s">
        <v>2512</v>
      </c>
      <c r="H2612" s="11" t="s">
        <v>2171</v>
      </c>
      <c r="I2612" s="12" t="s">
        <v>3636</v>
      </c>
      <c r="J2612" s="11" t="s">
        <v>2800</v>
      </c>
    </row>
    <row r="2613" spans="1:10" s="10" customFormat="1" x14ac:dyDescent="0.25">
      <c r="A2613" s="21" t="s">
        <v>3638</v>
      </c>
      <c r="D2613" s="25"/>
      <c r="E2613" s="11"/>
      <c r="F2613" s="26">
        <v>2000</v>
      </c>
      <c r="G2613" s="11" t="s">
        <v>2512</v>
      </c>
      <c r="H2613" s="11" t="s">
        <v>2171</v>
      </c>
      <c r="I2613" s="12" t="s">
        <v>3639</v>
      </c>
      <c r="J2613" s="11" t="s">
        <v>2800</v>
      </c>
    </row>
    <row r="2614" spans="1:10" s="10" customFormat="1" x14ac:dyDescent="0.25">
      <c r="A2614" s="21" t="s">
        <v>3641</v>
      </c>
      <c r="D2614" s="25"/>
      <c r="E2614" s="11"/>
      <c r="F2614" s="26">
        <v>2003</v>
      </c>
      <c r="G2614" s="11" t="s">
        <v>2512</v>
      </c>
      <c r="H2614" s="11" t="s">
        <v>2171</v>
      </c>
      <c r="I2614" s="12" t="s">
        <v>3642</v>
      </c>
      <c r="J2614" s="11" t="s">
        <v>2800</v>
      </c>
    </row>
    <row r="2615" spans="1:10" s="10" customFormat="1" x14ac:dyDescent="0.25">
      <c r="A2615" s="21" t="s">
        <v>3644</v>
      </c>
      <c r="D2615" s="25"/>
      <c r="E2615" s="11"/>
      <c r="F2615" s="26">
        <v>2007</v>
      </c>
      <c r="G2615" s="11" t="s">
        <v>2512</v>
      </c>
      <c r="H2615" s="11" t="s">
        <v>2171</v>
      </c>
      <c r="I2615" s="12" t="s">
        <v>3645</v>
      </c>
      <c r="J2615" s="11" t="s">
        <v>2800</v>
      </c>
    </row>
    <row r="2616" spans="1:10" s="10" customFormat="1" x14ac:dyDescent="0.25">
      <c r="A2616" s="21" t="s">
        <v>3647</v>
      </c>
      <c r="D2616" s="25"/>
      <c r="E2616" s="11"/>
      <c r="F2616" s="26">
        <v>2004</v>
      </c>
      <c r="G2616" s="11" t="s">
        <v>2512</v>
      </c>
      <c r="H2616" s="11" t="s">
        <v>2171</v>
      </c>
      <c r="I2616" s="12" t="s">
        <v>3648</v>
      </c>
      <c r="J2616" s="11" t="s">
        <v>2805</v>
      </c>
    </row>
    <row r="2617" spans="1:10" s="10" customFormat="1" x14ac:dyDescent="0.25">
      <c r="A2617" s="21" t="s">
        <v>2647</v>
      </c>
      <c r="D2617" s="25"/>
      <c r="E2617" s="11"/>
      <c r="F2617" s="26">
        <v>2002</v>
      </c>
      <c r="G2617" s="11" t="s">
        <v>2512</v>
      </c>
      <c r="H2617" s="11" t="s">
        <v>2171</v>
      </c>
      <c r="I2617" s="12" t="s">
        <v>921</v>
      </c>
      <c r="J2617" s="11" t="s">
        <v>2800</v>
      </c>
    </row>
    <row r="2618" spans="1:10" s="10" customFormat="1" x14ac:dyDescent="0.25">
      <c r="A2618" s="21" t="s">
        <v>923</v>
      </c>
      <c r="D2618" s="25"/>
      <c r="E2618" s="11"/>
      <c r="F2618" s="26">
        <v>2000</v>
      </c>
      <c r="G2618" s="11" t="s">
        <v>2512</v>
      </c>
      <c r="H2618" s="11" t="s">
        <v>2171</v>
      </c>
      <c r="I2618" s="12" t="s">
        <v>924</v>
      </c>
      <c r="J2618" s="11" t="s">
        <v>2800</v>
      </c>
    </row>
    <row r="2619" spans="1:10" s="10" customFormat="1" x14ac:dyDescent="0.25">
      <c r="A2619" s="21" t="s">
        <v>926</v>
      </c>
      <c r="D2619" s="25"/>
      <c r="E2619" s="11"/>
      <c r="F2619" s="26">
        <v>2002</v>
      </c>
      <c r="G2619" s="11" t="s">
        <v>2512</v>
      </c>
      <c r="H2619" s="11" t="s">
        <v>2171</v>
      </c>
      <c r="I2619" s="12" t="s">
        <v>927</v>
      </c>
      <c r="J2619" s="11" t="s">
        <v>2805</v>
      </c>
    </row>
    <row r="2620" spans="1:10" s="10" customFormat="1" x14ac:dyDescent="0.25">
      <c r="A2620" s="21" t="s">
        <v>930</v>
      </c>
      <c r="D2620" s="25"/>
      <c r="E2620" s="11"/>
      <c r="F2620" s="26">
        <v>2002</v>
      </c>
      <c r="G2620" s="11" t="s">
        <v>2512</v>
      </c>
      <c r="H2620" s="11" t="s">
        <v>2171</v>
      </c>
      <c r="I2620" s="12" t="s">
        <v>931</v>
      </c>
      <c r="J2620" s="11" t="s">
        <v>2800</v>
      </c>
    </row>
    <row r="2621" spans="1:10" s="10" customFormat="1" x14ac:dyDescent="0.25">
      <c r="A2621" s="21" t="s">
        <v>933</v>
      </c>
      <c r="D2621" s="25"/>
      <c r="E2621" s="11"/>
      <c r="F2621" s="26">
        <v>2002</v>
      </c>
      <c r="G2621" s="11" t="s">
        <v>2512</v>
      </c>
      <c r="H2621" s="11" t="s">
        <v>2171</v>
      </c>
      <c r="I2621" s="12" t="s">
        <v>934</v>
      </c>
      <c r="J2621" s="11" t="s">
        <v>2800</v>
      </c>
    </row>
    <row r="2622" spans="1:10" s="10" customFormat="1" x14ac:dyDescent="0.25">
      <c r="A2622" s="21" t="s">
        <v>937</v>
      </c>
      <c r="D2622" s="25"/>
      <c r="E2622" s="11"/>
      <c r="F2622" s="26">
        <v>2005</v>
      </c>
      <c r="G2622" s="11" t="s">
        <v>2512</v>
      </c>
      <c r="H2622" s="11" t="s">
        <v>2171</v>
      </c>
      <c r="I2622" s="12" t="s">
        <v>3616</v>
      </c>
      <c r="J2622" s="11" t="s">
        <v>2800</v>
      </c>
    </row>
    <row r="2623" spans="1:10" s="10" customFormat="1" x14ac:dyDescent="0.25">
      <c r="A2623" s="21" t="s">
        <v>3619</v>
      </c>
      <c r="D2623" s="25"/>
      <c r="E2623" s="11"/>
      <c r="F2623" s="26">
        <v>2011</v>
      </c>
      <c r="G2623" s="11" t="s">
        <v>2512</v>
      </c>
      <c r="H2623" s="11" t="s">
        <v>2171</v>
      </c>
      <c r="I2623" s="12" t="s">
        <v>3620</v>
      </c>
      <c r="J2623" s="11" t="s">
        <v>2800</v>
      </c>
    </row>
    <row r="2624" spans="1:10" s="10" customFormat="1" x14ac:dyDescent="0.25">
      <c r="A2624" s="21" t="s">
        <v>2953</v>
      </c>
      <c r="D2624" s="25"/>
      <c r="E2624" s="11"/>
      <c r="F2624" s="26">
        <v>2923</v>
      </c>
      <c r="G2624" s="11" t="s">
        <v>2954</v>
      </c>
      <c r="H2624" s="11" t="s">
        <v>2171</v>
      </c>
      <c r="I2624" s="12" t="s">
        <v>2954</v>
      </c>
      <c r="J2624" s="11" t="s">
        <v>2805</v>
      </c>
    </row>
    <row r="2625" spans="1:10" s="10" customFormat="1" x14ac:dyDescent="0.25">
      <c r="A2625" s="21" t="s">
        <v>367</v>
      </c>
      <c r="D2625" s="25"/>
      <c r="E2625" s="11"/>
      <c r="F2625" s="26">
        <v>6100</v>
      </c>
      <c r="G2625" s="11" t="s">
        <v>368</v>
      </c>
      <c r="H2625" s="11" t="s">
        <v>2171</v>
      </c>
      <c r="I2625" s="12" t="s">
        <v>368</v>
      </c>
      <c r="J2625" s="11" t="s">
        <v>2800</v>
      </c>
    </row>
    <row r="2626" spans="1:10" s="10" customFormat="1" x14ac:dyDescent="0.25">
      <c r="A2626" s="21" t="s">
        <v>40</v>
      </c>
      <c r="D2626" s="25"/>
      <c r="E2626" s="11"/>
      <c r="F2626" s="26">
        <v>3011</v>
      </c>
      <c r="G2626" s="11" t="s">
        <v>43</v>
      </c>
      <c r="H2626" s="11" t="s">
        <v>2171</v>
      </c>
      <c r="I2626" s="12" t="s">
        <v>41</v>
      </c>
      <c r="J2626" s="11" t="s">
        <v>2805</v>
      </c>
    </row>
    <row r="2627" spans="1:10" s="10" customFormat="1" x14ac:dyDescent="0.25">
      <c r="A2627" s="21" t="s">
        <v>370</v>
      </c>
      <c r="D2627" s="25"/>
      <c r="E2627" s="11"/>
      <c r="F2627" s="26">
        <v>2142</v>
      </c>
      <c r="G2627" s="11" t="s">
        <v>371</v>
      </c>
      <c r="H2627" s="11" t="s">
        <v>2171</v>
      </c>
      <c r="I2627" s="12" t="s">
        <v>371</v>
      </c>
      <c r="J2627" s="11" t="s">
        <v>2805</v>
      </c>
    </row>
    <row r="2628" spans="1:10" s="10" customFormat="1" x14ac:dyDescent="0.25">
      <c r="A2628" s="21" t="s">
        <v>44</v>
      </c>
      <c r="D2628" s="25"/>
      <c r="E2628" s="11"/>
      <c r="F2628" s="26">
        <v>3013</v>
      </c>
      <c r="G2628" s="11" t="s">
        <v>45</v>
      </c>
      <c r="H2628" s="11" t="s">
        <v>2171</v>
      </c>
      <c r="I2628" s="12" t="s">
        <v>45</v>
      </c>
      <c r="J2628" s="11" t="s">
        <v>2805</v>
      </c>
    </row>
    <row r="2629" spans="1:10" s="10" customFormat="1" x14ac:dyDescent="0.25">
      <c r="A2629" s="21" t="s">
        <v>47</v>
      </c>
      <c r="D2629" s="25"/>
      <c r="E2629" s="11"/>
      <c r="F2629" s="26">
        <v>3017</v>
      </c>
      <c r="G2629" s="11" t="s">
        <v>48</v>
      </c>
      <c r="H2629" s="11" t="s">
        <v>2171</v>
      </c>
      <c r="I2629" s="12" t="s">
        <v>48</v>
      </c>
      <c r="J2629" s="11" t="s">
        <v>2805</v>
      </c>
    </row>
    <row r="2630" spans="1:10" s="10" customFormat="1" x14ac:dyDescent="0.25">
      <c r="A2630" s="21" t="s">
        <v>50</v>
      </c>
      <c r="D2630" s="25"/>
      <c r="E2630" s="11"/>
      <c r="F2630" s="26">
        <v>3070</v>
      </c>
      <c r="G2630" s="11" t="s">
        <v>3490</v>
      </c>
      <c r="H2630" s="11" t="s">
        <v>2171</v>
      </c>
      <c r="I2630" s="12" t="s">
        <v>3490</v>
      </c>
      <c r="J2630" s="11" t="s">
        <v>2805</v>
      </c>
    </row>
    <row r="2631" spans="1:10" s="10" customFormat="1" x14ac:dyDescent="0.25">
      <c r="A2631" s="21" t="s">
        <v>373</v>
      </c>
      <c r="D2631" s="25"/>
      <c r="E2631" s="11"/>
      <c r="F2631" s="26">
        <v>2615</v>
      </c>
      <c r="G2631" s="11" t="s">
        <v>374</v>
      </c>
      <c r="H2631" s="11" t="s">
        <v>2171</v>
      </c>
      <c r="I2631" s="12" t="s">
        <v>374</v>
      </c>
      <c r="J2631" s="11" t="s">
        <v>2805</v>
      </c>
    </row>
    <row r="2632" spans="1:10" s="10" customFormat="1" x14ac:dyDescent="0.25">
      <c r="A2632" s="21" t="s">
        <v>847</v>
      </c>
      <c r="D2632" s="25"/>
      <c r="E2632" s="11"/>
      <c r="F2632" s="26">
        <v>2146</v>
      </c>
      <c r="G2632" s="11" t="s">
        <v>848</v>
      </c>
      <c r="H2632" s="11" t="s">
        <v>2171</v>
      </c>
      <c r="I2632" s="12" t="s">
        <v>848</v>
      </c>
      <c r="J2632" s="11" t="s">
        <v>2805</v>
      </c>
    </row>
    <row r="2633" spans="1:10" s="10" customFormat="1" x14ac:dyDescent="0.25">
      <c r="A2633" s="21" t="s">
        <v>851</v>
      </c>
      <c r="D2633" s="25"/>
      <c r="E2633" s="11"/>
      <c r="F2633" s="26">
        <v>2147</v>
      </c>
      <c r="G2633" s="11" t="s">
        <v>2597</v>
      </c>
      <c r="H2633" s="11" t="s">
        <v>2171</v>
      </c>
      <c r="I2633" s="12" t="s">
        <v>2597</v>
      </c>
      <c r="J2633" s="11" t="s">
        <v>2805</v>
      </c>
    </row>
    <row r="2634" spans="1:10" s="10" customFormat="1" x14ac:dyDescent="0.25">
      <c r="A2634" s="21" t="s">
        <v>379</v>
      </c>
      <c r="D2634" s="25"/>
      <c r="E2634" s="11"/>
      <c r="F2634" s="26">
        <v>2613</v>
      </c>
      <c r="G2634" s="11" t="s">
        <v>380</v>
      </c>
      <c r="H2634" s="11" t="s">
        <v>2171</v>
      </c>
      <c r="I2634" s="12" t="s">
        <v>380</v>
      </c>
      <c r="J2634" s="11" t="s">
        <v>2805</v>
      </c>
    </row>
    <row r="2635" spans="1:10" s="10" customFormat="1" x14ac:dyDescent="0.25">
      <c r="A2635" s="21" t="s">
        <v>52</v>
      </c>
      <c r="D2635" s="25"/>
      <c r="E2635" s="11"/>
      <c r="F2635" s="26">
        <v>2347</v>
      </c>
      <c r="G2635" s="11" t="s">
        <v>53</v>
      </c>
      <c r="H2635" s="11" t="s">
        <v>2171</v>
      </c>
      <c r="I2635" s="12" t="s">
        <v>53</v>
      </c>
      <c r="J2635" s="11" t="s">
        <v>2805</v>
      </c>
    </row>
    <row r="2636" spans="1:10" s="10" customFormat="1" x14ac:dyDescent="0.25">
      <c r="A2636" s="21" t="s">
        <v>769</v>
      </c>
      <c r="D2636" s="25"/>
      <c r="E2636" s="11"/>
      <c r="F2636" s="26">
        <v>3005</v>
      </c>
      <c r="G2636" s="11" t="s">
        <v>4744</v>
      </c>
      <c r="H2636" s="11" t="s">
        <v>2171</v>
      </c>
      <c r="I2636" s="12" t="s">
        <v>4744</v>
      </c>
      <c r="J2636" s="11" t="s">
        <v>2805</v>
      </c>
    </row>
    <row r="2637" spans="1:10" s="10" customFormat="1" x14ac:dyDescent="0.25">
      <c r="A2637" s="21" t="s">
        <v>771</v>
      </c>
      <c r="D2637" s="25"/>
      <c r="E2637" s="11"/>
      <c r="F2637" s="26">
        <v>3015</v>
      </c>
      <c r="G2637" s="11" t="s">
        <v>772</v>
      </c>
      <c r="H2637" s="11" t="s">
        <v>2171</v>
      </c>
      <c r="I2637" s="12" t="s">
        <v>772</v>
      </c>
      <c r="J2637" s="11" t="s">
        <v>2805</v>
      </c>
    </row>
    <row r="2638" spans="1:10" s="10" customFormat="1" x14ac:dyDescent="0.25">
      <c r="A2638" s="21" t="s">
        <v>383</v>
      </c>
      <c r="D2638" s="25"/>
      <c r="E2638" s="11"/>
      <c r="F2638" s="26">
        <v>2136</v>
      </c>
      <c r="G2638" s="11" t="s">
        <v>384</v>
      </c>
      <c r="H2638" s="11" t="s">
        <v>2171</v>
      </c>
      <c r="I2638" s="12" t="s">
        <v>384</v>
      </c>
      <c r="J2638" s="11" t="s">
        <v>2805</v>
      </c>
    </row>
    <row r="2639" spans="1:10" s="10" customFormat="1" x14ac:dyDescent="0.25">
      <c r="A2639" s="21" t="s">
        <v>774</v>
      </c>
      <c r="D2639" s="25"/>
      <c r="E2639" s="11"/>
      <c r="F2639" s="26">
        <v>2452</v>
      </c>
      <c r="G2639" s="11" t="s">
        <v>775</v>
      </c>
      <c r="H2639" s="11" t="s">
        <v>2171</v>
      </c>
      <c r="I2639" s="12" t="s">
        <v>775</v>
      </c>
      <c r="J2639" s="11" t="s">
        <v>2805</v>
      </c>
    </row>
    <row r="2640" spans="1:10" s="10" customFormat="1" x14ac:dyDescent="0.25">
      <c r="A2640" s="21" t="s">
        <v>386</v>
      </c>
      <c r="D2640" s="25"/>
      <c r="E2640" s="11"/>
      <c r="F2640" s="26">
        <v>2185</v>
      </c>
      <c r="G2640" s="11" t="s">
        <v>387</v>
      </c>
      <c r="H2640" s="11" t="s">
        <v>2171</v>
      </c>
      <c r="I2640" s="12" t="s">
        <v>387</v>
      </c>
      <c r="J2640" s="11" t="s">
        <v>2805</v>
      </c>
    </row>
    <row r="2641" spans="1:10" s="10" customFormat="1" x14ac:dyDescent="0.25">
      <c r="A2641" s="21" t="s">
        <v>777</v>
      </c>
      <c r="D2641" s="25"/>
      <c r="E2641" s="11"/>
      <c r="F2641" s="26">
        <v>3089</v>
      </c>
      <c r="G2641" s="11" t="s">
        <v>778</v>
      </c>
      <c r="H2641" s="11" t="s">
        <v>2171</v>
      </c>
      <c r="I2641" s="12" t="s">
        <v>778</v>
      </c>
      <c r="J2641" s="11" t="s">
        <v>2805</v>
      </c>
    </row>
    <row r="2642" spans="1:10" s="10" customFormat="1" x14ac:dyDescent="0.25">
      <c r="A2642" s="21" t="s">
        <v>3365</v>
      </c>
      <c r="D2642" s="25"/>
      <c r="E2642" s="11"/>
      <c r="F2642" s="26">
        <v>3040</v>
      </c>
      <c r="G2642" s="11" t="s">
        <v>2289</v>
      </c>
      <c r="H2642" s="11" t="s">
        <v>2171</v>
      </c>
      <c r="I2642" s="12" t="s">
        <v>2289</v>
      </c>
      <c r="J2642" s="11" t="s">
        <v>2805</v>
      </c>
    </row>
    <row r="2643" spans="1:10" s="10" customFormat="1" x14ac:dyDescent="0.25">
      <c r="A2643" s="21" t="s">
        <v>389</v>
      </c>
      <c r="D2643" s="25"/>
      <c r="E2643" s="11"/>
      <c r="F2643" s="26">
        <v>2200</v>
      </c>
      <c r="G2643" s="11" t="s">
        <v>2749</v>
      </c>
      <c r="H2643" s="11" t="s">
        <v>2171</v>
      </c>
      <c r="I2643" s="12" t="s">
        <v>2749</v>
      </c>
      <c r="J2643" s="11" t="s">
        <v>2800</v>
      </c>
    </row>
    <row r="2644" spans="1:10" s="10" customFormat="1" x14ac:dyDescent="0.25">
      <c r="A2644" s="21" t="s">
        <v>3368</v>
      </c>
      <c r="D2644" s="25"/>
      <c r="E2644" s="11"/>
      <c r="F2644" s="26">
        <v>2449</v>
      </c>
      <c r="G2644" s="11" t="s">
        <v>3369</v>
      </c>
      <c r="H2644" s="11" t="s">
        <v>2171</v>
      </c>
      <c r="I2644" s="12" t="s">
        <v>3369</v>
      </c>
      <c r="J2644" s="11" t="s">
        <v>2805</v>
      </c>
    </row>
    <row r="2645" spans="1:10" s="10" customFormat="1" x14ac:dyDescent="0.25">
      <c r="A2645" s="21" t="s">
        <v>818</v>
      </c>
      <c r="D2645" s="25"/>
      <c r="E2645" s="11"/>
      <c r="F2645" s="26">
        <v>2447</v>
      </c>
      <c r="G2645" s="11" t="s">
        <v>794</v>
      </c>
      <c r="H2645" s="11" t="s">
        <v>2171</v>
      </c>
      <c r="I2645" s="12" t="s">
        <v>794</v>
      </c>
      <c r="J2645" s="11" t="s">
        <v>2805</v>
      </c>
    </row>
    <row r="2646" spans="1:10" s="10" customFormat="1" x14ac:dyDescent="0.25">
      <c r="A2646" s="21" t="s">
        <v>391</v>
      </c>
      <c r="D2646" s="25"/>
      <c r="E2646" s="11"/>
      <c r="F2646" s="26">
        <v>2617</v>
      </c>
      <c r="G2646" s="11" t="s">
        <v>392</v>
      </c>
      <c r="H2646" s="11" t="s">
        <v>2171</v>
      </c>
      <c r="I2646" s="12" t="s">
        <v>392</v>
      </c>
      <c r="J2646" s="11" t="s">
        <v>2805</v>
      </c>
    </row>
    <row r="2647" spans="1:10" s="10" customFormat="1" x14ac:dyDescent="0.25">
      <c r="A2647" s="21" t="s">
        <v>376</v>
      </c>
      <c r="D2647" s="25"/>
      <c r="E2647" s="11"/>
      <c r="F2647" s="26">
        <v>2174</v>
      </c>
      <c r="G2647" s="11" t="s">
        <v>377</v>
      </c>
      <c r="H2647" s="11" t="s">
        <v>2171</v>
      </c>
      <c r="I2647" s="12" t="s">
        <v>377</v>
      </c>
      <c r="J2647" s="11" t="s">
        <v>2805</v>
      </c>
    </row>
    <row r="2648" spans="1:10" s="10" customFormat="1" x14ac:dyDescent="0.25">
      <c r="A2648" s="21" t="s">
        <v>820</v>
      </c>
      <c r="D2648" s="25"/>
      <c r="E2648" s="11"/>
      <c r="F2648" s="26">
        <v>2258</v>
      </c>
      <c r="G2648" s="11" t="s">
        <v>824</v>
      </c>
      <c r="H2648" s="11" t="s">
        <v>2171</v>
      </c>
      <c r="I2648" s="12" t="s">
        <v>821</v>
      </c>
      <c r="J2648" s="11" t="s">
        <v>2805</v>
      </c>
    </row>
    <row r="2649" spans="1:10" s="10" customFormat="1" x14ac:dyDescent="0.25">
      <c r="A2649" s="21" t="s">
        <v>825</v>
      </c>
      <c r="D2649" s="25"/>
      <c r="E2649" s="11"/>
      <c r="F2649" s="26">
        <v>2405</v>
      </c>
      <c r="G2649" s="11" t="s">
        <v>826</v>
      </c>
      <c r="H2649" s="11" t="s">
        <v>2171</v>
      </c>
      <c r="I2649" s="12" t="s">
        <v>826</v>
      </c>
      <c r="J2649" s="11" t="s">
        <v>2805</v>
      </c>
    </row>
    <row r="2650" spans="1:10" s="10" customFormat="1" x14ac:dyDescent="0.25">
      <c r="A2650" s="21" t="s">
        <v>3041</v>
      </c>
      <c r="D2650" s="25"/>
      <c r="E2650" s="11"/>
      <c r="F2650" s="26">
        <v>3000</v>
      </c>
      <c r="G2650" s="11" t="s">
        <v>2171</v>
      </c>
      <c r="H2650" s="11" t="s">
        <v>2171</v>
      </c>
      <c r="I2650" s="12" t="s">
        <v>3042</v>
      </c>
      <c r="J2650" s="11" t="s">
        <v>2805</v>
      </c>
    </row>
    <row r="2651" spans="1:10" s="10" customFormat="1" x14ac:dyDescent="0.25">
      <c r="A2651" s="21" t="s">
        <v>2638</v>
      </c>
      <c r="D2651" s="25"/>
      <c r="E2651" s="11"/>
      <c r="F2651" s="26">
        <v>3000</v>
      </c>
      <c r="G2651" s="11" t="s">
        <v>2171</v>
      </c>
      <c r="H2651" s="11" t="s">
        <v>2171</v>
      </c>
      <c r="I2651" s="12" t="s">
        <v>2639</v>
      </c>
      <c r="J2651" s="11" t="s">
        <v>2800</v>
      </c>
    </row>
    <row r="2652" spans="1:10" s="10" customFormat="1" x14ac:dyDescent="0.25">
      <c r="A2652" s="21" t="s">
        <v>4237</v>
      </c>
      <c r="D2652" s="25"/>
      <c r="E2652" s="11"/>
      <c r="F2652" s="26">
        <v>3000</v>
      </c>
      <c r="G2652" s="11" t="s">
        <v>2171</v>
      </c>
      <c r="H2652" s="11" t="s">
        <v>2171</v>
      </c>
      <c r="I2652" s="12" t="s">
        <v>2171</v>
      </c>
      <c r="J2652" s="11" t="s">
        <v>2800</v>
      </c>
    </row>
    <row r="2653" spans="1:10" s="10" customFormat="1" x14ac:dyDescent="0.25">
      <c r="A2653" s="21" t="s">
        <v>4239</v>
      </c>
      <c r="D2653" s="25"/>
      <c r="E2653" s="11"/>
      <c r="F2653" s="26">
        <v>3000</v>
      </c>
      <c r="G2653" s="11" t="s">
        <v>2171</v>
      </c>
      <c r="H2653" s="11" t="s">
        <v>2171</v>
      </c>
      <c r="I2653" s="12" t="s">
        <v>3741</v>
      </c>
      <c r="J2653" s="11" t="s">
        <v>2805</v>
      </c>
    </row>
    <row r="2654" spans="1:10" s="10" customFormat="1" x14ac:dyDescent="0.25">
      <c r="A2654" s="21" t="s">
        <v>4241</v>
      </c>
      <c r="D2654" s="25"/>
      <c r="E2654" s="11"/>
      <c r="F2654" s="26">
        <v>3002</v>
      </c>
      <c r="G2654" s="11" t="s">
        <v>2171</v>
      </c>
      <c r="H2654" s="11" t="s">
        <v>2171</v>
      </c>
      <c r="I2654" s="12" t="s">
        <v>3744</v>
      </c>
      <c r="J2654" s="11" t="s">
        <v>2805</v>
      </c>
    </row>
    <row r="2655" spans="1:10" s="10" customFormat="1" x14ac:dyDescent="0.25">
      <c r="A2655" s="21" t="s">
        <v>4244</v>
      </c>
      <c r="D2655" s="25"/>
      <c r="E2655" s="11"/>
      <c r="F2655" s="26">
        <v>3002</v>
      </c>
      <c r="G2655" s="11" t="s">
        <v>2171</v>
      </c>
      <c r="H2655" s="11" t="s">
        <v>2171</v>
      </c>
      <c r="I2655" s="12" t="s">
        <v>3748</v>
      </c>
      <c r="J2655" s="11" t="s">
        <v>2800</v>
      </c>
    </row>
    <row r="2656" spans="1:10" s="10" customFormat="1" x14ac:dyDescent="0.25">
      <c r="A2656" s="21" t="s">
        <v>4246</v>
      </c>
      <c r="D2656" s="25"/>
      <c r="E2656" s="11"/>
      <c r="F2656" s="26">
        <v>3000</v>
      </c>
      <c r="G2656" s="11" t="s">
        <v>2171</v>
      </c>
      <c r="H2656" s="11" t="s">
        <v>2171</v>
      </c>
      <c r="I2656" s="12" t="s">
        <v>1168</v>
      </c>
      <c r="J2656" s="11" t="s">
        <v>2805</v>
      </c>
    </row>
    <row r="2657" spans="1:10" s="10" customFormat="1" x14ac:dyDescent="0.25">
      <c r="A2657" s="21" t="s">
        <v>4248</v>
      </c>
      <c r="D2657" s="25"/>
      <c r="E2657" s="11"/>
      <c r="F2657" s="26">
        <v>3004</v>
      </c>
      <c r="G2657" s="11" t="s">
        <v>2171</v>
      </c>
      <c r="H2657" s="11" t="s">
        <v>2171</v>
      </c>
      <c r="I2657" s="12" t="s">
        <v>4284</v>
      </c>
      <c r="J2657" s="11" t="s">
        <v>2805</v>
      </c>
    </row>
    <row r="2658" spans="1:10" s="10" customFormat="1" x14ac:dyDescent="0.25">
      <c r="A2658" s="21" t="s">
        <v>4286</v>
      </c>
      <c r="D2658" s="25"/>
      <c r="E2658" s="11"/>
      <c r="F2658" s="26">
        <v>3002</v>
      </c>
      <c r="G2658" s="11" t="s">
        <v>2171</v>
      </c>
      <c r="H2658" s="11" t="s">
        <v>2171</v>
      </c>
      <c r="I2658" s="12" t="s">
        <v>4287</v>
      </c>
      <c r="J2658" s="11" t="s">
        <v>2805</v>
      </c>
    </row>
    <row r="2659" spans="1:10" s="10" customFormat="1" x14ac:dyDescent="0.25">
      <c r="A2659" s="21" t="s">
        <v>4289</v>
      </c>
      <c r="D2659" s="25"/>
      <c r="E2659" s="11"/>
      <c r="F2659" s="26">
        <v>3004</v>
      </c>
      <c r="G2659" s="11" t="s">
        <v>2171</v>
      </c>
      <c r="H2659" s="11" t="s">
        <v>2171</v>
      </c>
      <c r="I2659" s="12" t="s">
        <v>4290</v>
      </c>
      <c r="J2659" s="11" t="s">
        <v>2805</v>
      </c>
    </row>
    <row r="2660" spans="1:10" s="10" customFormat="1" x14ac:dyDescent="0.25">
      <c r="A2660" s="21" t="s">
        <v>4293</v>
      </c>
      <c r="D2660" s="25"/>
      <c r="E2660" s="11"/>
      <c r="F2660" s="26">
        <v>3006</v>
      </c>
      <c r="G2660" s="11" t="s">
        <v>2171</v>
      </c>
      <c r="H2660" s="11" t="s">
        <v>2171</v>
      </c>
      <c r="I2660" s="12" t="s">
        <v>4294</v>
      </c>
      <c r="J2660" s="11" t="s">
        <v>2805</v>
      </c>
    </row>
    <row r="2661" spans="1:10" s="10" customFormat="1" x14ac:dyDescent="0.25">
      <c r="A2661" s="21" t="s">
        <v>394</v>
      </c>
      <c r="D2661" s="25"/>
      <c r="E2661" s="11"/>
      <c r="F2661" s="26">
        <v>2605</v>
      </c>
      <c r="G2661" s="11" t="s">
        <v>395</v>
      </c>
      <c r="H2661" s="11" t="s">
        <v>2171</v>
      </c>
      <c r="I2661" s="12" t="s">
        <v>395</v>
      </c>
      <c r="J2661" s="11" t="s">
        <v>2805</v>
      </c>
    </row>
    <row r="2662" spans="1:10" s="10" customFormat="1" x14ac:dyDescent="0.25">
      <c r="A2662" s="21" t="s">
        <v>829</v>
      </c>
      <c r="D2662" s="25"/>
      <c r="E2662" s="11"/>
      <c r="F2662" s="26">
        <v>3022</v>
      </c>
      <c r="G2662" s="11" t="s">
        <v>831</v>
      </c>
      <c r="H2662" s="11" t="s">
        <v>2171</v>
      </c>
      <c r="I2662" s="12" t="s">
        <v>1894</v>
      </c>
      <c r="J2662" s="11" t="s">
        <v>2805</v>
      </c>
    </row>
    <row r="2663" spans="1:10" s="10" customFormat="1" x14ac:dyDescent="0.25">
      <c r="A2663" s="21" t="s">
        <v>397</v>
      </c>
      <c r="D2663" s="25"/>
      <c r="E2663" s="11"/>
      <c r="F2663" s="26">
        <v>2111</v>
      </c>
      <c r="G2663" s="11" t="s">
        <v>398</v>
      </c>
      <c r="H2663" s="11" t="s">
        <v>2171</v>
      </c>
      <c r="I2663" s="12" t="s">
        <v>398</v>
      </c>
      <c r="J2663" s="11" t="s">
        <v>2805</v>
      </c>
    </row>
    <row r="2664" spans="1:10" s="10" customFormat="1" x14ac:dyDescent="0.25">
      <c r="A2664" s="21" t="s">
        <v>832</v>
      </c>
      <c r="D2664" s="25"/>
      <c r="E2664" s="11"/>
      <c r="F2664" s="26">
        <v>3016</v>
      </c>
      <c r="G2664" s="11" t="s">
        <v>833</v>
      </c>
      <c r="H2664" s="11" t="s">
        <v>2171</v>
      </c>
      <c r="I2664" s="12" t="s">
        <v>833</v>
      </c>
      <c r="J2664" s="11" t="s">
        <v>2800</v>
      </c>
    </row>
    <row r="2665" spans="1:10" s="10" customFormat="1" x14ac:dyDescent="0.25">
      <c r="A2665" s="21" t="s">
        <v>835</v>
      </c>
      <c r="D2665" s="25"/>
      <c r="E2665" s="11"/>
      <c r="F2665" s="26">
        <v>3024</v>
      </c>
      <c r="G2665" s="11" t="s">
        <v>4655</v>
      </c>
      <c r="H2665" s="11" t="s">
        <v>2171</v>
      </c>
      <c r="I2665" s="12" t="s">
        <v>4655</v>
      </c>
      <c r="J2665" s="11" t="s">
        <v>2805</v>
      </c>
    </row>
    <row r="2666" spans="1:10" s="10" customFormat="1" x14ac:dyDescent="0.25">
      <c r="A2666" s="21" t="s">
        <v>837</v>
      </c>
      <c r="D2666" s="25"/>
      <c r="E2666" s="11"/>
      <c r="F2666" s="26">
        <v>2440</v>
      </c>
      <c r="G2666" s="11" t="s">
        <v>838</v>
      </c>
      <c r="H2666" s="11" t="s">
        <v>2171</v>
      </c>
      <c r="I2666" s="12" t="s">
        <v>838</v>
      </c>
      <c r="J2666" s="11" t="s">
        <v>2805</v>
      </c>
    </row>
    <row r="2667" spans="1:10" s="10" customFormat="1" x14ac:dyDescent="0.25">
      <c r="A2667" s="21" t="s">
        <v>401</v>
      </c>
      <c r="D2667" s="25"/>
      <c r="E2667" s="11"/>
      <c r="F2667" s="26">
        <v>2216</v>
      </c>
      <c r="G2667" s="11" t="s">
        <v>402</v>
      </c>
      <c r="H2667" s="11" t="s">
        <v>2171</v>
      </c>
      <c r="I2667" s="12" t="s">
        <v>402</v>
      </c>
      <c r="J2667" s="11" t="s">
        <v>2805</v>
      </c>
    </row>
    <row r="2668" spans="1:10" s="10" customFormat="1" x14ac:dyDescent="0.25">
      <c r="A2668" s="21" t="s">
        <v>841</v>
      </c>
      <c r="D2668" s="25"/>
      <c r="E2668" s="11"/>
      <c r="F2668" s="26">
        <v>2349</v>
      </c>
      <c r="G2668" s="11" t="s">
        <v>842</v>
      </c>
      <c r="H2668" s="11" t="s">
        <v>2171</v>
      </c>
      <c r="I2668" s="12" t="s">
        <v>842</v>
      </c>
      <c r="J2668" s="11" t="s">
        <v>2805</v>
      </c>
    </row>
    <row r="2669" spans="1:10" s="10" customFormat="1" x14ac:dyDescent="0.25">
      <c r="A2669" s="21" t="s">
        <v>844</v>
      </c>
      <c r="D2669" s="25"/>
      <c r="E2669" s="11"/>
      <c r="F2669" s="26">
        <v>2322</v>
      </c>
      <c r="G2669" s="11" t="s">
        <v>845</v>
      </c>
      <c r="H2669" s="11" t="s">
        <v>2171</v>
      </c>
      <c r="I2669" s="12" t="s">
        <v>845</v>
      </c>
      <c r="J2669" s="11" t="s">
        <v>2800</v>
      </c>
    </row>
    <row r="2670" spans="1:10" s="10" customFormat="1" x14ac:dyDescent="0.25">
      <c r="A2670" s="21" t="s">
        <v>2599</v>
      </c>
      <c r="D2670" s="25"/>
      <c r="E2670" s="11"/>
      <c r="F2670" s="26">
        <v>2324</v>
      </c>
      <c r="G2670" s="11" t="s">
        <v>2600</v>
      </c>
      <c r="H2670" s="11" t="s">
        <v>2171</v>
      </c>
      <c r="I2670" s="12" t="s">
        <v>2600</v>
      </c>
      <c r="J2670" s="11" t="s">
        <v>2805</v>
      </c>
    </row>
    <row r="2671" spans="1:10" s="10" customFormat="1" x14ac:dyDescent="0.25">
      <c r="A2671" s="21" t="s">
        <v>404</v>
      </c>
      <c r="D2671" s="25"/>
      <c r="E2671" s="11"/>
      <c r="F2671" s="26">
        <v>6009</v>
      </c>
      <c r="G2671" s="11" t="s">
        <v>405</v>
      </c>
      <c r="H2671" s="11" t="s">
        <v>2171</v>
      </c>
      <c r="I2671" s="12" t="s">
        <v>405</v>
      </c>
      <c r="J2671" s="11" t="s">
        <v>2805</v>
      </c>
    </row>
    <row r="2672" spans="1:10" s="10" customFormat="1" x14ac:dyDescent="0.25">
      <c r="A2672" s="21" t="s">
        <v>407</v>
      </c>
      <c r="D2672" s="25"/>
      <c r="E2672" s="11"/>
      <c r="F2672" s="26">
        <v>2204</v>
      </c>
      <c r="G2672" s="11" t="s">
        <v>408</v>
      </c>
      <c r="H2672" s="11" t="s">
        <v>2171</v>
      </c>
      <c r="I2672" s="12" t="s">
        <v>408</v>
      </c>
      <c r="J2672" s="11" t="s">
        <v>2805</v>
      </c>
    </row>
    <row r="2673" spans="1:10" s="10" customFormat="1" x14ac:dyDescent="0.25">
      <c r="A2673" s="21" t="s">
        <v>411</v>
      </c>
      <c r="D2673" s="25"/>
      <c r="E2673" s="11"/>
      <c r="F2673" s="26">
        <v>2512</v>
      </c>
      <c r="G2673" s="11" t="s">
        <v>412</v>
      </c>
      <c r="H2673" s="11" t="s">
        <v>2171</v>
      </c>
      <c r="I2673" s="12" t="s">
        <v>412</v>
      </c>
      <c r="J2673" s="11" t="s">
        <v>2805</v>
      </c>
    </row>
    <row r="2674" spans="1:10" s="10" customFormat="1" x14ac:dyDescent="0.25">
      <c r="A2674" s="21" t="s">
        <v>2602</v>
      </c>
      <c r="D2674" s="25"/>
      <c r="E2674" s="11"/>
      <c r="F2674" s="26">
        <v>3060</v>
      </c>
      <c r="G2674" s="11" t="s">
        <v>2603</v>
      </c>
      <c r="H2674" s="11" t="s">
        <v>2171</v>
      </c>
      <c r="I2674" s="12" t="s">
        <v>2603</v>
      </c>
      <c r="J2674" s="11" t="s">
        <v>2805</v>
      </c>
    </row>
    <row r="2675" spans="1:10" s="10" customFormat="1" x14ac:dyDescent="0.25">
      <c r="A2675" s="21" t="s">
        <v>414</v>
      </c>
      <c r="D2675" s="25"/>
      <c r="E2675" s="11"/>
      <c r="F2675" s="26">
        <v>2144</v>
      </c>
      <c r="G2675" s="11" t="s">
        <v>3012</v>
      </c>
      <c r="H2675" s="11" t="s">
        <v>2171</v>
      </c>
      <c r="I2675" s="12" t="s">
        <v>3012</v>
      </c>
      <c r="J2675" s="11" t="s">
        <v>2805</v>
      </c>
    </row>
    <row r="2676" spans="1:10" s="10" customFormat="1" x14ac:dyDescent="0.25">
      <c r="A2676" s="21" t="s">
        <v>3014</v>
      </c>
      <c r="D2676" s="25"/>
      <c r="E2676" s="11"/>
      <c r="F2676" s="26">
        <v>2600</v>
      </c>
      <c r="G2676" s="11" t="s">
        <v>3015</v>
      </c>
      <c r="H2676" s="11" t="s">
        <v>2171</v>
      </c>
      <c r="I2676" s="12" t="s">
        <v>3015</v>
      </c>
      <c r="J2676" s="11" t="s">
        <v>2800</v>
      </c>
    </row>
    <row r="2677" spans="1:10" s="10" customFormat="1" x14ac:dyDescent="0.25">
      <c r="A2677" s="21" t="s">
        <v>2605</v>
      </c>
      <c r="D2677" s="25"/>
      <c r="E2677" s="11"/>
      <c r="F2677" s="26">
        <v>3550</v>
      </c>
      <c r="G2677" s="11" t="s">
        <v>2606</v>
      </c>
      <c r="H2677" s="11" t="s">
        <v>2171</v>
      </c>
      <c r="I2677" s="12" t="s">
        <v>2606</v>
      </c>
      <c r="J2677" s="11" t="s">
        <v>2805</v>
      </c>
    </row>
    <row r="2678" spans="1:10" s="10" customFormat="1" x14ac:dyDescent="0.25">
      <c r="A2678" s="21" t="s">
        <v>2608</v>
      </c>
      <c r="D2678" s="25"/>
      <c r="E2678" s="11"/>
      <c r="F2678" s="26">
        <v>3054</v>
      </c>
      <c r="G2678" s="11" t="s">
        <v>2609</v>
      </c>
      <c r="H2678" s="11" t="s">
        <v>2171</v>
      </c>
      <c r="I2678" s="12" t="s">
        <v>2609</v>
      </c>
      <c r="J2678" s="11" t="s">
        <v>2805</v>
      </c>
    </row>
    <row r="2679" spans="1:10" s="10" customFormat="1" x14ac:dyDescent="0.25">
      <c r="A2679" s="21" t="s">
        <v>2612</v>
      </c>
      <c r="D2679" s="25"/>
      <c r="E2679" s="11"/>
      <c r="F2679" s="26">
        <v>3048</v>
      </c>
      <c r="G2679" s="11" t="s">
        <v>2613</v>
      </c>
      <c r="H2679" s="11" t="s">
        <v>2171</v>
      </c>
      <c r="I2679" s="12" t="s">
        <v>2613</v>
      </c>
      <c r="J2679" s="11" t="s">
        <v>2805</v>
      </c>
    </row>
    <row r="2680" spans="1:10" s="10" customFormat="1" x14ac:dyDescent="0.25">
      <c r="A2680" s="21" t="s">
        <v>2615</v>
      </c>
      <c r="D2680" s="25"/>
      <c r="E2680" s="11"/>
      <c r="F2680" s="26">
        <v>2306</v>
      </c>
      <c r="G2680" s="11" t="s">
        <v>2616</v>
      </c>
      <c r="H2680" s="11" t="s">
        <v>2171</v>
      </c>
      <c r="I2680" s="12" t="s">
        <v>2616</v>
      </c>
      <c r="J2680" s="11" t="s">
        <v>2805</v>
      </c>
    </row>
    <row r="2681" spans="1:10" s="10" customFormat="1" x14ac:dyDescent="0.25">
      <c r="A2681" s="21" t="s">
        <v>2618</v>
      </c>
      <c r="D2681" s="25"/>
      <c r="E2681" s="11"/>
      <c r="F2681" s="26">
        <v>3583</v>
      </c>
      <c r="G2681" s="11" t="s">
        <v>2619</v>
      </c>
      <c r="H2681" s="11" t="s">
        <v>2171</v>
      </c>
      <c r="I2681" s="12" t="s">
        <v>2619</v>
      </c>
      <c r="J2681" s="11" t="s">
        <v>2805</v>
      </c>
    </row>
    <row r="2682" spans="1:10" s="10" customFormat="1" x14ac:dyDescent="0.25">
      <c r="A2682" s="21" t="s">
        <v>3017</v>
      </c>
      <c r="D2682" s="25"/>
      <c r="E2682" s="11"/>
      <c r="F2682" s="26">
        <v>2607</v>
      </c>
      <c r="G2682" s="11" t="s">
        <v>3018</v>
      </c>
      <c r="H2682" s="11" t="s">
        <v>2171</v>
      </c>
      <c r="I2682" s="12" t="s">
        <v>3018</v>
      </c>
      <c r="J2682" s="11" t="s">
        <v>2805</v>
      </c>
    </row>
    <row r="2683" spans="1:10" s="10" customFormat="1" x14ac:dyDescent="0.25">
      <c r="A2683" s="21" t="s">
        <v>3020</v>
      </c>
      <c r="D2683" s="25"/>
      <c r="E2683" s="11"/>
      <c r="F2683" s="26">
        <v>2919</v>
      </c>
      <c r="G2683" s="11" t="s">
        <v>3021</v>
      </c>
      <c r="H2683" s="11" t="s">
        <v>2171</v>
      </c>
      <c r="I2683" s="12" t="s">
        <v>3021</v>
      </c>
      <c r="J2683" s="11" t="s">
        <v>2800</v>
      </c>
    </row>
    <row r="2684" spans="1:10" s="10" customFormat="1" x14ac:dyDescent="0.25">
      <c r="A2684" s="21" t="s">
        <v>3023</v>
      </c>
      <c r="D2684" s="25"/>
      <c r="E2684" s="11"/>
      <c r="F2684" s="26">
        <v>2503</v>
      </c>
      <c r="G2684" s="11" t="s">
        <v>3024</v>
      </c>
      <c r="H2684" s="11" t="s">
        <v>2171</v>
      </c>
      <c r="I2684" s="12" t="s">
        <v>3024</v>
      </c>
      <c r="J2684" s="11" t="s">
        <v>2805</v>
      </c>
    </row>
    <row r="2685" spans="1:10" s="10" customFormat="1" x14ac:dyDescent="0.25">
      <c r="A2685" s="21" t="s">
        <v>3027</v>
      </c>
      <c r="D2685" s="25"/>
      <c r="E2685" s="11"/>
      <c r="F2685" s="26">
        <v>2124</v>
      </c>
      <c r="G2685" s="11" t="s">
        <v>3031</v>
      </c>
      <c r="H2685" s="11" t="s">
        <v>2171</v>
      </c>
      <c r="I2685" s="12" t="s">
        <v>3028</v>
      </c>
      <c r="J2685" s="11" t="s">
        <v>2805</v>
      </c>
    </row>
    <row r="2686" spans="1:10" s="10" customFormat="1" x14ac:dyDescent="0.25">
      <c r="A2686" s="21" t="s">
        <v>2621</v>
      </c>
      <c r="D2686" s="25"/>
      <c r="E2686" s="11"/>
      <c r="F2686" s="26">
        <v>3589</v>
      </c>
      <c r="G2686" s="11" t="s">
        <v>2622</v>
      </c>
      <c r="H2686" s="11" t="s">
        <v>2171</v>
      </c>
      <c r="I2686" s="12" t="s">
        <v>2622</v>
      </c>
      <c r="J2686" s="11" t="s">
        <v>2805</v>
      </c>
    </row>
    <row r="2687" spans="1:10" s="10" customFormat="1" x14ac:dyDescent="0.25">
      <c r="A2687" s="21" t="s">
        <v>2632</v>
      </c>
      <c r="D2687" s="25"/>
      <c r="E2687" s="11"/>
      <c r="F2687" s="26">
        <v>3061</v>
      </c>
      <c r="G2687" s="11" t="s">
        <v>2633</v>
      </c>
      <c r="H2687" s="11" t="s">
        <v>2171</v>
      </c>
      <c r="I2687" s="12" t="s">
        <v>2633</v>
      </c>
      <c r="J2687" s="11" t="s">
        <v>2805</v>
      </c>
    </row>
    <row r="2688" spans="1:10" s="10" customFormat="1" x14ac:dyDescent="0.25">
      <c r="A2688" s="21" t="s">
        <v>3032</v>
      </c>
      <c r="D2688" s="25"/>
      <c r="E2688" s="11"/>
      <c r="F2688" s="26">
        <v>2175</v>
      </c>
      <c r="G2688" s="11" t="s">
        <v>3033</v>
      </c>
      <c r="H2688" s="11" t="s">
        <v>2171</v>
      </c>
      <c r="I2688" s="12" t="s">
        <v>3033</v>
      </c>
      <c r="J2688" s="11" t="s">
        <v>2805</v>
      </c>
    </row>
    <row r="2689" spans="1:10" s="10" customFormat="1" x14ac:dyDescent="0.25">
      <c r="A2689" s="21" t="s">
        <v>2625</v>
      </c>
      <c r="D2689" s="25"/>
      <c r="E2689" s="11"/>
      <c r="F2689" s="26">
        <v>3580</v>
      </c>
      <c r="G2689" s="11" t="s">
        <v>2626</v>
      </c>
      <c r="H2689" s="11" t="s">
        <v>2171</v>
      </c>
      <c r="I2689" s="12" t="s">
        <v>2626</v>
      </c>
      <c r="J2689" s="11" t="s">
        <v>2805</v>
      </c>
    </row>
    <row r="2690" spans="1:10" s="10" customFormat="1" x14ac:dyDescent="0.25">
      <c r="A2690" s="21" t="s">
        <v>2628</v>
      </c>
      <c r="D2690" s="25"/>
      <c r="E2690" s="11"/>
      <c r="F2690" s="26">
        <v>2345</v>
      </c>
      <c r="G2690" s="11" t="s">
        <v>2629</v>
      </c>
      <c r="H2690" s="11" t="s">
        <v>2171</v>
      </c>
      <c r="I2690" s="12" t="s">
        <v>2629</v>
      </c>
      <c r="J2690" s="11" t="s">
        <v>2805</v>
      </c>
    </row>
    <row r="2691" spans="1:10" s="10" customFormat="1" x14ac:dyDescent="0.25">
      <c r="A2691" s="21" t="s">
        <v>3035</v>
      </c>
      <c r="D2691" s="25"/>
      <c r="E2691" s="11"/>
      <c r="F2691" s="26">
        <v>2722</v>
      </c>
      <c r="G2691" s="11" t="s">
        <v>3036</v>
      </c>
      <c r="H2691" s="11" t="s">
        <v>2171</v>
      </c>
      <c r="I2691" s="12" t="s">
        <v>3036</v>
      </c>
      <c r="J2691" s="11" t="s">
        <v>2805</v>
      </c>
    </row>
    <row r="2692" spans="1:10" s="10" customFormat="1" x14ac:dyDescent="0.25">
      <c r="A2692" s="21" t="s">
        <v>3038</v>
      </c>
      <c r="D2692" s="25"/>
      <c r="E2692" s="11"/>
      <c r="F2692" s="26">
        <v>2125</v>
      </c>
      <c r="G2692" s="11" t="s">
        <v>3039</v>
      </c>
      <c r="H2692" s="11" t="s">
        <v>2171</v>
      </c>
      <c r="I2692" s="12" t="s">
        <v>3039</v>
      </c>
      <c r="J2692" s="11" t="s">
        <v>2805</v>
      </c>
    </row>
    <row r="2693" spans="1:10" s="10" customFormat="1" x14ac:dyDescent="0.25">
      <c r="A2693" s="21" t="s">
        <v>2635</v>
      </c>
      <c r="D2693" s="25"/>
      <c r="E2693" s="11"/>
      <c r="F2693" s="26">
        <v>2409</v>
      </c>
      <c r="G2693" s="11" t="s">
        <v>2636</v>
      </c>
      <c r="H2693" s="11" t="s">
        <v>2171</v>
      </c>
      <c r="I2693" s="12" t="s">
        <v>2636</v>
      </c>
      <c r="J2693" s="11" t="s">
        <v>2805</v>
      </c>
    </row>
    <row r="2694" spans="1:10" s="10" customFormat="1" x14ac:dyDescent="0.25">
      <c r="A2694" s="21" t="s">
        <v>3868</v>
      </c>
      <c r="D2694" s="25"/>
      <c r="E2694" s="11"/>
      <c r="F2694" s="26">
        <v>3760</v>
      </c>
      <c r="G2694" s="11" t="s">
        <v>3869</v>
      </c>
      <c r="H2694" s="11" t="s">
        <v>3867</v>
      </c>
      <c r="I2694" s="12" t="s">
        <v>3869</v>
      </c>
      <c r="J2694" s="11" t="s">
        <v>2805</v>
      </c>
    </row>
    <row r="2695" spans="1:10" s="10" customFormat="1" x14ac:dyDescent="0.25">
      <c r="A2695" s="21" t="s">
        <v>3871</v>
      </c>
      <c r="D2695" s="25"/>
      <c r="E2695" s="11"/>
      <c r="F2695" s="26">
        <v>3064</v>
      </c>
      <c r="G2695" s="11" t="s">
        <v>3872</v>
      </c>
      <c r="H2695" s="11" t="s">
        <v>3867</v>
      </c>
      <c r="I2695" s="12" t="s">
        <v>3872</v>
      </c>
      <c r="J2695" s="11" t="s">
        <v>2805</v>
      </c>
    </row>
    <row r="2696" spans="1:10" s="10" customFormat="1" x14ac:dyDescent="0.25">
      <c r="A2696" s="21" t="s">
        <v>3874</v>
      </c>
      <c r="D2696" s="25"/>
      <c r="E2696" s="11"/>
      <c r="F2696" s="26">
        <v>4308</v>
      </c>
      <c r="G2696" s="11" t="s">
        <v>1395</v>
      </c>
      <c r="H2696" s="11" t="s">
        <v>3867</v>
      </c>
      <c r="I2696" s="12" t="s">
        <v>1395</v>
      </c>
      <c r="J2696" s="11" t="s">
        <v>2805</v>
      </c>
    </row>
    <row r="2697" spans="1:10" s="10" customFormat="1" x14ac:dyDescent="0.25">
      <c r="A2697" s="21" t="s">
        <v>1397</v>
      </c>
      <c r="D2697" s="25"/>
      <c r="E2697" s="11"/>
      <c r="F2697" s="26">
        <v>4313</v>
      </c>
      <c r="G2697" s="11" t="s">
        <v>3146</v>
      </c>
      <c r="H2697" s="11" t="s">
        <v>3867</v>
      </c>
      <c r="I2697" s="12" t="s">
        <v>3146</v>
      </c>
      <c r="J2697" s="11" t="s">
        <v>2805</v>
      </c>
    </row>
    <row r="2698" spans="1:10" s="10" customFormat="1" x14ac:dyDescent="0.25">
      <c r="A2698" s="21" t="s">
        <v>3149</v>
      </c>
      <c r="D2698" s="25"/>
      <c r="E2698" s="11"/>
      <c r="F2698" s="26">
        <v>3747</v>
      </c>
      <c r="G2698" s="11" t="s">
        <v>3150</v>
      </c>
      <c r="H2698" s="11" t="s">
        <v>3867</v>
      </c>
      <c r="I2698" s="12" t="s">
        <v>3150</v>
      </c>
      <c r="J2698" s="11" t="s">
        <v>2805</v>
      </c>
    </row>
    <row r="2699" spans="1:10" s="10" customFormat="1" x14ac:dyDescent="0.25">
      <c r="A2699" s="21" t="s">
        <v>3152</v>
      </c>
      <c r="D2699" s="25"/>
      <c r="E2699" s="11"/>
      <c r="F2699" s="26">
        <v>4233</v>
      </c>
      <c r="G2699" s="11" t="s">
        <v>3153</v>
      </c>
      <c r="H2699" s="11" t="s">
        <v>3867</v>
      </c>
      <c r="I2699" s="12" t="s">
        <v>3153</v>
      </c>
      <c r="J2699" s="11" t="s">
        <v>2805</v>
      </c>
    </row>
    <row r="2700" spans="1:10" s="10" customFormat="1" x14ac:dyDescent="0.25">
      <c r="A2700" s="21" t="s">
        <v>3156</v>
      </c>
      <c r="D2700" s="25"/>
      <c r="E2700" s="11"/>
      <c r="F2700" s="26">
        <v>4338</v>
      </c>
      <c r="G2700" s="11" t="s">
        <v>3157</v>
      </c>
      <c r="H2700" s="11" t="s">
        <v>3867</v>
      </c>
      <c r="I2700" s="12" t="s">
        <v>3157</v>
      </c>
      <c r="J2700" s="11" t="s">
        <v>2805</v>
      </c>
    </row>
    <row r="2701" spans="1:10" s="10" customFormat="1" x14ac:dyDescent="0.25">
      <c r="A2701" s="21" t="s">
        <v>3160</v>
      </c>
      <c r="D2701" s="25"/>
      <c r="E2701" s="11"/>
      <c r="F2701" s="26">
        <v>4332</v>
      </c>
      <c r="G2701" s="11" t="s">
        <v>3161</v>
      </c>
      <c r="H2701" s="11" t="s">
        <v>3867</v>
      </c>
      <c r="I2701" s="12" t="s">
        <v>3161</v>
      </c>
      <c r="J2701" s="11" t="s">
        <v>2805</v>
      </c>
    </row>
    <row r="2702" spans="1:10" s="10" customFormat="1" x14ac:dyDescent="0.25">
      <c r="A2702" s="21" t="s">
        <v>3163</v>
      </c>
      <c r="D2702" s="25"/>
      <c r="E2702" s="11"/>
      <c r="F2702" s="26">
        <v>4322</v>
      </c>
      <c r="G2702" s="11" t="s">
        <v>3164</v>
      </c>
      <c r="H2702" s="11" t="s">
        <v>3867</v>
      </c>
      <c r="I2702" s="12" t="s">
        <v>3164</v>
      </c>
      <c r="J2702" s="11" t="s">
        <v>2805</v>
      </c>
    </row>
    <row r="2703" spans="1:10" s="10" customFormat="1" x14ac:dyDescent="0.25">
      <c r="A2703" s="21" t="s">
        <v>3166</v>
      </c>
      <c r="D2703" s="25"/>
      <c r="E2703" s="11"/>
      <c r="F2703" s="26">
        <v>4230</v>
      </c>
      <c r="G2703" s="11" t="s">
        <v>3167</v>
      </c>
      <c r="H2703" s="11" t="s">
        <v>3867</v>
      </c>
      <c r="I2703" s="12" t="s">
        <v>3167</v>
      </c>
      <c r="J2703" s="11" t="s">
        <v>2805</v>
      </c>
    </row>
    <row r="2704" spans="1:10" s="10" customFormat="1" x14ac:dyDescent="0.25">
      <c r="A2704" s="21" t="s">
        <v>3174</v>
      </c>
      <c r="D2704" s="25"/>
      <c r="E2704" s="11"/>
      <c r="F2704" s="26">
        <v>3062</v>
      </c>
      <c r="G2704" s="11" t="s">
        <v>3175</v>
      </c>
      <c r="H2704" s="11" t="s">
        <v>3867</v>
      </c>
      <c r="I2704" s="12" t="s">
        <v>3175</v>
      </c>
      <c r="J2704" s="11" t="s">
        <v>2805</v>
      </c>
    </row>
    <row r="2705" spans="1:10" s="10" customFormat="1" x14ac:dyDescent="0.25">
      <c r="A2705" s="21" t="s">
        <v>3177</v>
      </c>
      <c r="D2705" s="25"/>
      <c r="E2705" s="11"/>
      <c r="F2705" s="26">
        <v>4334</v>
      </c>
      <c r="G2705" s="11" t="s">
        <v>3178</v>
      </c>
      <c r="H2705" s="11" t="s">
        <v>3867</v>
      </c>
      <c r="I2705" s="12" t="s">
        <v>3178</v>
      </c>
      <c r="J2705" s="11" t="s">
        <v>2805</v>
      </c>
    </row>
    <row r="2706" spans="1:10" s="10" customFormat="1" x14ac:dyDescent="0.25">
      <c r="A2706" s="21" t="s">
        <v>3170</v>
      </c>
      <c r="D2706" s="25"/>
      <c r="E2706" s="11"/>
      <c r="F2706" s="26">
        <v>4312</v>
      </c>
      <c r="G2706" s="11" t="s">
        <v>3173</v>
      </c>
      <c r="H2706" s="11" t="s">
        <v>3867</v>
      </c>
      <c r="I2706" s="12" t="s">
        <v>3171</v>
      </c>
      <c r="J2706" s="11" t="s">
        <v>2805</v>
      </c>
    </row>
    <row r="2707" spans="1:10" s="10" customFormat="1" x14ac:dyDescent="0.25">
      <c r="A2707" s="21" t="s">
        <v>576</v>
      </c>
      <c r="D2707" s="25"/>
      <c r="E2707" s="11"/>
      <c r="F2707" s="26">
        <v>4300</v>
      </c>
      <c r="G2707" s="11" t="s">
        <v>577</v>
      </c>
      <c r="H2707" s="11" t="s">
        <v>3867</v>
      </c>
      <c r="I2707" s="12" t="s">
        <v>577</v>
      </c>
      <c r="J2707" s="11" t="s">
        <v>2800</v>
      </c>
    </row>
    <row r="2708" spans="1:10" s="10" customFormat="1" x14ac:dyDescent="0.25">
      <c r="A2708" s="21" t="s">
        <v>579</v>
      </c>
      <c r="D2708" s="25"/>
      <c r="E2708" s="11"/>
      <c r="F2708" s="26">
        <v>4208</v>
      </c>
      <c r="G2708" s="11" t="s">
        <v>580</v>
      </c>
      <c r="H2708" s="11" t="s">
        <v>3867</v>
      </c>
      <c r="I2708" s="12" t="s">
        <v>580</v>
      </c>
      <c r="J2708" s="11" t="s">
        <v>2805</v>
      </c>
    </row>
    <row r="2709" spans="1:10" s="10" customFormat="1" x14ac:dyDescent="0.25">
      <c r="A2709" s="21" t="s">
        <v>582</v>
      </c>
      <c r="D2709" s="25"/>
      <c r="E2709" s="11"/>
      <c r="F2709" s="26">
        <v>3763</v>
      </c>
      <c r="G2709" s="11" t="s">
        <v>583</v>
      </c>
      <c r="H2709" s="11" t="s">
        <v>3867</v>
      </c>
      <c r="I2709" s="12" t="s">
        <v>583</v>
      </c>
      <c r="J2709" s="11" t="s">
        <v>2805</v>
      </c>
    </row>
    <row r="2710" spans="1:10" s="10" customFormat="1" x14ac:dyDescent="0.25">
      <c r="A2710" s="21" t="s">
        <v>586</v>
      </c>
      <c r="D2710" s="25"/>
      <c r="E2710" s="11"/>
      <c r="F2710" s="26">
        <v>3714</v>
      </c>
      <c r="G2710" s="11" t="s">
        <v>587</v>
      </c>
      <c r="H2710" s="11" t="s">
        <v>3867</v>
      </c>
      <c r="I2710" s="12" t="s">
        <v>587</v>
      </c>
      <c r="J2710" s="11" t="s">
        <v>2805</v>
      </c>
    </row>
    <row r="2711" spans="1:10" s="10" customFormat="1" x14ac:dyDescent="0.25">
      <c r="A2711" s="21" t="s">
        <v>589</v>
      </c>
      <c r="D2711" s="25"/>
      <c r="E2711" s="11"/>
      <c r="F2711" s="26">
        <v>4197</v>
      </c>
      <c r="G2711" s="11" t="s">
        <v>590</v>
      </c>
      <c r="H2711" s="11" t="s">
        <v>3867</v>
      </c>
      <c r="I2711" s="12" t="s">
        <v>590</v>
      </c>
      <c r="J2711" s="11" t="s">
        <v>2805</v>
      </c>
    </row>
    <row r="2712" spans="1:10" s="10" customFormat="1" x14ac:dyDescent="0.25">
      <c r="A2712" s="21" t="s">
        <v>1433</v>
      </c>
      <c r="D2712" s="25"/>
      <c r="E2712" s="11"/>
      <c r="F2712" s="26">
        <v>5255</v>
      </c>
      <c r="G2712" s="11" t="s">
        <v>1434</v>
      </c>
      <c r="H2712" s="11" t="s">
        <v>3867</v>
      </c>
      <c r="I2712" s="12" t="s">
        <v>1434</v>
      </c>
      <c r="J2712" s="11" t="s">
        <v>2805</v>
      </c>
    </row>
    <row r="2713" spans="1:10" s="10" customFormat="1" x14ac:dyDescent="0.25">
      <c r="A2713" s="21" t="s">
        <v>3188</v>
      </c>
      <c r="D2713" s="25"/>
      <c r="E2713" s="11"/>
      <c r="F2713" s="26">
        <v>3712</v>
      </c>
      <c r="G2713" s="11" t="s">
        <v>3189</v>
      </c>
      <c r="H2713" s="11" t="s">
        <v>3867</v>
      </c>
      <c r="I2713" s="12" t="s">
        <v>3189</v>
      </c>
      <c r="J2713" s="11" t="s">
        <v>2805</v>
      </c>
    </row>
    <row r="2714" spans="1:10" s="10" customFormat="1" x14ac:dyDescent="0.25">
      <c r="A2714" s="21" t="s">
        <v>3191</v>
      </c>
      <c r="D2714" s="25"/>
      <c r="E2714" s="11"/>
      <c r="F2714" s="26">
        <v>2356</v>
      </c>
      <c r="G2714" s="11" t="s">
        <v>3194</v>
      </c>
      <c r="H2714" s="11" t="s">
        <v>3867</v>
      </c>
      <c r="I2714" s="12" t="s">
        <v>3192</v>
      </c>
      <c r="J2714" s="11" t="s">
        <v>2805</v>
      </c>
    </row>
    <row r="2715" spans="1:10" s="10" customFormat="1" x14ac:dyDescent="0.25">
      <c r="A2715" s="21" t="s">
        <v>3195</v>
      </c>
      <c r="D2715" s="25"/>
      <c r="E2715" s="11"/>
      <c r="F2715" s="26">
        <v>3740</v>
      </c>
      <c r="G2715" s="11" t="s">
        <v>3198</v>
      </c>
      <c r="H2715" s="11" t="s">
        <v>3867</v>
      </c>
      <c r="I2715" s="12" t="s">
        <v>3196</v>
      </c>
      <c r="J2715" s="11" t="s">
        <v>2805</v>
      </c>
    </row>
    <row r="2716" spans="1:10" s="10" customFormat="1" x14ac:dyDescent="0.25">
      <c r="A2716" s="21" t="s">
        <v>1391</v>
      </c>
      <c r="D2716" s="25"/>
      <c r="E2716" s="11"/>
      <c r="F2716" s="26">
        <v>4200</v>
      </c>
      <c r="G2716" s="11" t="s">
        <v>3867</v>
      </c>
      <c r="H2716" s="11" t="s">
        <v>3867</v>
      </c>
      <c r="I2716" s="12" t="s">
        <v>1392</v>
      </c>
      <c r="J2716" s="11" t="s">
        <v>2800</v>
      </c>
    </row>
    <row r="2717" spans="1:10" s="10" customFormat="1" x14ac:dyDescent="0.25">
      <c r="A2717" s="21" t="s">
        <v>3199</v>
      </c>
      <c r="D2717" s="25"/>
      <c r="E2717" s="11"/>
      <c r="F2717" s="26">
        <v>2354</v>
      </c>
      <c r="G2717" s="11" t="s">
        <v>3200</v>
      </c>
      <c r="H2717" s="11" t="s">
        <v>3867</v>
      </c>
      <c r="I2717" s="12" t="s">
        <v>3200</v>
      </c>
      <c r="J2717" s="11" t="s">
        <v>2805</v>
      </c>
    </row>
    <row r="2718" spans="1:10" s="10" customFormat="1" x14ac:dyDescent="0.25">
      <c r="A2718" s="21" t="s">
        <v>3203</v>
      </c>
      <c r="D2718" s="25"/>
      <c r="E2718" s="11"/>
      <c r="F2718" s="26">
        <v>5253</v>
      </c>
      <c r="G2718" s="11" t="s">
        <v>3204</v>
      </c>
      <c r="H2718" s="11" t="s">
        <v>3867</v>
      </c>
      <c r="I2718" s="12" t="s">
        <v>3204</v>
      </c>
      <c r="J2718" s="11" t="s">
        <v>2805</v>
      </c>
    </row>
    <row r="2719" spans="1:10" s="10" customFormat="1" x14ac:dyDescent="0.25">
      <c r="A2719" s="21" t="s">
        <v>3206</v>
      </c>
      <c r="D2719" s="25"/>
      <c r="E2719" s="11"/>
      <c r="F2719" s="26">
        <v>4350</v>
      </c>
      <c r="G2719" s="11" t="s">
        <v>3207</v>
      </c>
      <c r="H2719" s="11" t="s">
        <v>3867</v>
      </c>
      <c r="I2719" s="12" t="s">
        <v>3207</v>
      </c>
      <c r="J2719" s="11" t="s">
        <v>2805</v>
      </c>
    </row>
    <row r="2720" spans="1:10" s="10" customFormat="1" x14ac:dyDescent="0.25">
      <c r="A2720" s="21" t="s">
        <v>3209</v>
      </c>
      <c r="D2720" s="25"/>
      <c r="E2720" s="11"/>
      <c r="F2720" s="26">
        <v>4220</v>
      </c>
      <c r="G2720" s="11" t="s">
        <v>3210</v>
      </c>
      <c r="H2720" s="11" t="s">
        <v>3867</v>
      </c>
      <c r="I2720" s="12" t="s">
        <v>3210</v>
      </c>
      <c r="J2720" s="11" t="s">
        <v>2805</v>
      </c>
    </row>
    <row r="2721" spans="1:10" s="10" customFormat="1" x14ac:dyDescent="0.25">
      <c r="A2721" s="21" t="s">
        <v>3212</v>
      </c>
      <c r="D2721" s="25"/>
      <c r="E2721" s="11"/>
      <c r="F2721" s="26">
        <v>3743</v>
      </c>
      <c r="G2721" s="11" t="s">
        <v>3213</v>
      </c>
      <c r="H2721" s="11" t="s">
        <v>3867</v>
      </c>
      <c r="I2721" s="12" t="s">
        <v>3213</v>
      </c>
      <c r="J2721" s="11" t="s">
        <v>2805</v>
      </c>
    </row>
    <row r="2722" spans="1:10" s="10" customFormat="1" x14ac:dyDescent="0.25">
      <c r="A2722" s="21" t="s">
        <v>3215</v>
      </c>
      <c r="D2722" s="25"/>
      <c r="E2722" s="11"/>
      <c r="F2722" s="26">
        <v>4317</v>
      </c>
      <c r="G2722" s="11" t="s">
        <v>3216</v>
      </c>
      <c r="H2722" s="11" t="s">
        <v>3867</v>
      </c>
      <c r="I2722" s="12" t="s">
        <v>3216</v>
      </c>
      <c r="J2722" s="11" t="s">
        <v>2805</v>
      </c>
    </row>
    <row r="2723" spans="1:10" s="10" customFormat="1" x14ac:dyDescent="0.25">
      <c r="A2723" s="21" t="s">
        <v>621</v>
      </c>
      <c r="D2723" s="25"/>
      <c r="E2723" s="11"/>
      <c r="F2723" s="26">
        <v>9420</v>
      </c>
      <c r="G2723" s="11" t="s">
        <v>622</v>
      </c>
      <c r="H2723" s="11" t="s">
        <v>624</v>
      </c>
      <c r="I2723" s="12" t="s">
        <v>622</v>
      </c>
      <c r="J2723" s="11" t="s">
        <v>2800</v>
      </c>
    </row>
    <row r="2724" spans="1:10" s="10" customFormat="1" x14ac:dyDescent="0.25">
      <c r="A2724" s="21" t="s">
        <v>628</v>
      </c>
      <c r="D2724" s="25"/>
      <c r="E2724" s="11"/>
      <c r="F2724" s="26">
        <v>9412</v>
      </c>
      <c r="G2724" s="11" t="s">
        <v>629</v>
      </c>
      <c r="H2724" s="11" t="s">
        <v>624</v>
      </c>
      <c r="I2724" s="12" t="s">
        <v>629</v>
      </c>
      <c r="J2724" s="11" t="s">
        <v>2805</v>
      </c>
    </row>
    <row r="2725" spans="1:10" s="10" customFormat="1" x14ac:dyDescent="0.25">
      <c r="A2725" s="21" t="s">
        <v>625</v>
      </c>
      <c r="D2725" s="25"/>
      <c r="E2725" s="11"/>
      <c r="F2725" s="26">
        <v>9410</v>
      </c>
      <c r="G2725" s="11" t="s">
        <v>626</v>
      </c>
      <c r="H2725" s="11" t="s">
        <v>624</v>
      </c>
      <c r="I2725" s="12" t="s">
        <v>626</v>
      </c>
      <c r="J2725" s="11" t="s">
        <v>2800</v>
      </c>
    </row>
    <row r="2726" spans="1:10" s="10" customFormat="1" x14ac:dyDescent="0.25">
      <c r="A2726" s="21" t="s">
        <v>1313</v>
      </c>
      <c r="D2726" s="25"/>
      <c r="E2726" s="11"/>
      <c r="F2726" s="26">
        <v>4152</v>
      </c>
      <c r="G2726" s="11" t="s">
        <v>1314</v>
      </c>
      <c r="H2726" s="11" t="s">
        <v>4510</v>
      </c>
      <c r="I2726" s="12" t="s">
        <v>1314</v>
      </c>
      <c r="J2726" s="11" t="s">
        <v>2805</v>
      </c>
    </row>
    <row r="2727" spans="1:10" s="10" customFormat="1" x14ac:dyDescent="0.25">
      <c r="A2727" s="21" t="s">
        <v>1317</v>
      </c>
      <c r="D2727" s="25"/>
      <c r="E2727" s="11"/>
      <c r="F2727" s="26">
        <v>4178</v>
      </c>
      <c r="G2727" s="11" t="s">
        <v>1318</v>
      </c>
      <c r="H2727" s="11" t="s">
        <v>4510</v>
      </c>
      <c r="I2727" s="12" t="s">
        <v>1318</v>
      </c>
      <c r="J2727" s="11" t="s">
        <v>2805</v>
      </c>
    </row>
    <row r="2728" spans="1:10" s="10" customFormat="1" x14ac:dyDescent="0.25">
      <c r="A2728" s="21" t="s">
        <v>1320</v>
      </c>
      <c r="D2728" s="25"/>
      <c r="E2728" s="11"/>
      <c r="F2728" s="26">
        <v>4137</v>
      </c>
      <c r="G2728" s="11" t="s">
        <v>1323</v>
      </c>
      <c r="H2728" s="11" t="s">
        <v>4510</v>
      </c>
      <c r="I2728" s="12" t="s">
        <v>1072</v>
      </c>
      <c r="J2728" s="11" t="s">
        <v>2805</v>
      </c>
    </row>
    <row r="2729" spans="1:10" s="10" customFormat="1" x14ac:dyDescent="0.25">
      <c r="A2729" s="21" t="s">
        <v>1324</v>
      </c>
      <c r="D2729" s="25"/>
      <c r="E2729" s="11"/>
      <c r="F2729" s="26">
        <v>4109</v>
      </c>
      <c r="G2729" s="11" t="s">
        <v>1327</v>
      </c>
      <c r="H2729" s="11" t="s">
        <v>4510</v>
      </c>
      <c r="I2729" s="12" t="s">
        <v>1325</v>
      </c>
      <c r="J2729" s="11" t="s">
        <v>2805</v>
      </c>
    </row>
    <row r="2730" spans="1:10" s="10" customFormat="1" x14ac:dyDescent="0.25">
      <c r="A2730" s="21" t="s">
        <v>1328</v>
      </c>
      <c r="D2730" s="25"/>
      <c r="E2730" s="11"/>
      <c r="F2730" s="26">
        <v>4168</v>
      </c>
      <c r="G2730" s="11" t="s">
        <v>2193</v>
      </c>
      <c r="H2730" s="11" t="s">
        <v>4510</v>
      </c>
      <c r="I2730" s="12" t="s">
        <v>2193</v>
      </c>
      <c r="J2730" s="11" t="s">
        <v>2805</v>
      </c>
    </row>
    <row r="2731" spans="1:10" s="10" customFormat="1" x14ac:dyDescent="0.25">
      <c r="A2731" s="21" t="s">
        <v>1331</v>
      </c>
      <c r="D2731" s="25"/>
      <c r="E2731" s="11"/>
      <c r="F2731" s="26">
        <v>4119</v>
      </c>
      <c r="G2731" s="11" t="s">
        <v>1332</v>
      </c>
      <c r="H2731" s="11" t="s">
        <v>4510</v>
      </c>
      <c r="I2731" s="12" t="s">
        <v>1332</v>
      </c>
      <c r="J2731" s="11" t="s">
        <v>2805</v>
      </c>
    </row>
    <row r="2732" spans="1:10" s="10" customFormat="1" x14ac:dyDescent="0.25">
      <c r="A2732" s="21" t="s">
        <v>1335</v>
      </c>
      <c r="D2732" s="25"/>
      <c r="E2732" s="11"/>
      <c r="F2732" s="26">
        <v>4146</v>
      </c>
      <c r="G2732" s="11" t="s">
        <v>1336</v>
      </c>
      <c r="H2732" s="11" t="s">
        <v>4510</v>
      </c>
      <c r="I2732" s="12" t="s">
        <v>1336</v>
      </c>
      <c r="J2732" s="11" t="s">
        <v>2800</v>
      </c>
    </row>
    <row r="2733" spans="1:10" s="10" customFormat="1" x14ac:dyDescent="0.25">
      <c r="A2733" s="21" t="s">
        <v>3105</v>
      </c>
      <c r="D2733" s="25"/>
      <c r="E2733" s="11"/>
      <c r="F2733" s="26">
        <v>4104</v>
      </c>
      <c r="G2733" s="11" t="s">
        <v>3109</v>
      </c>
      <c r="H2733" s="11" t="s">
        <v>4510</v>
      </c>
      <c r="I2733" s="12" t="s">
        <v>3106</v>
      </c>
      <c r="J2733" s="11" t="s">
        <v>2805</v>
      </c>
    </row>
    <row r="2734" spans="1:10" s="10" customFormat="1" x14ac:dyDescent="0.25">
      <c r="A2734" s="21" t="s">
        <v>1338</v>
      </c>
      <c r="D2734" s="25"/>
      <c r="E2734" s="11"/>
      <c r="F2734" s="26">
        <v>4132</v>
      </c>
      <c r="G2734" s="11" t="s">
        <v>1339</v>
      </c>
      <c r="H2734" s="11" t="s">
        <v>4510</v>
      </c>
      <c r="I2734" s="12" t="s">
        <v>1339</v>
      </c>
      <c r="J2734" s="11" t="s">
        <v>2805</v>
      </c>
    </row>
    <row r="2735" spans="1:10" s="10" customFormat="1" x14ac:dyDescent="0.25">
      <c r="A2735" s="21" t="s">
        <v>1341</v>
      </c>
      <c r="D2735" s="25"/>
      <c r="E2735" s="11"/>
      <c r="F2735" s="26">
        <v>4159</v>
      </c>
      <c r="G2735" s="11" t="s">
        <v>1342</v>
      </c>
      <c r="H2735" s="11" t="s">
        <v>4510</v>
      </c>
      <c r="I2735" s="12" t="s">
        <v>1342</v>
      </c>
      <c r="J2735" s="11" t="s">
        <v>2805</v>
      </c>
    </row>
    <row r="2736" spans="1:10" s="10" customFormat="1" x14ac:dyDescent="0.25">
      <c r="A2736" s="21" t="s">
        <v>1351</v>
      </c>
      <c r="D2736" s="25"/>
      <c r="E2736" s="11"/>
      <c r="F2736" s="26">
        <v>4161</v>
      </c>
      <c r="G2736" s="11" t="s">
        <v>2676</v>
      </c>
      <c r="H2736" s="11" t="s">
        <v>4510</v>
      </c>
      <c r="I2736" s="12" t="s">
        <v>1352</v>
      </c>
      <c r="J2736" s="11" t="s">
        <v>2805</v>
      </c>
    </row>
    <row r="2737" spans="1:10" s="10" customFormat="1" x14ac:dyDescent="0.25">
      <c r="A2737" s="21" t="s">
        <v>1354</v>
      </c>
      <c r="D2737" s="25"/>
      <c r="E2737" s="11"/>
      <c r="F2737" s="26">
        <v>4162</v>
      </c>
      <c r="G2737" s="11" t="s">
        <v>1355</v>
      </c>
      <c r="H2737" s="11" t="s">
        <v>4510</v>
      </c>
      <c r="I2737" s="12" t="s">
        <v>1355</v>
      </c>
      <c r="J2737" s="11" t="s">
        <v>2805</v>
      </c>
    </row>
    <row r="2738" spans="1:10" s="10" customFormat="1" x14ac:dyDescent="0.25">
      <c r="A2738" s="21" t="s">
        <v>3113</v>
      </c>
      <c r="D2738" s="25"/>
      <c r="E2738" s="11"/>
      <c r="F2738" s="26">
        <v>4117</v>
      </c>
      <c r="G2738" s="11" t="s">
        <v>3114</v>
      </c>
      <c r="H2738" s="11" t="s">
        <v>4510</v>
      </c>
      <c r="I2738" s="12" t="s">
        <v>3114</v>
      </c>
      <c r="J2738" s="11" t="s">
        <v>2805</v>
      </c>
    </row>
    <row r="2739" spans="1:10" s="10" customFormat="1" x14ac:dyDescent="0.25">
      <c r="A2739" s="21" t="s">
        <v>3088</v>
      </c>
      <c r="D2739" s="25"/>
      <c r="E2739" s="11"/>
      <c r="F2739" s="26">
        <v>4123</v>
      </c>
      <c r="G2739" s="11" t="s">
        <v>3089</v>
      </c>
      <c r="H2739" s="11" t="s">
        <v>4510</v>
      </c>
      <c r="I2739" s="12" t="s">
        <v>3089</v>
      </c>
      <c r="J2739" s="11" t="s">
        <v>2805</v>
      </c>
    </row>
    <row r="2740" spans="1:10" s="10" customFormat="1" x14ac:dyDescent="0.25">
      <c r="A2740" s="21" t="s">
        <v>3085</v>
      </c>
      <c r="D2740" s="25"/>
      <c r="E2740" s="11"/>
      <c r="F2740" s="26">
        <v>4176</v>
      </c>
      <c r="G2740" s="11" t="s">
        <v>3086</v>
      </c>
      <c r="H2740" s="11" t="s">
        <v>4510</v>
      </c>
      <c r="I2740" s="12" t="s">
        <v>3086</v>
      </c>
      <c r="J2740" s="11" t="s">
        <v>2805</v>
      </c>
    </row>
    <row r="2741" spans="1:10" s="10" customFormat="1" x14ac:dyDescent="0.25">
      <c r="A2741" s="21" t="s">
        <v>3101</v>
      </c>
      <c r="D2741" s="25"/>
      <c r="E2741" s="11"/>
      <c r="F2741" s="26">
        <v>4101</v>
      </c>
      <c r="G2741" s="11" t="s">
        <v>3102</v>
      </c>
      <c r="H2741" s="11" t="s">
        <v>4510</v>
      </c>
      <c r="I2741" s="12" t="s">
        <v>3102</v>
      </c>
      <c r="J2741" s="11" t="s">
        <v>2805</v>
      </c>
    </row>
    <row r="2742" spans="1:10" s="10" customFormat="1" x14ac:dyDescent="0.25">
      <c r="A2742" s="21" t="s">
        <v>3091</v>
      </c>
      <c r="D2742" s="25"/>
      <c r="E2742" s="11"/>
      <c r="F2742" s="26">
        <v>4113</v>
      </c>
      <c r="G2742" s="11" t="s">
        <v>3092</v>
      </c>
      <c r="H2742" s="11" t="s">
        <v>4510</v>
      </c>
      <c r="I2742" s="12" t="s">
        <v>3092</v>
      </c>
      <c r="J2742" s="11" t="s">
        <v>2805</v>
      </c>
    </row>
    <row r="2743" spans="1:10" s="10" customFormat="1" x14ac:dyDescent="0.25">
      <c r="A2743" s="21" t="s">
        <v>3094</v>
      </c>
      <c r="D2743" s="25"/>
      <c r="E2743" s="11"/>
      <c r="F2743" s="26">
        <v>4182</v>
      </c>
      <c r="G2743" s="11" t="s">
        <v>3095</v>
      </c>
      <c r="H2743" s="11" t="s">
        <v>4510</v>
      </c>
      <c r="I2743" s="12" t="s">
        <v>3095</v>
      </c>
      <c r="J2743" s="11" t="s">
        <v>2805</v>
      </c>
    </row>
    <row r="2744" spans="1:10" s="10" customFormat="1" x14ac:dyDescent="0.25">
      <c r="A2744" s="21" t="s">
        <v>3098</v>
      </c>
      <c r="D2744" s="25"/>
      <c r="E2744" s="11"/>
      <c r="F2744" s="26">
        <v>4128</v>
      </c>
      <c r="G2744" s="11" t="s">
        <v>3099</v>
      </c>
      <c r="H2744" s="11" t="s">
        <v>4510</v>
      </c>
      <c r="I2744" s="12" t="s">
        <v>3099</v>
      </c>
      <c r="J2744" s="11" t="s">
        <v>2805</v>
      </c>
    </row>
    <row r="2745" spans="1:10" s="10" customFormat="1" x14ac:dyDescent="0.25">
      <c r="A2745" s="21" t="s">
        <v>3110</v>
      </c>
      <c r="D2745" s="25"/>
      <c r="E2745" s="11"/>
      <c r="F2745" s="26">
        <v>4142</v>
      </c>
      <c r="G2745" s="11" t="s">
        <v>3111</v>
      </c>
      <c r="H2745" s="11" t="s">
        <v>4510</v>
      </c>
      <c r="I2745" s="12" t="s">
        <v>3111</v>
      </c>
      <c r="J2745" s="11" t="s">
        <v>2805</v>
      </c>
    </row>
    <row r="2746" spans="1:10" s="10" customFormat="1" x14ac:dyDescent="0.25">
      <c r="A2746" s="21" t="s">
        <v>517</v>
      </c>
      <c r="D2746" s="25"/>
      <c r="E2746" s="11"/>
      <c r="F2746" s="26">
        <v>4179</v>
      </c>
      <c r="G2746" s="11" t="s">
        <v>518</v>
      </c>
      <c r="H2746" s="11" t="s">
        <v>4510</v>
      </c>
      <c r="I2746" s="12" t="s">
        <v>518</v>
      </c>
      <c r="J2746" s="11" t="s">
        <v>2805</v>
      </c>
    </row>
    <row r="2747" spans="1:10" s="10" customFormat="1" x14ac:dyDescent="0.25">
      <c r="A2747" s="21" t="s">
        <v>1304</v>
      </c>
      <c r="D2747" s="25"/>
      <c r="E2747" s="11"/>
      <c r="F2747" s="26">
        <v>4000</v>
      </c>
      <c r="G2747" s="11" t="s">
        <v>1303</v>
      </c>
      <c r="H2747" s="11" t="s">
        <v>4510</v>
      </c>
      <c r="I2747" s="12" t="s">
        <v>1305</v>
      </c>
      <c r="J2747" s="11" t="s">
        <v>2800</v>
      </c>
    </row>
    <row r="2748" spans="1:10" s="10" customFormat="1" x14ac:dyDescent="0.25">
      <c r="A2748" s="21" t="s">
        <v>1307</v>
      </c>
      <c r="D2748" s="25"/>
      <c r="E2748" s="11"/>
      <c r="F2748" s="26">
        <v>4002</v>
      </c>
      <c r="G2748" s="11" t="s">
        <v>1303</v>
      </c>
      <c r="H2748" s="11" t="s">
        <v>4510</v>
      </c>
      <c r="I2748" s="12" t="s">
        <v>1308</v>
      </c>
      <c r="J2748" s="11" t="s">
        <v>2800</v>
      </c>
    </row>
    <row r="2749" spans="1:10" s="10" customFormat="1" x14ac:dyDescent="0.25">
      <c r="A2749" s="21" t="s">
        <v>1310</v>
      </c>
      <c r="D2749" s="25"/>
      <c r="E2749" s="11"/>
      <c r="F2749" s="26">
        <v>4002</v>
      </c>
      <c r="G2749" s="11" t="s">
        <v>1303</v>
      </c>
      <c r="H2749" s="11" t="s">
        <v>4510</v>
      </c>
      <c r="I2749" s="12" t="s">
        <v>1311</v>
      </c>
      <c r="J2749" s="11" t="s">
        <v>2805</v>
      </c>
    </row>
    <row r="2750" spans="1:10" s="10" customFormat="1" x14ac:dyDescent="0.25">
      <c r="A2750" s="21" t="s">
        <v>3044</v>
      </c>
      <c r="D2750" s="25"/>
      <c r="E2750" s="11"/>
      <c r="F2750" s="26">
        <v>4000</v>
      </c>
      <c r="G2750" s="11" t="s">
        <v>1303</v>
      </c>
      <c r="H2750" s="11" t="s">
        <v>4510</v>
      </c>
      <c r="I2750" s="12" t="s">
        <v>4510</v>
      </c>
      <c r="J2750" s="11" t="s">
        <v>2800</v>
      </c>
    </row>
    <row r="2751" spans="1:10" s="10" customFormat="1" x14ac:dyDescent="0.25">
      <c r="A2751" s="21" t="s">
        <v>3116</v>
      </c>
      <c r="D2751" s="25"/>
      <c r="E2751" s="11"/>
      <c r="F2751" s="26">
        <v>4129</v>
      </c>
      <c r="G2751" s="11" t="s">
        <v>3117</v>
      </c>
      <c r="H2751" s="11" t="s">
        <v>4510</v>
      </c>
      <c r="I2751" s="12" t="s">
        <v>3117</v>
      </c>
      <c r="J2751" s="11" t="s">
        <v>2805</v>
      </c>
    </row>
    <row r="2752" spans="1:10" s="10" customFormat="1" x14ac:dyDescent="0.25">
      <c r="A2752" s="21" t="s">
        <v>3119</v>
      </c>
      <c r="D2752" s="25"/>
      <c r="E2752" s="11"/>
      <c r="F2752" s="26">
        <v>4124</v>
      </c>
      <c r="G2752" s="11" t="s">
        <v>3122</v>
      </c>
      <c r="H2752" s="11" t="s">
        <v>4510</v>
      </c>
      <c r="I2752" s="12" t="s">
        <v>3120</v>
      </c>
      <c r="J2752" s="11" t="s">
        <v>2805</v>
      </c>
    </row>
    <row r="2753" spans="1:10" s="10" customFormat="1" x14ac:dyDescent="0.25">
      <c r="A2753" s="21" t="s">
        <v>1344</v>
      </c>
      <c r="D2753" s="25"/>
      <c r="E2753" s="11"/>
      <c r="F2753" s="26">
        <v>4155</v>
      </c>
      <c r="G2753" s="11" t="s">
        <v>4762</v>
      </c>
      <c r="H2753" s="11" t="s">
        <v>4510</v>
      </c>
      <c r="I2753" s="12" t="s">
        <v>1345</v>
      </c>
      <c r="J2753" s="11" t="s">
        <v>2805</v>
      </c>
    </row>
    <row r="2754" spans="1:10" s="10" customFormat="1" x14ac:dyDescent="0.25">
      <c r="A2754" s="21" t="s">
        <v>1347</v>
      </c>
      <c r="D2754" s="25"/>
      <c r="E2754" s="11"/>
      <c r="F2754" s="26">
        <v>4135</v>
      </c>
      <c r="G2754" s="11" t="s">
        <v>353</v>
      </c>
      <c r="H2754" s="11" t="s">
        <v>4510</v>
      </c>
      <c r="I2754" s="12" t="s">
        <v>1348</v>
      </c>
      <c r="J2754" s="11" t="s">
        <v>2805</v>
      </c>
    </row>
    <row r="2755" spans="1:10" s="10" customFormat="1" x14ac:dyDescent="0.25">
      <c r="A2755" s="21" t="s">
        <v>3123</v>
      </c>
      <c r="D2755" s="25"/>
      <c r="E2755" s="11"/>
      <c r="F2755" s="26">
        <v>4172</v>
      </c>
      <c r="G2755" s="11" t="s">
        <v>3124</v>
      </c>
      <c r="H2755" s="11" t="s">
        <v>4510</v>
      </c>
      <c r="I2755" s="12" t="s">
        <v>3124</v>
      </c>
      <c r="J2755" s="11" t="s">
        <v>2805</v>
      </c>
    </row>
    <row r="2756" spans="1:10" s="10" customFormat="1" x14ac:dyDescent="0.25">
      <c r="A2756" s="21" t="s">
        <v>3126</v>
      </c>
      <c r="D2756" s="25"/>
      <c r="E2756" s="11"/>
      <c r="F2756" s="26">
        <v>4140</v>
      </c>
      <c r="G2756" s="11" t="s">
        <v>3127</v>
      </c>
      <c r="H2756" s="11" t="s">
        <v>4510</v>
      </c>
      <c r="I2756" s="12" t="s">
        <v>3127</v>
      </c>
      <c r="J2756" s="11" t="s">
        <v>2805</v>
      </c>
    </row>
    <row r="2757" spans="1:10" s="10" customFormat="1" x14ac:dyDescent="0.25">
      <c r="A2757" s="21" t="s">
        <v>3129</v>
      </c>
      <c r="D2757" s="25"/>
      <c r="E2757" s="11"/>
      <c r="F2757" s="26">
        <v>4103</v>
      </c>
      <c r="G2757" s="11" t="s">
        <v>3130</v>
      </c>
      <c r="H2757" s="11" t="s">
        <v>4510</v>
      </c>
      <c r="I2757" s="12" t="s">
        <v>3130</v>
      </c>
      <c r="J2757" s="11" t="s">
        <v>2805</v>
      </c>
    </row>
    <row r="2758" spans="1:10" s="10" customFormat="1" x14ac:dyDescent="0.25">
      <c r="A2758" s="21" t="s">
        <v>3133</v>
      </c>
      <c r="D2758" s="25"/>
      <c r="E2758" s="11"/>
      <c r="F2758" s="26">
        <v>4124</v>
      </c>
      <c r="G2758" s="11" t="s">
        <v>3134</v>
      </c>
      <c r="H2758" s="11" t="s">
        <v>4510</v>
      </c>
      <c r="I2758" s="12" t="s">
        <v>3134</v>
      </c>
      <c r="J2758" s="11" t="s">
        <v>2805</v>
      </c>
    </row>
    <row r="2759" spans="1:10" s="10" customFormat="1" x14ac:dyDescent="0.25">
      <c r="A2759" s="21" t="s">
        <v>3137</v>
      </c>
      <c r="D2759" s="25"/>
      <c r="E2759" s="11"/>
      <c r="F2759" s="26">
        <v>4151</v>
      </c>
      <c r="G2759" s="11" t="s">
        <v>3141</v>
      </c>
      <c r="H2759" s="11" t="s">
        <v>4510</v>
      </c>
      <c r="I2759" s="12" t="s">
        <v>3138</v>
      </c>
      <c r="J2759" s="11" t="s">
        <v>2805</v>
      </c>
    </row>
    <row r="2760" spans="1:10" s="10" customFormat="1" x14ac:dyDescent="0.25">
      <c r="A2760" s="21" t="s">
        <v>3142</v>
      </c>
      <c r="D2760" s="25"/>
      <c r="E2760" s="11"/>
      <c r="F2760" s="26">
        <v>4144</v>
      </c>
      <c r="G2760" s="11" t="s">
        <v>3145</v>
      </c>
      <c r="H2760" s="11" t="s">
        <v>4510</v>
      </c>
      <c r="I2760" s="12" t="s">
        <v>3143</v>
      </c>
      <c r="J2760" s="11" t="s">
        <v>2805</v>
      </c>
    </row>
    <row r="2761" spans="1:10" s="10" customFormat="1" x14ac:dyDescent="0.25">
      <c r="A2761" s="21" t="s">
        <v>513</v>
      </c>
      <c r="D2761" s="25"/>
      <c r="E2761" s="11"/>
      <c r="F2761" s="26">
        <v>4107</v>
      </c>
      <c r="G2761" s="11" t="s">
        <v>514</v>
      </c>
      <c r="H2761" s="11" t="s">
        <v>4510</v>
      </c>
      <c r="I2761" s="12" t="s">
        <v>514</v>
      </c>
      <c r="J2761" s="11" t="s">
        <v>2805</v>
      </c>
    </row>
    <row r="2762" spans="1:10" s="10" customFormat="1" x14ac:dyDescent="0.25">
      <c r="A2762" s="26"/>
      <c r="D2762" s="27"/>
      <c r="E2762" s="25"/>
      <c r="F2762" s="26"/>
      <c r="G2762" s="25"/>
      <c r="H2762" s="25"/>
    </row>
    <row r="2763" spans="1:10" s="10" customFormat="1" x14ac:dyDescent="0.25">
      <c r="A2763" s="26"/>
      <c r="D2763" s="27"/>
      <c r="E2763" s="25"/>
      <c r="F2763" s="26"/>
      <c r="G2763" s="25"/>
      <c r="H2763" s="25"/>
    </row>
    <row r="2764" spans="1:10" s="10" customFormat="1" x14ac:dyDescent="0.25">
      <c r="A2764" s="26"/>
      <c r="D2764" s="27"/>
      <c r="E2764" s="25"/>
      <c r="F2764" s="26"/>
      <c r="G2764" s="25"/>
      <c r="H2764" s="25"/>
    </row>
    <row r="2765" spans="1:10" s="10" customFormat="1" x14ac:dyDescent="0.25">
      <c r="A2765" s="26"/>
      <c r="D2765" s="27"/>
      <c r="E2765" s="25"/>
      <c r="F2765" s="26"/>
      <c r="G2765" s="25"/>
      <c r="H2765" s="25"/>
    </row>
    <row r="2766" spans="1:10" s="10" customFormat="1" x14ac:dyDescent="0.25">
      <c r="A2766" s="26"/>
      <c r="D2766" s="27"/>
      <c r="E2766" s="25"/>
      <c r="F2766" s="26"/>
      <c r="G2766" s="25"/>
      <c r="H2766" s="25"/>
    </row>
    <row r="2767" spans="1:10" s="10" customFormat="1" x14ac:dyDescent="0.25">
      <c r="A2767" s="26"/>
      <c r="D2767" s="27"/>
      <c r="E2767" s="25"/>
      <c r="F2767" s="26"/>
      <c r="G2767" s="25"/>
      <c r="H2767" s="25"/>
    </row>
    <row r="2768" spans="1:10" s="10" customFormat="1" x14ac:dyDescent="0.25">
      <c r="A2768" s="26"/>
      <c r="D2768" s="27"/>
      <c r="E2768" s="25"/>
      <c r="F2768" s="26"/>
      <c r="G2768" s="25"/>
      <c r="H2768" s="25"/>
    </row>
    <row r="2769" spans="1:8" s="10" customFormat="1" x14ac:dyDescent="0.25">
      <c r="A2769" s="26"/>
      <c r="D2769" s="27"/>
      <c r="E2769" s="25"/>
      <c r="F2769" s="26"/>
      <c r="G2769" s="25"/>
      <c r="H2769" s="25"/>
    </row>
    <row r="2770" spans="1:8" s="10" customFormat="1" x14ac:dyDescent="0.25">
      <c r="A2770" s="26"/>
      <c r="D2770" s="27"/>
      <c r="E2770" s="25"/>
      <c r="F2770" s="26"/>
      <c r="G2770" s="25"/>
      <c r="H2770" s="25"/>
    </row>
    <row r="2771" spans="1:8" s="10" customFormat="1" x14ac:dyDescent="0.25">
      <c r="A2771" s="26"/>
      <c r="D2771" s="27"/>
      <c r="E2771" s="25"/>
      <c r="F2771" s="26"/>
      <c r="G2771" s="25"/>
      <c r="H2771" s="25"/>
    </row>
    <row r="2772" spans="1:8" s="10" customFormat="1" x14ac:dyDescent="0.25">
      <c r="A2772" s="26"/>
      <c r="D2772" s="27"/>
      <c r="E2772" s="25"/>
      <c r="F2772" s="26"/>
      <c r="G2772" s="25"/>
      <c r="H2772" s="25"/>
    </row>
    <row r="2773" spans="1:8" s="10" customFormat="1" x14ac:dyDescent="0.25">
      <c r="A2773" s="26"/>
      <c r="D2773" s="27"/>
      <c r="E2773" s="25"/>
      <c r="F2773" s="26"/>
      <c r="G2773" s="25"/>
      <c r="H2773" s="25"/>
    </row>
    <row r="2774" spans="1:8" s="10" customFormat="1" x14ac:dyDescent="0.25">
      <c r="A2774" s="26"/>
      <c r="D2774" s="27"/>
      <c r="E2774" s="25"/>
      <c r="F2774" s="26"/>
      <c r="G2774" s="25"/>
      <c r="H2774" s="25"/>
    </row>
    <row r="2775" spans="1:8" s="10" customFormat="1" x14ac:dyDescent="0.25">
      <c r="A2775" s="26"/>
      <c r="D2775" s="27"/>
      <c r="E2775" s="25"/>
      <c r="F2775" s="26"/>
      <c r="G2775" s="25"/>
      <c r="H2775" s="25"/>
    </row>
    <row r="2776" spans="1:8" s="10" customFormat="1" x14ac:dyDescent="0.25">
      <c r="A2776" s="26"/>
      <c r="D2776" s="27"/>
      <c r="E2776" s="25"/>
      <c r="F2776" s="26"/>
      <c r="G2776" s="25"/>
      <c r="H2776" s="25"/>
    </row>
    <row r="2777" spans="1:8" s="10" customFormat="1" x14ac:dyDescent="0.25">
      <c r="A2777" s="26"/>
      <c r="D2777" s="27"/>
      <c r="E2777" s="25"/>
      <c r="F2777" s="26"/>
      <c r="G2777" s="25"/>
      <c r="H2777" s="25"/>
    </row>
    <row r="2778" spans="1:8" s="10" customFormat="1" x14ac:dyDescent="0.25">
      <c r="A2778" s="26"/>
      <c r="D2778" s="27"/>
      <c r="E2778" s="25"/>
      <c r="F2778" s="26"/>
      <c r="G2778" s="25"/>
      <c r="H2778" s="25"/>
    </row>
    <row r="2779" spans="1:8" s="10" customFormat="1" x14ac:dyDescent="0.25">
      <c r="A2779" s="26"/>
      <c r="D2779" s="27"/>
      <c r="E2779" s="25"/>
      <c r="F2779" s="26"/>
      <c r="G2779" s="25"/>
      <c r="H2779" s="25"/>
    </row>
    <row r="2780" spans="1:8" s="10" customFormat="1" x14ac:dyDescent="0.25">
      <c r="A2780" s="26"/>
      <c r="D2780" s="27"/>
      <c r="E2780" s="25"/>
      <c r="F2780" s="26"/>
      <c r="G2780" s="25"/>
      <c r="H2780" s="25"/>
    </row>
    <row r="2781" spans="1:8" s="10" customFormat="1" x14ac:dyDescent="0.25">
      <c r="A2781" s="26"/>
      <c r="D2781" s="27"/>
      <c r="E2781" s="25"/>
      <c r="F2781" s="26"/>
      <c r="G2781" s="25"/>
      <c r="H2781" s="25"/>
    </row>
    <row r="2782" spans="1:8" s="10" customFormat="1" x14ac:dyDescent="0.25">
      <c r="A2782" s="26"/>
      <c r="D2782" s="27"/>
      <c r="E2782" s="25"/>
      <c r="F2782" s="26"/>
      <c r="G2782" s="25"/>
      <c r="H2782" s="25"/>
    </row>
    <row r="2783" spans="1:8" s="10" customFormat="1" x14ac:dyDescent="0.25">
      <c r="A2783" s="26"/>
      <c r="D2783" s="27"/>
      <c r="E2783" s="25"/>
      <c r="F2783" s="26"/>
      <c r="G2783" s="25"/>
      <c r="H2783" s="25"/>
    </row>
    <row r="2784" spans="1:8" s="10" customFormat="1" x14ac:dyDescent="0.25">
      <c r="A2784" s="26"/>
      <c r="D2784" s="27"/>
      <c r="E2784" s="25"/>
      <c r="F2784" s="26"/>
      <c r="G2784" s="25"/>
      <c r="H2784" s="25"/>
    </row>
    <row r="2785" spans="1:8" s="10" customFormat="1" x14ac:dyDescent="0.25">
      <c r="A2785" s="26"/>
      <c r="D2785" s="27"/>
      <c r="E2785" s="25"/>
      <c r="F2785" s="26"/>
      <c r="G2785" s="25"/>
      <c r="H2785" s="25"/>
    </row>
    <row r="2786" spans="1:8" s="10" customFormat="1" x14ac:dyDescent="0.25">
      <c r="A2786" s="26"/>
      <c r="D2786" s="27"/>
      <c r="E2786" s="25"/>
      <c r="F2786" s="26"/>
      <c r="G2786" s="25"/>
      <c r="H2786" s="25"/>
    </row>
    <row r="2787" spans="1:8" s="10" customFormat="1" x14ac:dyDescent="0.25">
      <c r="A2787" s="26"/>
      <c r="D2787" s="27"/>
      <c r="E2787" s="25"/>
      <c r="F2787" s="26"/>
      <c r="G2787" s="25"/>
      <c r="H2787" s="25"/>
    </row>
    <row r="2788" spans="1:8" s="10" customFormat="1" x14ac:dyDescent="0.25">
      <c r="A2788" s="26"/>
      <c r="D2788" s="27"/>
      <c r="E2788" s="25"/>
      <c r="F2788" s="26"/>
      <c r="G2788" s="25"/>
      <c r="H2788" s="25"/>
    </row>
    <row r="2789" spans="1:8" s="10" customFormat="1" x14ac:dyDescent="0.25">
      <c r="A2789" s="26"/>
      <c r="D2789" s="27"/>
      <c r="E2789" s="25"/>
      <c r="F2789" s="26"/>
      <c r="G2789" s="25"/>
      <c r="H2789" s="25"/>
    </row>
    <row r="2790" spans="1:8" s="10" customFormat="1" x14ac:dyDescent="0.25">
      <c r="A2790" s="26"/>
      <c r="D2790" s="27"/>
      <c r="E2790" s="25"/>
      <c r="F2790" s="26"/>
      <c r="G2790" s="25"/>
      <c r="H2790" s="25"/>
    </row>
    <row r="2791" spans="1:8" s="10" customFormat="1" x14ac:dyDescent="0.25">
      <c r="A2791" s="26"/>
      <c r="D2791" s="27"/>
      <c r="E2791" s="25"/>
      <c r="F2791" s="26"/>
      <c r="G2791" s="25"/>
      <c r="H2791" s="25"/>
    </row>
    <row r="2792" spans="1:8" s="10" customFormat="1" x14ac:dyDescent="0.25">
      <c r="A2792" s="26"/>
      <c r="D2792" s="27"/>
      <c r="E2792" s="25"/>
      <c r="F2792" s="26"/>
      <c r="G2792" s="25"/>
      <c r="H2792" s="25"/>
    </row>
    <row r="2793" spans="1:8" s="10" customFormat="1" x14ac:dyDescent="0.25">
      <c r="A2793" s="26"/>
      <c r="D2793" s="27"/>
      <c r="E2793" s="25"/>
      <c r="F2793" s="26"/>
      <c r="G2793" s="25"/>
      <c r="H2793" s="25"/>
    </row>
    <row r="2794" spans="1:8" s="10" customFormat="1" x14ac:dyDescent="0.25">
      <c r="A2794" s="26"/>
      <c r="D2794" s="27"/>
      <c r="E2794" s="25"/>
      <c r="F2794" s="26"/>
      <c r="G2794" s="25"/>
      <c r="H2794" s="25"/>
    </row>
    <row r="2795" spans="1:8" s="10" customFormat="1" x14ac:dyDescent="0.25">
      <c r="A2795" s="26"/>
      <c r="D2795" s="27"/>
      <c r="E2795" s="25"/>
      <c r="F2795" s="26"/>
      <c r="G2795" s="25"/>
      <c r="H2795" s="25"/>
    </row>
    <row r="2796" spans="1:8" s="10" customFormat="1" x14ac:dyDescent="0.25">
      <c r="A2796" s="26"/>
      <c r="D2796" s="27"/>
      <c r="E2796" s="25"/>
      <c r="F2796" s="26"/>
      <c r="G2796" s="25"/>
      <c r="H2796" s="25"/>
    </row>
    <row r="2797" spans="1:8" s="10" customFormat="1" x14ac:dyDescent="0.25">
      <c r="A2797" s="26"/>
      <c r="D2797" s="27"/>
      <c r="E2797" s="25"/>
      <c r="F2797" s="26"/>
      <c r="G2797" s="25"/>
      <c r="H2797" s="25"/>
    </row>
    <row r="2798" spans="1:8" s="10" customFormat="1" x14ac:dyDescent="0.25">
      <c r="A2798" s="26"/>
      <c r="D2798" s="27"/>
      <c r="E2798" s="25"/>
      <c r="F2798" s="26"/>
      <c r="G2798" s="25"/>
      <c r="H2798" s="25"/>
    </row>
    <row r="2799" spans="1:8" s="10" customFormat="1" x14ac:dyDescent="0.25">
      <c r="A2799" s="26"/>
      <c r="D2799" s="27"/>
      <c r="E2799" s="25"/>
      <c r="F2799" s="26"/>
      <c r="G2799" s="25"/>
      <c r="H2799" s="25"/>
    </row>
    <row r="2800" spans="1:8" s="10" customFormat="1" x14ac:dyDescent="0.25">
      <c r="A2800" s="26"/>
      <c r="D2800" s="27"/>
      <c r="E2800" s="25"/>
      <c r="F2800" s="26"/>
      <c r="G2800" s="25"/>
      <c r="H2800" s="25"/>
    </row>
    <row r="2801" spans="1:8" s="10" customFormat="1" x14ac:dyDescent="0.25">
      <c r="A2801" s="26"/>
      <c r="D2801" s="27"/>
      <c r="E2801" s="25"/>
      <c r="F2801" s="26"/>
      <c r="G2801" s="25"/>
      <c r="H2801" s="25"/>
    </row>
    <row r="2802" spans="1:8" s="10" customFormat="1" x14ac:dyDescent="0.25">
      <c r="A2802" s="26"/>
      <c r="D2802" s="27"/>
      <c r="E2802" s="25"/>
      <c r="F2802" s="26"/>
      <c r="G2802" s="25"/>
      <c r="H2802" s="25"/>
    </row>
    <row r="2803" spans="1:8" s="10" customFormat="1" x14ac:dyDescent="0.25">
      <c r="A2803" s="26"/>
      <c r="D2803" s="27"/>
      <c r="E2803" s="25"/>
      <c r="F2803" s="26"/>
      <c r="G2803" s="25"/>
      <c r="H2803" s="25"/>
    </row>
    <row r="2804" spans="1:8" s="10" customFormat="1" x14ac:dyDescent="0.25">
      <c r="A2804" s="26"/>
      <c r="D2804" s="27"/>
      <c r="E2804" s="25"/>
      <c r="F2804" s="26"/>
      <c r="G2804" s="25"/>
      <c r="H2804" s="25"/>
    </row>
    <row r="2805" spans="1:8" s="10" customFormat="1" x14ac:dyDescent="0.25">
      <c r="A2805" s="26"/>
      <c r="D2805" s="27"/>
      <c r="E2805" s="25"/>
      <c r="F2805" s="26"/>
      <c r="G2805" s="25"/>
      <c r="H2805" s="25"/>
    </row>
    <row r="2806" spans="1:8" s="10" customFormat="1" x14ac:dyDescent="0.25">
      <c r="A2806" s="26"/>
      <c r="D2806" s="27"/>
      <c r="E2806" s="25"/>
      <c r="F2806" s="26"/>
      <c r="G2806" s="25"/>
      <c r="H2806" s="25"/>
    </row>
    <row r="2807" spans="1:8" s="10" customFormat="1" x14ac:dyDescent="0.25">
      <c r="A2807" s="26"/>
      <c r="D2807" s="27"/>
      <c r="E2807" s="25"/>
      <c r="F2807" s="26"/>
      <c r="G2807" s="25"/>
      <c r="H2807" s="25"/>
    </row>
    <row r="2808" spans="1:8" s="10" customFormat="1" x14ac:dyDescent="0.25">
      <c r="A2808" s="26"/>
      <c r="D2808" s="27"/>
      <c r="E2808" s="25"/>
      <c r="F2808" s="26"/>
      <c r="G2808" s="25"/>
      <c r="H2808" s="25"/>
    </row>
    <row r="2809" spans="1:8" s="10" customFormat="1" x14ac:dyDescent="0.25">
      <c r="A2809" s="26"/>
      <c r="D2809" s="27"/>
      <c r="E2809" s="25"/>
      <c r="F2809" s="26"/>
      <c r="G2809" s="25"/>
      <c r="H2809" s="25"/>
    </row>
    <row r="2810" spans="1:8" s="10" customFormat="1" x14ac:dyDescent="0.25">
      <c r="A2810" s="26"/>
      <c r="D2810" s="27"/>
      <c r="E2810" s="25"/>
      <c r="F2810" s="26"/>
      <c r="G2810" s="25"/>
      <c r="H2810" s="25"/>
    </row>
    <row r="2811" spans="1:8" s="10" customFormat="1" x14ac:dyDescent="0.25">
      <c r="A2811" s="26"/>
      <c r="D2811" s="27"/>
      <c r="E2811" s="25"/>
      <c r="F2811" s="26"/>
      <c r="G2811" s="25"/>
      <c r="H2811" s="25"/>
    </row>
    <row r="2812" spans="1:8" s="10" customFormat="1" x14ac:dyDescent="0.25">
      <c r="A2812" s="26"/>
      <c r="D2812" s="27"/>
      <c r="E2812" s="25"/>
      <c r="F2812" s="26"/>
      <c r="G2812" s="25"/>
      <c r="H2812" s="25"/>
    </row>
    <row r="2813" spans="1:8" s="10" customFormat="1" x14ac:dyDescent="0.25">
      <c r="A2813" s="26"/>
      <c r="D2813" s="27"/>
      <c r="E2813" s="25"/>
      <c r="F2813" s="26"/>
      <c r="G2813" s="25"/>
      <c r="H2813" s="25"/>
    </row>
    <row r="2814" spans="1:8" s="10" customFormat="1" x14ac:dyDescent="0.25">
      <c r="A2814" s="26"/>
      <c r="D2814" s="27"/>
      <c r="E2814" s="25"/>
      <c r="F2814" s="26"/>
      <c r="G2814" s="25"/>
      <c r="H2814" s="25"/>
    </row>
    <row r="2815" spans="1:8" s="10" customFormat="1" x14ac:dyDescent="0.25">
      <c r="A2815" s="26"/>
      <c r="D2815" s="27"/>
      <c r="E2815" s="25"/>
      <c r="F2815" s="26"/>
      <c r="G2815" s="25"/>
      <c r="H2815" s="25"/>
    </row>
    <row r="2816" spans="1:8" s="10" customFormat="1" x14ac:dyDescent="0.25">
      <c r="A2816" s="26"/>
      <c r="D2816" s="27"/>
      <c r="E2816" s="25"/>
      <c r="F2816" s="26"/>
      <c r="G2816" s="25"/>
      <c r="H2816" s="25"/>
    </row>
    <row r="2817" spans="1:8" s="10" customFormat="1" x14ac:dyDescent="0.25">
      <c r="A2817" s="26"/>
      <c r="D2817" s="27"/>
      <c r="E2817" s="25"/>
      <c r="F2817" s="26"/>
      <c r="G2817" s="25"/>
      <c r="H2817" s="25"/>
    </row>
    <row r="2818" spans="1:8" s="10" customFormat="1" x14ac:dyDescent="0.25">
      <c r="A2818" s="26"/>
      <c r="D2818" s="27"/>
      <c r="E2818" s="25"/>
      <c r="F2818" s="26"/>
      <c r="G2818" s="25"/>
      <c r="H2818" s="25"/>
    </row>
    <row r="2819" spans="1:8" s="10" customFormat="1" x14ac:dyDescent="0.25">
      <c r="A2819" s="26"/>
      <c r="D2819" s="27"/>
      <c r="E2819" s="25"/>
      <c r="F2819" s="26"/>
      <c r="G2819" s="25"/>
      <c r="H2819" s="25"/>
    </row>
    <row r="2820" spans="1:8" s="10" customFormat="1" x14ac:dyDescent="0.25">
      <c r="A2820" s="26"/>
      <c r="D2820" s="27"/>
      <c r="E2820" s="25"/>
      <c r="F2820" s="26"/>
      <c r="G2820" s="25"/>
      <c r="H2820" s="25"/>
    </row>
    <row r="2821" spans="1:8" s="10" customFormat="1" x14ac:dyDescent="0.25">
      <c r="A2821" s="26"/>
      <c r="D2821" s="27"/>
      <c r="E2821" s="25"/>
      <c r="F2821" s="26"/>
      <c r="G2821" s="25"/>
      <c r="H2821" s="25"/>
    </row>
    <row r="2822" spans="1:8" s="10" customFormat="1" x14ac:dyDescent="0.25">
      <c r="A2822" s="26"/>
      <c r="D2822" s="27"/>
      <c r="E2822" s="25"/>
      <c r="F2822" s="26"/>
      <c r="G2822" s="25"/>
      <c r="H2822" s="25"/>
    </row>
    <row r="2823" spans="1:8" s="10" customFormat="1" x14ac:dyDescent="0.25">
      <c r="A2823" s="26"/>
      <c r="D2823" s="27"/>
      <c r="E2823" s="25"/>
      <c r="F2823" s="26"/>
      <c r="G2823" s="25"/>
      <c r="H2823" s="25"/>
    </row>
    <row r="2824" spans="1:8" s="10" customFormat="1" x14ac:dyDescent="0.25">
      <c r="A2824" s="26"/>
      <c r="D2824" s="27"/>
      <c r="E2824" s="25"/>
      <c r="F2824" s="26"/>
      <c r="G2824" s="25"/>
      <c r="H2824" s="25"/>
    </row>
  </sheetData>
  <sheetProtection sheet="1" objects="1" scenarios="1"/>
  <mergeCells count="1">
    <mergeCell ref="L906:L907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N212"/>
  <sheetViews>
    <sheetView topLeftCell="A178" workbookViewId="0">
      <selection activeCell="C2" sqref="C2"/>
    </sheetView>
  </sheetViews>
  <sheetFormatPr baseColWidth="10" defaultRowHeight="12.75" x14ac:dyDescent="0.2"/>
  <cols>
    <col min="1" max="1" width="32" bestFit="1" customWidth="1"/>
    <col min="2" max="2" width="29.28515625" bestFit="1" customWidth="1"/>
  </cols>
  <sheetData>
    <row r="2" spans="1:14" x14ac:dyDescent="0.2">
      <c r="A2" s="29" t="s">
        <v>4825</v>
      </c>
      <c r="B2" s="29" t="s">
        <v>4826</v>
      </c>
      <c r="C2" s="112" t="s">
        <v>14113</v>
      </c>
      <c r="D2" s="112" t="s">
        <v>14114</v>
      </c>
      <c r="E2" s="112" t="s">
        <v>14115</v>
      </c>
      <c r="F2" s="112" t="s">
        <v>14116</v>
      </c>
      <c r="G2" s="112" t="s">
        <v>14117</v>
      </c>
      <c r="H2" s="112" t="s">
        <v>14118</v>
      </c>
      <c r="I2" s="112" t="s">
        <v>14119</v>
      </c>
      <c r="J2" s="112" t="s">
        <v>14120</v>
      </c>
      <c r="K2" s="112" t="s">
        <v>14121</v>
      </c>
      <c r="L2" s="112" t="s">
        <v>14122</v>
      </c>
      <c r="M2" s="112" t="s">
        <v>14123</v>
      </c>
      <c r="N2" s="112" t="s">
        <v>14124</v>
      </c>
    </row>
    <row r="3" spans="1:14" ht="15" customHeight="1" x14ac:dyDescent="0.2">
      <c r="A3" s="30" t="s">
        <v>4829</v>
      </c>
      <c r="B3" s="31">
        <v>20355</v>
      </c>
      <c r="C3" s="113" t="s">
        <v>14125</v>
      </c>
      <c r="D3" s="112"/>
      <c r="E3" s="112" t="s">
        <v>14126</v>
      </c>
      <c r="F3" s="112"/>
      <c r="G3" s="112" t="s">
        <v>14127</v>
      </c>
      <c r="H3" s="112" t="s">
        <v>14128</v>
      </c>
      <c r="I3" s="112" t="s">
        <v>14129</v>
      </c>
      <c r="J3" s="112" t="s">
        <v>14130</v>
      </c>
      <c r="K3" s="112" t="s">
        <v>14131</v>
      </c>
      <c r="L3" s="113" t="s">
        <v>14125</v>
      </c>
      <c r="M3" s="112"/>
      <c r="N3" s="112" t="s">
        <v>14126</v>
      </c>
    </row>
    <row r="4" spans="1:14" ht="15" customHeight="1" x14ac:dyDescent="0.2">
      <c r="A4" s="30" t="s">
        <v>4830</v>
      </c>
      <c r="B4" s="31" t="s">
        <v>4827</v>
      </c>
      <c r="C4" s="113" t="s">
        <v>4877</v>
      </c>
      <c r="D4" s="112" t="s">
        <v>14132</v>
      </c>
      <c r="E4" s="112" t="s">
        <v>14133</v>
      </c>
      <c r="F4" s="112">
        <v>1</v>
      </c>
      <c r="G4" s="112" t="s">
        <v>14134</v>
      </c>
      <c r="H4" s="112" t="s">
        <v>14135</v>
      </c>
      <c r="I4" s="112" t="s">
        <v>14136</v>
      </c>
      <c r="J4" s="112" t="s">
        <v>14137</v>
      </c>
      <c r="K4" s="112" t="s">
        <v>14138</v>
      </c>
      <c r="L4" s="113" t="s">
        <v>4877</v>
      </c>
      <c r="M4" s="112" t="s">
        <v>14139</v>
      </c>
      <c r="N4" s="112" t="s">
        <v>14133</v>
      </c>
    </row>
    <row r="5" spans="1:14" ht="15" customHeight="1" x14ac:dyDescent="0.2">
      <c r="A5" s="30" t="s">
        <v>2862</v>
      </c>
      <c r="B5" s="32">
        <v>30535195869</v>
      </c>
      <c r="C5" s="113" t="s">
        <v>14140</v>
      </c>
      <c r="D5" s="112" t="s">
        <v>14141</v>
      </c>
      <c r="E5" s="112" t="s">
        <v>14142</v>
      </c>
      <c r="F5" s="112">
        <v>2</v>
      </c>
      <c r="G5" s="112" t="s">
        <v>14143</v>
      </c>
      <c r="H5" s="112"/>
      <c r="I5" s="112" t="s">
        <v>14144</v>
      </c>
      <c r="J5" s="112" t="s">
        <v>14145</v>
      </c>
      <c r="K5" s="112"/>
      <c r="L5" s="113" t="s">
        <v>14140</v>
      </c>
      <c r="M5" s="112" t="s">
        <v>14146</v>
      </c>
      <c r="N5" s="112" t="s">
        <v>14142</v>
      </c>
    </row>
    <row r="6" spans="1:14" ht="15" customHeight="1" x14ac:dyDescent="0.2">
      <c r="A6" s="30" t="s">
        <v>2794</v>
      </c>
      <c r="B6" s="31" t="s">
        <v>4832</v>
      </c>
      <c r="C6" s="113" t="s">
        <v>14147</v>
      </c>
      <c r="D6" s="112" t="s">
        <v>14148</v>
      </c>
      <c r="E6" s="112" t="s">
        <v>2805</v>
      </c>
      <c r="F6" s="112">
        <v>3</v>
      </c>
      <c r="G6" s="112"/>
      <c r="H6" s="112"/>
      <c r="I6" s="112"/>
      <c r="J6" s="112" t="s">
        <v>14149</v>
      </c>
      <c r="K6" s="112"/>
      <c r="L6" s="113" t="s">
        <v>14147</v>
      </c>
      <c r="M6" s="112" t="s">
        <v>14150</v>
      </c>
      <c r="N6" s="112" t="s">
        <v>2805</v>
      </c>
    </row>
    <row r="7" spans="1:14" ht="15" customHeight="1" x14ac:dyDescent="0.2">
      <c r="A7" s="30" t="s">
        <v>4831</v>
      </c>
      <c r="B7" s="31">
        <v>1665</v>
      </c>
      <c r="C7" s="113" t="s">
        <v>14151</v>
      </c>
      <c r="D7" s="112" t="s">
        <v>14152</v>
      </c>
      <c r="E7" s="112" t="s">
        <v>14153</v>
      </c>
      <c r="F7" s="112">
        <v>4</v>
      </c>
      <c r="G7" s="112"/>
      <c r="H7" s="112"/>
      <c r="I7" s="112"/>
      <c r="J7" s="112" t="s">
        <v>14154</v>
      </c>
      <c r="K7" s="112"/>
      <c r="L7" s="113" t="s">
        <v>14151</v>
      </c>
      <c r="M7" s="112" t="s">
        <v>14155</v>
      </c>
      <c r="N7" s="112" t="s">
        <v>14153</v>
      </c>
    </row>
    <row r="8" spans="1:14" ht="15" customHeight="1" x14ac:dyDescent="0.2">
      <c r="A8" s="30" t="s">
        <v>4833</v>
      </c>
      <c r="B8" s="31" t="s">
        <v>4828</v>
      </c>
      <c r="C8" s="113" t="s">
        <v>14156</v>
      </c>
      <c r="D8" s="112" t="s">
        <v>14157</v>
      </c>
      <c r="E8" s="112" t="s">
        <v>14099</v>
      </c>
      <c r="F8" s="112">
        <v>5</v>
      </c>
      <c r="G8" s="112"/>
      <c r="H8" s="112"/>
      <c r="I8" s="112"/>
      <c r="J8" s="112" t="s">
        <v>14158</v>
      </c>
      <c r="K8" s="112"/>
      <c r="L8" s="113" t="s">
        <v>14156</v>
      </c>
      <c r="M8" s="112" t="s">
        <v>14159</v>
      </c>
      <c r="N8" s="112" t="s">
        <v>14099</v>
      </c>
    </row>
    <row r="9" spans="1:14" ht="15" customHeight="1" x14ac:dyDescent="0.2">
      <c r="A9" s="30" t="s">
        <v>2797</v>
      </c>
      <c r="B9" s="31" t="s">
        <v>4828</v>
      </c>
      <c r="C9" s="113" t="s">
        <v>14160</v>
      </c>
      <c r="D9" s="112" t="s">
        <v>14161</v>
      </c>
      <c r="E9" s="112" t="s">
        <v>14162</v>
      </c>
      <c r="F9" s="112">
        <v>6</v>
      </c>
      <c r="G9" s="112"/>
      <c r="H9" s="112"/>
      <c r="I9" s="112"/>
      <c r="J9" s="112" t="s">
        <v>14163</v>
      </c>
      <c r="K9" s="112"/>
      <c r="L9" s="113" t="s">
        <v>14160</v>
      </c>
      <c r="M9" s="112" t="s">
        <v>14164</v>
      </c>
      <c r="N9" s="112" t="s">
        <v>14162</v>
      </c>
    </row>
    <row r="10" spans="1:14" ht="15" customHeight="1" x14ac:dyDescent="0.2">
      <c r="A10" s="30" t="s">
        <v>2120</v>
      </c>
      <c r="B10" s="33">
        <v>5500</v>
      </c>
      <c r="C10" s="113" t="s">
        <v>14165</v>
      </c>
      <c r="D10" s="112" t="s">
        <v>14166</v>
      </c>
      <c r="E10" s="112" t="s">
        <v>14167</v>
      </c>
      <c r="F10" s="112">
        <v>7</v>
      </c>
      <c r="G10" s="112"/>
      <c r="H10" s="112"/>
      <c r="I10" s="112"/>
      <c r="J10" s="112" t="s">
        <v>14168</v>
      </c>
      <c r="K10" s="112"/>
      <c r="L10" s="113" t="s">
        <v>14165</v>
      </c>
      <c r="M10" s="112" t="s">
        <v>14169</v>
      </c>
      <c r="N10" s="112" t="s">
        <v>14167</v>
      </c>
    </row>
    <row r="11" spans="1:14" ht="15" customHeight="1" x14ac:dyDescent="0.2">
      <c r="A11" s="30" t="s">
        <v>4834</v>
      </c>
      <c r="B11" s="34" t="s">
        <v>4822</v>
      </c>
      <c r="C11" s="113" t="s">
        <v>14170</v>
      </c>
      <c r="D11" s="112" t="s">
        <v>14171</v>
      </c>
      <c r="E11" s="112" t="s">
        <v>14172</v>
      </c>
      <c r="F11" s="112">
        <v>8</v>
      </c>
      <c r="G11" s="112"/>
      <c r="H11" s="112"/>
      <c r="I11" s="112"/>
      <c r="J11" s="112"/>
      <c r="K11" s="112"/>
      <c r="L11" s="113" t="s">
        <v>14170</v>
      </c>
      <c r="M11" s="112" t="s">
        <v>14173</v>
      </c>
      <c r="N11" s="112" t="s">
        <v>14172</v>
      </c>
    </row>
    <row r="12" spans="1:14" ht="15" customHeight="1" x14ac:dyDescent="0.2">
      <c r="A12" s="30" t="s">
        <v>4835</v>
      </c>
      <c r="B12" s="33" t="s">
        <v>4823</v>
      </c>
      <c r="C12" s="113" t="s">
        <v>14174</v>
      </c>
      <c r="D12" s="112" t="s">
        <v>14175</v>
      </c>
      <c r="E12" s="112" t="s">
        <v>14176</v>
      </c>
      <c r="F12" s="112">
        <v>9</v>
      </c>
      <c r="G12" s="112"/>
      <c r="H12" s="112"/>
      <c r="I12" s="112"/>
      <c r="J12" s="112"/>
      <c r="K12" s="112"/>
      <c r="L12" s="113" t="s">
        <v>14174</v>
      </c>
      <c r="M12" s="112" t="s">
        <v>14177</v>
      </c>
      <c r="N12" s="112" t="s">
        <v>14176</v>
      </c>
    </row>
    <row r="13" spans="1:14" x14ac:dyDescent="0.2">
      <c r="C13" s="113" t="s">
        <v>4882</v>
      </c>
      <c r="D13" s="112" t="s">
        <v>14178</v>
      </c>
      <c r="E13" s="112" t="s">
        <v>14102</v>
      </c>
      <c r="F13" s="112">
        <v>10</v>
      </c>
      <c r="G13" s="112"/>
      <c r="H13" s="112"/>
      <c r="I13" s="112"/>
      <c r="J13" s="112"/>
      <c r="K13" s="112"/>
      <c r="L13" s="113" t="s">
        <v>4882</v>
      </c>
      <c r="M13" s="112" t="s">
        <v>14179</v>
      </c>
      <c r="N13" s="112" t="s">
        <v>14102</v>
      </c>
    </row>
    <row r="14" spans="1:14" x14ac:dyDescent="0.2">
      <c r="C14" s="113" t="s">
        <v>14180</v>
      </c>
      <c r="D14" s="112" t="s">
        <v>14181</v>
      </c>
      <c r="E14" s="112" t="s">
        <v>14182</v>
      </c>
      <c r="F14" s="112">
        <v>11</v>
      </c>
      <c r="G14" s="112"/>
      <c r="H14" s="112"/>
      <c r="I14" s="112"/>
      <c r="J14" s="112"/>
      <c r="K14" s="112"/>
      <c r="L14" s="113" t="s">
        <v>14180</v>
      </c>
      <c r="M14" s="112" t="s">
        <v>14183</v>
      </c>
      <c r="N14" s="112" t="s">
        <v>14182</v>
      </c>
    </row>
    <row r="15" spans="1:14" x14ac:dyDescent="0.2">
      <c r="C15" s="113" t="s">
        <v>14184</v>
      </c>
      <c r="D15" s="112" t="s">
        <v>14185</v>
      </c>
      <c r="E15" s="112"/>
      <c r="F15" s="112">
        <v>12</v>
      </c>
      <c r="G15" s="112"/>
      <c r="H15" s="112"/>
      <c r="I15" s="112"/>
      <c r="J15" s="112"/>
      <c r="K15" s="112"/>
      <c r="L15" s="113" t="s">
        <v>14184</v>
      </c>
      <c r="M15" s="112" t="s">
        <v>14186</v>
      </c>
      <c r="N15" s="112" t="s">
        <v>14127</v>
      </c>
    </row>
    <row r="16" spans="1:14" x14ac:dyDescent="0.2">
      <c r="C16" s="113" t="s">
        <v>14187</v>
      </c>
      <c r="D16" s="112" t="s">
        <v>14188</v>
      </c>
      <c r="E16" s="112"/>
      <c r="F16" s="112">
        <v>13</v>
      </c>
      <c r="G16" s="112"/>
      <c r="H16" s="112"/>
      <c r="I16" s="112"/>
      <c r="J16" s="112"/>
      <c r="K16" s="112"/>
      <c r="L16" s="113" t="s">
        <v>14187</v>
      </c>
      <c r="M16" s="112" t="s">
        <v>14189</v>
      </c>
      <c r="N16" s="112" t="s">
        <v>14134</v>
      </c>
    </row>
    <row r="17" spans="3:14" x14ac:dyDescent="0.2">
      <c r="C17" s="113" t="s">
        <v>6009</v>
      </c>
      <c r="D17" s="112" t="s">
        <v>14190</v>
      </c>
      <c r="E17" s="112"/>
      <c r="F17" s="112">
        <v>14</v>
      </c>
      <c r="G17" s="112"/>
      <c r="H17" s="112"/>
      <c r="I17" s="112"/>
      <c r="J17" s="112"/>
      <c r="K17" s="112"/>
      <c r="L17" s="113" t="s">
        <v>6009</v>
      </c>
      <c r="M17" s="112" t="s">
        <v>14191</v>
      </c>
      <c r="N17" s="112" t="s">
        <v>14143</v>
      </c>
    </row>
    <row r="18" spans="3:14" x14ac:dyDescent="0.2">
      <c r="C18" s="113" t="s">
        <v>4879</v>
      </c>
      <c r="D18" s="112" t="s">
        <v>14192</v>
      </c>
      <c r="E18" s="112"/>
      <c r="F18" s="112">
        <v>15</v>
      </c>
      <c r="G18" s="112"/>
      <c r="H18" s="112"/>
      <c r="I18" s="112"/>
      <c r="J18" s="112"/>
      <c r="K18" s="112"/>
      <c r="L18" s="113" t="s">
        <v>4879</v>
      </c>
      <c r="M18" s="112" t="s">
        <v>14193</v>
      </c>
      <c r="N18" s="112" t="s">
        <v>14128</v>
      </c>
    </row>
    <row r="19" spans="3:14" x14ac:dyDescent="0.2">
      <c r="C19" s="113" t="s">
        <v>4896</v>
      </c>
      <c r="D19" s="112" t="s">
        <v>14194</v>
      </c>
      <c r="E19" s="112"/>
      <c r="F19" s="112">
        <v>16</v>
      </c>
      <c r="G19" s="112"/>
      <c r="H19" s="112"/>
      <c r="I19" s="112"/>
      <c r="J19" s="112"/>
      <c r="K19" s="112"/>
      <c r="L19" s="113" t="s">
        <v>4896</v>
      </c>
      <c r="M19" s="112" t="s">
        <v>14195</v>
      </c>
      <c r="N19" s="112" t="s">
        <v>14135</v>
      </c>
    </row>
    <row r="20" spans="3:14" x14ac:dyDescent="0.2">
      <c r="C20" s="113" t="s">
        <v>4847</v>
      </c>
      <c r="D20" s="112" t="s">
        <v>14196</v>
      </c>
      <c r="E20" s="112"/>
      <c r="F20" s="112">
        <v>17</v>
      </c>
      <c r="G20" s="112"/>
      <c r="H20" s="112"/>
      <c r="I20" s="112"/>
      <c r="J20" s="112"/>
      <c r="K20" s="112"/>
      <c r="L20" s="113" t="s">
        <v>4847</v>
      </c>
      <c r="M20" s="112" t="s">
        <v>14197</v>
      </c>
      <c r="N20" s="112" t="s">
        <v>14129</v>
      </c>
    </row>
    <row r="21" spans="3:14" x14ac:dyDescent="0.2">
      <c r="C21" s="113" t="s">
        <v>4843</v>
      </c>
      <c r="D21" s="112" t="s">
        <v>14198</v>
      </c>
      <c r="E21" s="112"/>
      <c r="F21" s="112">
        <v>18</v>
      </c>
      <c r="G21" s="112"/>
      <c r="H21" s="112"/>
      <c r="I21" s="112"/>
      <c r="J21" s="112"/>
      <c r="K21" s="112"/>
      <c r="L21" s="113" t="s">
        <v>4843</v>
      </c>
      <c r="M21" s="112" t="s">
        <v>14199</v>
      </c>
      <c r="N21" s="112" t="s">
        <v>14136</v>
      </c>
    </row>
    <row r="22" spans="3:14" x14ac:dyDescent="0.2">
      <c r="C22" s="113" t="s">
        <v>4902</v>
      </c>
      <c r="D22" s="112" t="s">
        <v>14200</v>
      </c>
      <c r="E22" s="112"/>
      <c r="F22" s="112">
        <v>19</v>
      </c>
      <c r="G22" s="112"/>
      <c r="H22" s="112"/>
      <c r="I22" s="112"/>
      <c r="J22" s="112"/>
      <c r="K22" s="112"/>
      <c r="L22" s="113" t="s">
        <v>4902</v>
      </c>
      <c r="M22" s="112" t="s">
        <v>14201</v>
      </c>
      <c r="N22" s="112" t="s">
        <v>14144</v>
      </c>
    </row>
    <row r="23" spans="3:14" x14ac:dyDescent="0.2">
      <c r="C23" s="113" t="s">
        <v>4908</v>
      </c>
      <c r="D23" s="112" t="s">
        <v>14202</v>
      </c>
      <c r="E23" s="112"/>
      <c r="F23" s="112">
        <v>20</v>
      </c>
      <c r="G23" s="112"/>
      <c r="H23" s="112"/>
      <c r="I23" s="112"/>
      <c r="J23" s="112"/>
      <c r="K23" s="112"/>
      <c r="L23" s="113" t="s">
        <v>4908</v>
      </c>
      <c r="M23" s="112" t="s">
        <v>14203</v>
      </c>
      <c r="N23" s="112" t="s">
        <v>14130</v>
      </c>
    </row>
    <row r="24" spans="3:14" x14ac:dyDescent="0.2">
      <c r="C24" s="113" t="s">
        <v>4864</v>
      </c>
      <c r="D24" s="112" t="s">
        <v>14204</v>
      </c>
      <c r="E24" s="112"/>
      <c r="F24" s="112">
        <v>21</v>
      </c>
      <c r="G24" s="112"/>
      <c r="H24" s="112"/>
      <c r="I24" s="112"/>
      <c r="J24" s="112"/>
      <c r="K24" s="112"/>
      <c r="L24" s="113" t="s">
        <v>4864</v>
      </c>
      <c r="M24" s="112" t="s">
        <v>14205</v>
      </c>
      <c r="N24" s="112" t="s">
        <v>14137</v>
      </c>
    </row>
    <row r="25" spans="3:14" x14ac:dyDescent="0.2">
      <c r="C25" s="113" t="s">
        <v>5533</v>
      </c>
      <c r="D25" s="112" t="s">
        <v>14206</v>
      </c>
      <c r="E25" s="112"/>
      <c r="F25" s="112">
        <v>22</v>
      </c>
      <c r="G25" s="112"/>
      <c r="H25" s="112"/>
      <c r="I25" s="112"/>
      <c r="J25" s="112"/>
      <c r="K25" s="112"/>
      <c r="L25" s="113" t="s">
        <v>5533</v>
      </c>
      <c r="M25" s="112" t="s">
        <v>14207</v>
      </c>
      <c r="N25" s="112" t="s">
        <v>14145</v>
      </c>
    </row>
    <row r="26" spans="3:14" x14ac:dyDescent="0.2">
      <c r="C26" s="113" t="s">
        <v>14208</v>
      </c>
      <c r="D26" s="112" t="s">
        <v>14209</v>
      </c>
      <c r="E26" s="112"/>
      <c r="F26" s="112">
        <v>23</v>
      </c>
      <c r="G26" s="112"/>
      <c r="H26" s="112"/>
      <c r="I26" s="112"/>
      <c r="J26" s="112"/>
      <c r="K26" s="112"/>
      <c r="L26" s="113" t="s">
        <v>14208</v>
      </c>
      <c r="M26" s="112" t="s">
        <v>14210</v>
      </c>
      <c r="N26" s="112" t="s">
        <v>14149</v>
      </c>
    </row>
    <row r="27" spans="3:14" x14ac:dyDescent="0.2">
      <c r="C27" s="113" t="s">
        <v>14211</v>
      </c>
      <c r="D27" s="112"/>
      <c r="E27" s="112"/>
      <c r="F27" s="112">
        <v>24</v>
      </c>
      <c r="G27" s="112"/>
      <c r="H27" s="112"/>
      <c r="I27" s="112"/>
      <c r="J27" s="112"/>
      <c r="K27" s="112"/>
      <c r="L27" s="113" t="s">
        <v>14211</v>
      </c>
      <c r="M27" s="112"/>
      <c r="N27" s="112" t="s">
        <v>14154</v>
      </c>
    </row>
    <row r="28" spans="3:14" x14ac:dyDescent="0.2">
      <c r="C28" s="113" t="s">
        <v>14212</v>
      </c>
      <c r="D28" s="112"/>
      <c r="E28" s="112"/>
      <c r="F28" s="112">
        <v>25</v>
      </c>
      <c r="G28" s="112"/>
      <c r="H28" s="112"/>
      <c r="I28" s="112"/>
      <c r="J28" s="112"/>
      <c r="K28" s="112"/>
      <c r="L28" s="113" t="s">
        <v>14212</v>
      </c>
      <c r="M28" s="112"/>
      <c r="N28" s="112" t="s">
        <v>14158</v>
      </c>
    </row>
    <row r="29" spans="3:14" x14ac:dyDescent="0.2">
      <c r="C29" s="113" t="s">
        <v>14213</v>
      </c>
      <c r="D29" s="112"/>
      <c r="E29" s="112"/>
      <c r="F29" s="112">
        <v>26</v>
      </c>
      <c r="G29" s="112"/>
      <c r="H29" s="112"/>
      <c r="I29" s="112"/>
      <c r="J29" s="112"/>
      <c r="K29" s="112"/>
      <c r="L29" s="113" t="s">
        <v>14213</v>
      </c>
      <c r="M29" s="112"/>
      <c r="N29" s="112" t="s">
        <v>14163</v>
      </c>
    </row>
    <row r="30" spans="3:14" x14ac:dyDescent="0.2">
      <c r="C30" s="113" t="s">
        <v>14214</v>
      </c>
      <c r="D30" s="112"/>
      <c r="E30" s="112"/>
      <c r="F30" s="112">
        <v>27</v>
      </c>
      <c r="G30" s="112"/>
      <c r="H30" s="112"/>
      <c r="I30" s="112"/>
      <c r="J30" s="112"/>
      <c r="K30" s="112"/>
      <c r="L30" s="113" t="s">
        <v>14214</v>
      </c>
      <c r="M30" s="112"/>
      <c r="N30" s="112" t="s">
        <v>14168</v>
      </c>
    </row>
    <row r="31" spans="3:14" x14ac:dyDescent="0.2">
      <c r="C31" s="113" t="s">
        <v>14215</v>
      </c>
      <c r="D31" s="112"/>
      <c r="E31" s="112"/>
      <c r="F31" s="112">
        <v>28</v>
      </c>
      <c r="G31" s="112"/>
      <c r="H31" s="112"/>
      <c r="I31" s="112"/>
      <c r="J31" s="112"/>
      <c r="K31" s="112"/>
      <c r="L31" s="113" t="s">
        <v>14215</v>
      </c>
      <c r="M31" s="112"/>
      <c r="N31" s="112" t="s">
        <v>14131</v>
      </c>
    </row>
    <row r="32" spans="3:14" x14ac:dyDescent="0.2">
      <c r="C32" s="113" t="s">
        <v>14216</v>
      </c>
      <c r="D32" s="112"/>
      <c r="E32" s="112"/>
      <c r="F32" s="112">
        <v>29</v>
      </c>
      <c r="G32" s="112"/>
      <c r="H32" s="112"/>
      <c r="I32" s="112"/>
      <c r="J32" s="112"/>
      <c r="K32" s="112"/>
      <c r="L32" s="113" t="s">
        <v>14216</v>
      </c>
      <c r="M32" s="112"/>
      <c r="N32" s="112" t="s">
        <v>14138</v>
      </c>
    </row>
    <row r="33" spans="3:14" x14ac:dyDescent="0.2">
      <c r="C33" s="113" t="s">
        <v>14217</v>
      </c>
      <c r="D33" s="112"/>
      <c r="E33" s="112"/>
      <c r="F33" s="112">
        <v>30</v>
      </c>
      <c r="G33" s="112"/>
      <c r="H33" s="112"/>
      <c r="I33" s="112"/>
      <c r="J33" s="112"/>
      <c r="K33" s="112"/>
      <c r="L33" s="113" t="s">
        <v>14217</v>
      </c>
      <c r="M33" s="112"/>
      <c r="N33" s="112">
        <v>1</v>
      </c>
    </row>
    <row r="34" spans="3:14" x14ac:dyDescent="0.2">
      <c r="C34" s="113" t="s">
        <v>14218</v>
      </c>
      <c r="D34" s="112"/>
      <c r="E34" s="112"/>
      <c r="F34" s="112">
        <v>31</v>
      </c>
      <c r="G34" s="112"/>
      <c r="H34" s="112"/>
      <c r="I34" s="112"/>
      <c r="J34" s="112"/>
      <c r="K34" s="112"/>
      <c r="L34" s="113" t="s">
        <v>14218</v>
      </c>
      <c r="M34" s="112"/>
      <c r="N34" s="112">
        <v>2</v>
      </c>
    </row>
    <row r="35" spans="3:14" x14ac:dyDescent="0.2">
      <c r="C35" s="113" t="s">
        <v>14219</v>
      </c>
      <c r="D35" s="112"/>
      <c r="E35" s="112"/>
      <c r="F35" s="112">
        <v>32</v>
      </c>
      <c r="G35" s="112"/>
      <c r="H35" s="112"/>
      <c r="I35" s="112"/>
      <c r="J35" s="112"/>
      <c r="K35" s="112"/>
      <c r="L35" s="113" t="s">
        <v>14219</v>
      </c>
      <c r="M35" s="112"/>
      <c r="N35" s="112">
        <v>3</v>
      </c>
    </row>
    <row r="36" spans="3:14" x14ac:dyDescent="0.2">
      <c r="C36" s="113" t="s">
        <v>14220</v>
      </c>
      <c r="D36" s="112"/>
      <c r="E36" s="112"/>
      <c r="F36" s="112">
        <v>33</v>
      </c>
      <c r="G36" s="112"/>
      <c r="H36" s="112"/>
      <c r="I36" s="112"/>
      <c r="J36" s="112"/>
      <c r="K36" s="112"/>
      <c r="L36" s="113" t="s">
        <v>14220</v>
      </c>
      <c r="M36" s="112"/>
      <c r="N36" s="112">
        <v>4</v>
      </c>
    </row>
    <row r="37" spans="3:14" x14ac:dyDescent="0.2">
      <c r="C37" s="113" t="s">
        <v>14221</v>
      </c>
      <c r="D37" s="112"/>
      <c r="E37" s="112"/>
      <c r="F37" s="112">
        <v>34</v>
      </c>
      <c r="G37" s="112"/>
      <c r="H37" s="112"/>
      <c r="I37" s="112"/>
      <c r="J37" s="112"/>
      <c r="K37" s="112"/>
      <c r="L37" s="113" t="s">
        <v>14221</v>
      </c>
      <c r="M37" s="112"/>
      <c r="N37" s="112">
        <v>5</v>
      </c>
    </row>
    <row r="38" spans="3:14" x14ac:dyDescent="0.2">
      <c r="C38" s="113" t="s">
        <v>14222</v>
      </c>
      <c r="D38" s="112"/>
      <c r="E38" s="112"/>
      <c r="F38" s="112">
        <v>35</v>
      </c>
      <c r="G38" s="112"/>
      <c r="H38" s="112"/>
      <c r="I38" s="112"/>
      <c r="J38" s="112"/>
      <c r="K38" s="112"/>
      <c r="L38" s="113" t="s">
        <v>14222</v>
      </c>
      <c r="M38" s="112"/>
      <c r="N38" s="112">
        <v>6</v>
      </c>
    </row>
    <row r="39" spans="3:14" x14ac:dyDescent="0.2">
      <c r="C39" s="113" t="s">
        <v>14223</v>
      </c>
      <c r="D39" s="112"/>
      <c r="E39" s="112"/>
      <c r="F39" s="112">
        <v>36</v>
      </c>
      <c r="G39" s="112"/>
      <c r="H39" s="112"/>
      <c r="I39" s="112"/>
      <c r="J39" s="112"/>
      <c r="K39" s="112"/>
      <c r="L39" s="113" t="s">
        <v>14223</v>
      </c>
      <c r="M39" s="112"/>
      <c r="N39" s="112">
        <v>7</v>
      </c>
    </row>
    <row r="40" spans="3:14" x14ac:dyDescent="0.2">
      <c r="C40" s="113" t="s">
        <v>14224</v>
      </c>
      <c r="D40" s="112"/>
      <c r="E40" s="112"/>
      <c r="F40" s="112">
        <v>37</v>
      </c>
      <c r="G40" s="112"/>
      <c r="H40" s="112"/>
      <c r="I40" s="112"/>
      <c r="J40" s="112"/>
      <c r="K40" s="112"/>
      <c r="L40" s="113" t="s">
        <v>14224</v>
      </c>
      <c r="M40" s="112"/>
      <c r="N40" s="112">
        <v>8</v>
      </c>
    </row>
    <row r="41" spans="3:14" x14ac:dyDescent="0.2">
      <c r="C41" s="113" t="s">
        <v>14225</v>
      </c>
      <c r="D41" s="112"/>
      <c r="E41" s="112"/>
      <c r="F41" s="112">
        <v>38</v>
      </c>
      <c r="G41" s="112"/>
      <c r="H41" s="112"/>
      <c r="I41" s="112"/>
      <c r="J41" s="112"/>
      <c r="K41" s="112"/>
      <c r="L41" s="113" t="s">
        <v>14225</v>
      </c>
      <c r="M41" s="112"/>
      <c r="N41" s="112">
        <v>9</v>
      </c>
    </row>
    <row r="42" spans="3:14" x14ac:dyDescent="0.2">
      <c r="C42" s="113" t="s">
        <v>14226</v>
      </c>
      <c r="D42" s="112"/>
      <c r="E42" s="112"/>
      <c r="F42" s="112">
        <v>39</v>
      </c>
      <c r="G42" s="112"/>
      <c r="H42" s="112"/>
      <c r="I42" s="112"/>
      <c r="J42" s="112"/>
      <c r="K42" s="112"/>
      <c r="L42" s="113" t="s">
        <v>14226</v>
      </c>
      <c r="M42" s="112"/>
      <c r="N42" s="112">
        <v>10</v>
      </c>
    </row>
    <row r="43" spans="3:14" x14ac:dyDescent="0.2">
      <c r="C43" s="113" t="s">
        <v>14227</v>
      </c>
      <c r="D43" s="112"/>
      <c r="E43" s="112"/>
      <c r="F43" s="112">
        <v>40</v>
      </c>
      <c r="G43" s="112"/>
      <c r="H43" s="112"/>
      <c r="I43" s="112"/>
      <c r="J43" s="112"/>
      <c r="K43" s="112"/>
      <c r="L43" s="113" t="s">
        <v>14227</v>
      </c>
      <c r="M43" s="112"/>
      <c r="N43" s="112">
        <v>11</v>
      </c>
    </row>
    <row r="44" spans="3:14" x14ac:dyDescent="0.2">
      <c r="C44" s="113" t="s">
        <v>14228</v>
      </c>
      <c r="D44" s="112"/>
      <c r="E44" s="112"/>
      <c r="F44" s="112">
        <v>41</v>
      </c>
      <c r="G44" s="112"/>
      <c r="H44" s="112"/>
      <c r="I44" s="112"/>
      <c r="J44" s="112"/>
      <c r="K44" s="112"/>
      <c r="L44" s="113" t="s">
        <v>14228</v>
      </c>
      <c r="M44" s="112"/>
      <c r="N44" s="112">
        <v>12</v>
      </c>
    </row>
    <row r="45" spans="3:14" x14ac:dyDescent="0.2">
      <c r="C45" s="113" t="s">
        <v>14229</v>
      </c>
      <c r="D45" s="112"/>
      <c r="E45" s="112"/>
      <c r="F45" s="112">
        <v>42</v>
      </c>
      <c r="G45" s="112"/>
      <c r="H45" s="112"/>
      <c r="I45" s="112"/>
      <c r="J45" s="112"/>
      <c r="K45" s="112"/>
      <c r="L45" s="113" t="s">
        <v>14229</v>
      </c>
      <c r="M45" s="112"/>
      <c r="N45" s="112">
        <v>13</v>
      </c>
    </row>
    <row r="46" spans="3:14" x14ac:dyDescent="0.2">
      <c r="C46" s="113" t="s">
        <v>14230</v>
      </c>
      <c r="D46" s="112"/>
      <c r="E46" s="112"/>
      <c r="F46" s="112">
        <v>43</v>
      </c>
      <c r="G46" s="112"/>
      <c r="H46" s="112"/>
      <c r="I46" s="112"/>
      <c r="J46" s="112"/>
      <c r="K46" s="112"/>
      <c r="L46" s="113" t="s">
        <v>14230</v>
      </c>
      <c r="M46" s="112"/>
      <c r="N46" s="112">
        <v>14</v>
      </c>
    </row>
    <row r="47" spans="3:14" x14ac:dyDescent="0.2">
      <c r="C47" s="113" t="s">
        <v>14231</v>
      </c>
      <c r="D47" s="112"/>
      <c r="E47" s="112"/>
      <c r="F47" s="112">
        <v>44</v>
      </c>
      <c r="G47" s="112"/>
      <c r="H47" s="112"/>
      <c r="I47" s="112"/>
      <c r="J47" s="112"/>
      <c r="K47" s="112"/>
      <c r="L47" s="113" t="s">
        <v>14231</v>
      </c>
      <c r="M47" s="112"/>
      <c r="N47" s="112">
        <v>15</v>
      </c>
    </row>
    <row r="48" spans="3:14" x14ac:dyDescent="0.2">
      <c r="C48" s="113" t="s">
        <v>14232</v>
      </c>
      <c r="D48" s="112"/>
      <c r="E48" s="112"/>
      <c r="F48" s="112">
        <v>45</v>
      </c>
      <c r="G48" s="112"/>
      <c r="H48" s="112"/>
      <c r="I48" s="112"/>
      <c r="J48" s="112"/>
      <c r="K48" s="112"/>
      <c r="L48" s="113" t="s">
        <v>14232</v>
      </c>
      <c r="M48" s="112"/>
      <c r="N48" s="112">
        <v>16</v>
      </c>
    </row>
    <row r="49" spans="3:14" x14ac:dyDescent="0.2">
      <c r="C49" s="113" t="s">
        <v>14233</v>
      </c>
      <c r="D49" s="112"/>
      <c r="E49" s="112"/>
      <c r="F49" s="112">
        <v>46</v>
      </c>
      <c r="G49" s="112"/>
      <c r="H49" s="112"/>
      <c r="I49" s="112"/>
      <c r="J49" s="112"/>
      <c r="K49" s="112"/>
      <c r="L49" s="113" t="s">
        <v>14233</v>
      </c>
      <c r="M49" s="112"/>
      <c r="N49" s="112">
        <v>17</v>
      </c>
    </row>
    <row r="50" spans="3:14" x14ac:dyDescent="0.2">
      <c r="C50" s="113" t="s">
        <v>14234</v>
      </c>
      <c r="D50" s="112"/>
      <c r="E50" s="112"/>
      <c r="F50" s="112">
        <v>47</v>
      </c>
      <c r="G50" s="112"/>
      <c r="H50" s="112"/>
      <c r="I50" s="112"/>
      <c r="J50" s="112"/>
      <c r="K50" s="112"/>
      <c r="L50" s="113" t="s">
        <v>14234</v>
      </c>
      <c r="M50" s="112"/>
      <c r="N50" s="112">
        <v>18</v>
      </c>
    </row>
    <row r="51" spans="3:14" x14ac:dyDescent="0.2">
      <c r="C51" s="113" t="s">
        <v>14235</v>
      </c>
      <c r="D51" s="112"/>
      <c r="E51" s="112"/>
      <c r="F51" s="112">
        <v>48</v>
      </c>
      <c r="G51" s="112"/>
      <c r="H51" s="112"/>
      <c r="I51" s="112"/>
      <c r="J51" s="112"/>
      <c r="K51" s="112"/>
      <c r="L51" s="113" t="s">
        <v>14235</v>
      </c>
      <c r="M51" s="112"/>
      <c r="N51" s="112">
        <v>19</v>
      </c>
    </row>
    <row r="52" spans="3:14" x14ac:dyDescent="0.2">
      <c r="C52" s="113" t="s">
        <v>14236</v>
      </c>
      <c r="D52" s="112"/>
      <c r="E52" s="112"/>
      <c r="F52" s="112">
        <v>49</v>
      </c>
      <c r="G52" s="112"/>
      <c r="H52" s="112"/>
      <c r="I52" s="112"/>
      <c r="J52" s="112"/>
      <c r="K52" s="112"/>
      <c r="L52" s="113" t="s">
        <v>14236</v>
      </c>
      <c r="M52" s="112"/>
      <c r="N52" s="112">
        <v>20</v>
      </c>
    </row>
    <row r="53" spans="3:14" x14ac:dyDescent="0.2">
      <c r="C53" s="113" t="s">
        <v>14237</v>
      </c>
      <c r="D53" s="112"/>
      <c r="E53" s="112"/>
      <c r="F53" s="112">
        <v>50</v>
      </c>
      <c r="G53" s="112"/>
      <c r="H53" s="112"/>
      <c r="I53" s="112"/>
      <c r="J53" s="112"/>
      <c r="K53" s="112"/>
      <c r="L53" s="113" t="s">
        <v>14237</v>
      </c>
      <c r="M53" s="112"/>
      <c r="N53" s="112">
        <v>21</v>
      </c>
    </row>
    <row r="54" spans="3:14" x14ac:dyDescent="0.2">
      <c r="C54" s="113" t="s">
        <v>14238</v>
      </c>
      <c r="D54" s="112"/>
      <c r="E54" s="112"/>
      <c r="F54" s="112">
        <v>51</v>
      </c>
      <c r="G54" s="112"/>
      <c r="H54" s="112"/>
      <c r="I54" s="112"/>
      <c r="J54" s="112"/>
      <c r="K54" s="112"/>
      <c r="L54" s="113" t="s">
        <v>14238</v>
      </c>
      <c r="M54" s="112"/>
      <c r="N54" s="112">
        <v>22</v>
      </c>
    </row>
    <row r="55" spans="3:14" x14ac:dyDescent="0.2">
      <c r="C55" s="113" t="s">
        <v>14239</v>
      </c>
      <c r="D55" s="112"/>
      <c r="E55" s="112"/>
      <c r="F55" s="112">
        <v>52</v>
      </c>
      <c r="G55" s="112"/>
      <c r="H55" s="112"/>
      <c r="I55" s="112"/>
      <c r="J55" s="112"/>
      <c r="K55" s="112"/>
      <c r="L55" s="113" t="s">
        <v>14239</v>
      </c>
      <c r="M55" s="112"/>
      <c r="N55" s="112">
        <v>23</v>
      </c>
    </row>
    <row r="56" spans="3:14" x14ac:dyDescent="0.2">
      <c r="C56" s="113" t="s">
        <v>14240</v>
      </c>
      <c r="D56" s="112"/>
      <c r="E56" s="112"/>
      <c r="F56" s="112">
        <v>53</v>
      </c>
      <c r="G56" s="112"/>
      <c r="H56" s="112"/>
      <c r="I56" s="112"/>
      <c r="J56" s="112"/>
      <c r="K56" s="112"/>
      <c r="L56" s="113" t="s">
        <v>14240</v>
      </c>
      <c r="M56" s="112"/>
      <c r="N56" s="112">
        <v>24</v>
      </c>
    </row>
    <row r="57" spans="3:14" x14ac:dyDescent="0.2">
      <c r="C57" s="113" t="s">
        <v>14241</v>
      </c>
      <c r="D57" s="112"/>
      <c r="E57" s="112"/>
      <c r="F57" s="112">
        <v>54</v>
      </c>
      <c r="G57" s="112"/>
      <c r="H57" s="112"/>
      <c r="I57" s="112"/>
      <c r="J57" s="112"/>
      <c r="K57" s="112"/>
      <c r="L57" s="113" t="s">
        <v>14241</v>
      </c>
      <c r="M57" s="112"/>
      <c r="N57" s="112">
        <v>25</v>
      </c>
    </row>
    <row r="58" spans="3:14" x14ac:dyDescent="0.2">
      <c r="C58" s="113" t="s">
        <v>14242</v>
      </c>
      <c r="D58" s="112"/>
      <c r="E58" s="112"/>
      <c r="F58" s="112">
        <v>55</v>
      </c>
      <c r="G58" s="112"/>
      <c r="H58" s="112"/>
      <c r="I58" s="112"/>
      <c r="J58" s="112"/>
      <c r="K58" s="112"/>
      <c r="L58" s="113" t="s">
        <v>14242</v>
      </c>
      <c r="M58" s="112"/>
      <c r="N58" s="112">
        <v>26</v>
      </c>
    </row>
    <row r="59" spans="3:14" x14ac:dyDescent="0.2">
      <c r="C59" s="113" t="s">
        <v>14243</v>
      </c>
      <c r="D59" s="112"/>
      <c r="E59" s="112"/>
      <c r="F59" s="112">
        <v>56</v>
      </c>
      <c r="G59" s="112"/>
      <c r="H59" s="112"/>
      <c r="I59" s="112"/>
      <c r="J59" s="112"/>
      <c r="K59" s="112"/>
      <c r="L59" s="113" t="s">
        <v>14243</v>
      </c>
      <c r="M59" s="112"/>
      <c r="N59" s="112">
        <v>27</v>
      </c>
    </row>
    <row r="60" spans="3:14" x14ac:dyDescent="0.2">
      <c r="C60" s="113" t="s">
        <v>14244</v>
      </c>
      <c r="D60" s="112"/>
      <c r="E60" s="112"/>
      <c r="F60" s="112">
        <v>57</v>
      </c>
      <c r="G60" s="112"/>
      <c r="H60" s="112"/>
      <c r="I60" s="112"/>
      <c r="J60" s="112"/>
      <c r="K60" s="112"/>
      <c r="L60" s="113" t="s">
        <v>14244</v>
      </c>
      <c r="M60" s="112"/>
      <c r="N60" s="112">
        <v>28</v>
      </c>
    </row>
    <row r="61" spans="3:14" x14ac:dyDescent="0.2">
      <c r="C61" s="113" t="s">
        <v>14245</v>
      </c>
      <c r="D61" s="112"/>
      <c r="E61" s="112"/>
      <c r="F61" s="112">
        <v>58</v>
      </c>
      <c r="G61" s="112"/>
      <c r="H61" s="112"/>
      <c r="I61" s="112"/>
      <c r="J61" s="112"/>
      <c r="K61" s="112"/>
      <c r="L61" s="113" t="s">
        <v>14245</v>
      </c>
      <c r="M61" s="112"/>
      <c r="N61" s="112">
        <v>29</v>
      </c>
    </row>
    <row r="62" spans="3:14" x14ac:dyDescent="0.2">
      <c r="C62" s="113" t="s">
        <v>14246</v>
      </c>
      <c r="D62" s="112"/>
      <c r="E62" s="112"/>
      <c r="F62" s="112">
        <v>59</v>
      </c>
      <c r="G62" s="112"/>
      <c r="H62" s="112"/>
      <c r="I62" s="112"/>
      <c r="J62" s="112"/>
      <c r="K62" s="112"/>
      <c r="L62" s="113" t="s">
        <v>14246</v>
      </c>
      <c r="M62" s="112"/>
      <c r="N62" s="112">
        <v>30</v>
      </c>
    </row>
    <row r="63" spans="3:14" x14ac:dyDescent="0.2">
      <c r="C63" s="113" t="s">
        <v>14247</v>
      </c>
      <c r="D63" s="112"/>
      <c r="E63" s="112"/>
      <c r="F63" s="112">
        <v>60</v>
      </c>
      <c r="G63" s="112"/>
      <c r="H63" s="112"/>
      <c r="I63" s="112"/>
      <c r="J63" s="112"/>
      <c r="K63" s="112"/>
      <c r="L63" s="113" t="s">
        <v>14247</v>
      </c>
      <c r="M63" s="112"/>
      <c r="N63" s="112">
        <v>31</v>
      </c>
    </row>
    <row r="64" spans="3:14" x14ac:dyDescent="0.2">
      <c r="C64" s="113" t="s">
        <v>14248</v>
      </c>
      <c r="D64" s="112"/>
      <c r="E64" s="112"/>
      <c r="F64" s="112">
        <v>61</v>
      </c>
      <c r="G64" s="112"/>
      <c r="H64" s="112"/>
      <c r="I64" s="112"/>
      <c r="J64" s="112"/>
      <c r="K64" s="112"/>
      <c r="L64" s="113" t="s">
        <v>14248</v>
      </c>
      <c r="M64" s="112"/>
      <c r="N64" s="112">
        <v>32</v>
      </c>
    </row>
    <row r="65" spans="3:14" x14ac:dyDescent="0.2">
      <c r="C65" s="113" t="s">
        <v>14249</v>
      </c>
      <c r="D65" s="112"/>
      <c r="E65" s="112"/>
      <c r="F65" s="112">
        <v>62</v>
      </c>
      <c r="G65" s="112"/>
      <c r="H65" s="112"/>
      <c r="I65" s="112"/>
      <c r="J65" s="112"/>
      <c r="K65" s="112"/>
      <c r="L65" s="113" t="s">
        <v>14249</v>
      </c>
      <c r="M65" s="112"/>
      <c r="N65" s="112">
        <v>33</v>
      </c>
    </row>
    <row r="66" spans="3:14" x14ac:dyDescent="0.2">
      <c r="C66" s="113" t="s">
        <v>14250</v>
      </c>
      <c r="D66" s="112"/>
      <c r="E66" s="112"/>
      <c r="F66" s="112">
        <v>63</v>
      </c>
      <c r="G66" s="112"/>
      <c r="H66" s="112"/>
      <c r="I66" s="112"/>
      <c r="J66" s="112"/>
      <c r="K66" s="112"/>
      <c r="L66" s="113" t="s">
        <v>14250</v>
      </c>
      <c r="M66" s="112"/>
      <c r="N66" s="112">
        <v>34</v>
      </c>
    </row>
    <row r="67" spans="3:14" x14ac:dyDescent="0.2">
      <c r="C67" s="113" t="s">
        <v>14251</v>
      </c>
      <c r="D67" s="112"/>
      <c r="E67" s="112"/>
      <c r="F67" s="112">
        <v>64</v>
      </c>
      <c r="G67" s="112"/>
      <c r="H67" s="112"/>
      <c r="I67" s="112"/>
      <c r="J67" s="112"/>
      <c r="K67" s="112"/>
      <c r="L67" s="113" t="s">
        <v>14251</v>
      </c>
      <c r="M67" s="112"/>
      <c r="N67" s="112">
        <v>35</v>
      </c>
    </row>
    <row r="68" spans="3:14" x14ac:dyDescent="0.2">
      <c r="C68" s="113" t="s">
        <v>14252</v>
      </c>
      <c r="D68" s="112"/>
      <c r="E68" s="112"/>
      <c r="F68" s="112">
        <v>65</v>
      </c>
      <c r="G68" s="112"/>
      <c r="H68" s="112"/>
      <c r="I68" s="112"/>
      <c r="J68" s="112"/>
      <c r="K68" s="112"/>
      <c r="L68" s="113" t="s">
        <v>14252</v>
      </c>
      <c r="M68" s="112"/>
      <c r="N68" s="112">
        <v>36</v>
      </c>
    </row>
    <row r="69" spans="3:14" x14ac:dyDescent="0.2">
      <c r="C69" s="113" t="s">
        <v>14253</v>
      </c>
      <c r="D69" s="112"/>
      <c r="E69" s="112"/>
      <c r="F69" s="112">
        <v>66</v>
      </c>
      <c r="G69" s="112"/>
      <c r="H69" s="112"/>
      <c r="I69" s="112"/>
      <c r="J69" s="112"/>
      <c r="K69" s="112"/>
      <c r="L69" s="113" t="s">
        <v>14253</v>
      </c>
      <c r="M69" s="112"/>
      <c r="N69" s="112">
        <v>37</v>
      </c>
    </row>
    <row r="70" spans="3:14" x14ac:dyDescent="0.2">
      <c r="C70" s="113" t="s">
        <v>14254</v>
      </c>
      <c r="D70" s="112"/>
      <c r="E70" s="112"/>
      <c r="F70" s="112">
        <v>67</v>
      </c>
      <c r="G70" s="112"/>
      <c r="H70" s="112"/>
      <c r="I70" s="112"/>
      <c r="J70" s="112"/>
      <c r="K70" s="112"/>
      <c r="L70" s="113" t="s">
        <v>14254</v>
      </c>
      <c r="M70" s="112"/>
      <c r="N70" s="112">
        <v>38</v>
      </c>
    </row>
    <row r="71" spans="3:14" x14ac:dyDescent="0.2">
      <c r="C71" s="113" t="s">
        <v>14255</v>
      </c>
      <c r="D71" s="112"/>
      <c r="E71" s="112"/>
      <c r="F71" s="112">
        <v>68</v>
      </c>
      <c r="G71" s="112"/>
      <c r="H71" s="112"/>
      <c r="I71" s="112"/>
      <c r="J71" s="112"/>
      <c r="K71" s="112"/>
      <c r="L71" s="113" t="s">
        <v>14255</v>
      </c>
      <c r="M71" s="112"/>
      <c r="N71" s="112">
        <v>39</v>
      </c>
    </row>
    <row r="72" spans="3:14" x14ac:dyDescent="0.2">
      <c r="C72" s="113" t="s">
        <v>14256</v>
      </c>
      <c r="D72" s="112"/>
      <c r="E72" s="112"/>
      <c r="F72" s="112">
        <v>69</v>
      </c>
      <c r="G72" s="112"/>
      <c r="H72" s="112"/>
      <c r="I72" s="112"/>
      <c r="J72" s="112"/>
      <c r="K72" s="112"/>
      <c r="L72" s="113" t="s">
        <v>14256</v>
      </c>
      <c r="M72" s="112"/>
      <c r="N72" s="112">
        <v>40</v>
      </c>
    </row>
    <row r="73" spans="3:14" x14ac:dyDescent="0.2">
      <c r="C73" s="113" t="s">
        <v>14257</v>
      </c>
      <c r="D73" s="112"/>
      <c r="E73" s="112"/>
      <c r="F73" s="112">
        <v>70</v>
      </c>
      <c r="G73" s="112"/>
      <c r="H73" s="112"/>
      <c r="I73" s="112"/>
      <c r="J73" s="112"/>
      <c r="K73" s="112"/>
      <c r="L73" s="113" t="s">
        <v>14257</v>
      </c>
      <c r="M73" s="112"/>
      <c r="N73" s="112">
        <v>41</v>
      </c>
    </row>
    <row r="74" spans="3:14" x14ac:dyDescent="0.2">
      <c r="C74" s="113" t="s">
        <v>14258</v>
      </c>
      <c r="D74" s="112"/>
      <c r="E74" s="112"/>
      <c r="F74" s="112">
        <v>71</v>
      </c>
      <c r="G74" s="112"/>
      <c r="H74" s="112"/>
      <c r="I74" s="112"/>
      <c r="J74" s="112"/>
      <c r="K74" s="112"/>
      <c r="L74" s="113" t="s">
        <v>14258</v>
      </c>
      <c r="M74" s="112"/>
      <c r="N74" s="112">
        <v>42</v>
      </c>
    </row>
    <row r="75" spans="3:14" x14ac:dyDescent="0.2">
      <c r="C75" s="113" t="s">
        <v>14259</v>
      </c>
      <c r="D75" s="112"/>
      <c r="E75" s="112"/>
      <c r="F75" s="112">
        <v>72</v>
      </c>
      <c r="G75" s="112"/>
      <c r="H75" s="112"/>
      <c r="I75" s="112"/>
      <c r="J75" s="112"/>
      <c r="K75" s="112"/>
      <c r="L75" s="113" t="s">
        <v>14259</v>
      </c>
      <c r="M75" s="112"/>
      <c r="N75" s="112">
        <v>43</v>
      </c>
    </row>
    <row r="76" spans="3:14" x14ac:dyDescent="0.2">
      <c r="C76" s="113" t="s">
        <v>14260</v>
      </c>
      <c r="D76" s="112"/>
      <c r="E76" s="112"/>
      <c r="F76" s="112">
        <v>73</v>
      </c>
      <c r="G76" s="112"/>
      <c r="H76" s="112"/>
      <c r="I76" s="112"/>
      <c r="J76" s="112"/>
      <c r="K76" s="112"/>
      <c r="L76" s="113" t="s">
        <v>14260</v>
      </c>
      <c r="M76" s="112"/>
      <c r="N76" s="112">
        <v>44</v>
      </c>
    </row>
    <row r="77" spans="3:14" x14ac:dyDescent="0.2">
      <c r="C77" s="113" t="s">
        <v>14261</v>
      </c>
      <c r="D77" s="112"/>
      <c r="E77" s="112"/>
      <c r="F77" s="112">
        <v>74</v>
      </c>
      <c r="G77" s="112"/>
      <c r="H77" s="112"/>
      <c r="I77" s="112"/>
      <c r="J77" s="112"/>
      <c r="K77" s="112"/>
      <c r="L77" s="113" t="s">
        <v>14261</v>
      </c>
      <c r="M77" s="112"/>
      <c r="N77" s="112">
        <v>45</v>
      </c>
    </row>
    <row r="78" spans="3:14" x14ac:dyDescent="0.2">
      <c r="C78" s="113" t="s">
        <v>14262</v>
      </c>
      <c r="D78" s="112"/>
      <c r="E78" s="112"/>
      <c r="F78" s="112">
        <v>75</v>
      </c>
      <c r="G78" s="112"/>
      <c r="H78" s="112"/>
      <c r="I78" s="112"/>
      <c r="J78" s="112"/>
      <c r="K78" s="112"/>
      <c r="L78" s="113" t="s">
        <v>14262</v>
      </c>
      <c r="M78" s="112"/>
      <c r="N78" s="112">
        <v>46</v>
      </c>
    </row>
    <row r="79" spans="3:14" x14ac:dyDescent="0.2">
      <c r="C79" s="113" t="s">
        <v>14263</v>
      </c>
      <c r="D79" s="112"/>
      <c r="E79" s="112"/>
      <c r="F79" s="112">
        <v>76</v>
      </c>
      <c r="G79" s="112"/>
      <c r="H79" s="112"/>
      <c r="I79" s="112"/>
      <c r="J79" s="112"/>
      <c r="K79" s="112"/>
      <c r="L79" s="113" t="s">
        <v>14263</v>
      </c>
      <c r="M79" s="112"/>
      <c r="N79" s="112">
        <v>47</v>
      </c>
    </row>
    <row r="80" spans="3:14" x14ac:dyDescent="0.2">
      <c r="C80" s="113" t="s">
        <v>14264</v>
      </c>
      <c r="D80" s="112"/>
      <c r="E80" s="112"/>
      <c r="F80" s="112">
        <v>77</v>
      </c>
      <c r="G80" s="112"/>
      <c r="H80" s="112"/>
      <c r="I80" s="112"/>
      <c r="J80" s="112"/>
      <c r="K80" s="112"/>
      <c r="L80" s="113" t="s">
        <v>14264</v>
      </c>
      <c r="M80" s="112"/>
      <c r="N80" s="112">
        <v>48</v>
      </c>
    </row>
    <row r="81" spans="3:14" x14ac:dyDescent="0.2">
      <c r="C81" s="113" t="s">
        <v>14265</v>
      </c>
      <c r="D81" s="112"/>
      <c r="E81" s="112"/>
      <c r="F81" s="112">
        <v>78</v>
      </c>
      <c r="G81" s="112"/>
      <c r="H81" s="112"/>
      <c r="I81" s="112"/>
      <c r="J81" s="112"/>
      <c r="K81" s="112"/>
      <c r="L81" s="113" t="s">
        <v>14265</v>
      </c>
      <c r="M81" s="112"/>
      <c r="N81" s="112">
        <v>49</v>
      </c>
    </row>
    <row r="82" spans="3:14" x14ac:dyDescent="0.2">
      <c r="C82" s="113" t="s">
        <v>14266</v>
      </c>
      <c r="D82" s="112"/>
      <c r="E82" s="112"/>
      <c r="F82" s="112">
        <v>79</v>
      </c>
      <c r="G82" s="112"/>
      <c r="H82" s="112"/>
      <c r="I82" s="112"/>
      <c r="J82" s="112"/>
      <c r="K82" s="112"/>
      <c r="L82" s="113" t="s">
        <v>14266</v>
      </c>
      <c r="M82" s="112"/>
      <c r="N82" s="112">
        <v>50</v>
      </c>
    </row>
    <row r="83" spans="3:14" x14ac:dyDescent="0.2">
      <c r="C83" s="113" t="s">
        <v>14267</v>
      </c>
      <c r="D83" s="112"/>
      <c r="E83" s="112"/>
      <c r="F83" s="112">
        <v>80</v>
      </c>
      <c r="G83" s="112"/>
      <c r="H83" s="112"/>
      <c r="I83" s="112"/>
      <c r="J83" s="112"/>
      <c r="K83" s="112"/>
      <c r="L83" s="113" t="s">
        <v>14267</v>
      </c>
      <c r="M83" s="112"/>
      <c r="N83" s="112">
        <v>51</v>
      </c>
    </row>
    <row r="84" spans="3:14" x14ac:dyDescent="0.2">
      <c r="C84" s="113" t="s">
        <v>14268</v>
      </c>
      <c r="D84" s="112"/>
      <c r="E84" s="112"/>
      <c r="F84" s="112">
        <v>81</v>
      </c>
      <c r="G84" s="112"/>
      <c r="H84" s="112"/>
      <c r="I84" s="112"/>
      <c r="J84" s="112"/>
      <c r="K84" s="112"/>
      <c r="L84" s="113" t="s">
        <v>14268</v>
      </c>
      <c r="M84" s="112"/>
      <c r="N84" s="112">
        <v>52</v>
      </c>
    </row>
    <row r="85" spans="3:14" x14ac:dyDescent="0.2">
      <c r="C85" s="113" t="s">
        <v>14269</v>
      </c>
      <c r="D85" s="112"/>
      <c r="E85" s="112"/>
      <c r="F85" s="112">
        <v>82</v>
      </c>
      <c r="G85" s="112"/>
      <c r="H85" s="112"/>
      <c r="I85" s="112"/>
      <c r="J85" s="112"/>
      <c r="K85" s="112"/>
      <c r="L85" s="113" t="s">
        <v>14269</v>
      </c>
      <c r="M85" s="112"/>
      <c r="N85" s="112">
        <v>53</v>
      </c>
    </row>
    <row r="86" spans="3:14" x14ac:dyDescent="0.2">
      <c r="C86" s="113" t="s">
        <v>14270</v>
      </c>
      <c r="D86" s="112"/>
      <c r="E86" s="112"/>
      <c r="F86" s="112">
        <v>83</v>
      </c>
      <c r="G86" s="112"/>
      <c r="H86" s="112"/>
      <c r="I86" s="112"/>
      <c r="J86" s="112"/>
      <c r="K86" s="112"/>
      <c r="L86" s="113" t="s">
        <v>14270</v>
      </c>
      <c r="M86" s="112"/>
      <c r="N86" s="112">
        <v>54</v>
      </c>
    </row>
    <row r="87" spans="3:14" x14ac:dyDescent="0.2">
      <c r="C87" s="113" t="s">
        <v>14271</v>
      </c>
      <c r="D87" s="112"/>
      <c r="E87" s="112"/>
      <c r="F87" s="112">
        <v>84</v>
      </c>
      <c r="G87" s="112"/>
      <c r="H87" s="112"/>
      <c r="I87" s="112"/>
      <c r="J87" s="112"/>
      <c r="K87" s="112"/>
      <c r="L87" s="113" t="s">
        <v>14271</v>
      </c>
      <c r="M87" s="112"/>
      <c r="N87" s="112">
        <v>55</v>
      </c>
    </row>
    <row r="88" spans="3:14" x14ac:dyDescent="0.2">
      <c r="C88" s="113" t="s">
        <v>14272</v>
      </c>
      <c r="D88" s="112"/>
      <c r="E88" s="112"/>
      <c r="F88" s="112">
        <v>85</v>
      </c>
      <c r="G88" s="112"/>
      <c r="H88" s="112"/>
      <c r="I88" s="112"/>
      <c r="J88" s="112"/>
      <c r="K88" s="112"/>
      <c r="L88" s="113" t="s">
        <v>14272</v>
      </c>
      <c r="M88" s="112"/>
      <c r="N88" s="112">
        <v>56</v>
      </c>
    </row>
    <row r="89" spans="3:14" x14ac:dyDescent="0.2">
      <c r="C89" s="113" t="s">
        <v>14273</v>
      </c>
      <c r="D89" s="112"/>
      <c r="E89" s="112"/>
      <c r="F89" s="112">
        <v>86</v>
      </c>
      <c r="G89" s="112"/>
      <c r="H89" s="112"/>
      <c r="I89" s="112"/>
      <c r="J89" s="112"/>
      <c r="K89" s="112"/>
      <c r="L89" s="113" t="s">
        <v>14273</v>
      </c>
      <c r="M89" s="112"/>
      <c r="N89" s="112">
        <v>57</v>
      </c>
    </row>
    <row r="90" spans="3:14" x14ac:dyDescent="0.2">
      <c r="C90" s="113" t="s">
        <v>11017</v>
      </c>
      <c r="D90" s="112"/>
      <c r="E90" s="112"/>
      <c r="F90" s="112">
        <v>87</v>
      </c>
      <c r="G90" s="112"/>
      <c r="H90" s="112"/>
      <c r="I90" s="112"/>
      <c r="J90" s="112"/>
      <c r="K90" s="112"/>
      <c r="L90" s="113" t="s">
        <v>11017</v>
      </c>
      <c r="M90" s="112"/>
      <c r="N90" s="112">
        <v>58</v>
      </c>
    </row>
    <row r="91" spans="3:14" x14ac:dyDescent="0.2">
      <c r="C91" s="113" t="s">
        <v>14274</v>
      </c>
      <c r="D91" s="112"/>
      <c r="E91" s="112"/>
      <c r="F91" s="112">
        <v>88</v>
      </c>
      <c r="G91" s="112"/>
      <c r="H91" s="112"/>
      <c r="I91" s="112"/>
      <c r="J91" s="112"/>
      <c r="K91" s="112"/>
      <c r="L91" s="113" t="s">
        <v>14274</v>
      </c>
      <c r="M91" s="112"/>
      <c r="N91" s="112">
        <v>59</v>
      </c>
    </row>
    <row r="92" spans="3:14" x14ac:dyDescent="0.2">
      <c r="C92" s="113" t="s">
        <v>14275</v>
      </c>
      <c r="D92" s="112"/>
      <c r="E92" s="112"/>
      <c r="F92" s="112">
        <v>89</v>
      </c>
      <c r="G92" s="112"/>
      <c r="H92" s="112"/>
      <c r="I92" s="112"/>
      <c r="J92" s="112"/>
      <c r="K92" s="112"/>
      <c r="L92" s="113" t="s">
        <v>14275</v>
      </c>
      <c r="M92" s="112"/>
      <c r="N92" s="112">
        <v>60</v>
      </c>
    </row>
    <row r="93" spans="3:14" x14ac:dyDescent="0.2">
      <c r="C93" s="113" t="s">
        <v>14276</v>
      </c>
      <c r="D93" s="112"/>
      <c r="E93" s="112"/>
      <c r="F93" s="112">
        <v>90</v>
      </c>
      <c r="G93" s="112"/>
      <c r="H93" s="112"/>
      <c r="I93" s="112"/>
      <c r="J93" s="112"/>
      <c r="K93" s="112"/>
      <c r="L93" s="113" t="s">
        <v>14276</v>
      </c>
      <c r="M93" s="112"/>
      <c r="N93" s="112">
        <v>61</v>
      </c>
    </row>
    <row r="94" spans="3:14" x14ac:dyDescent="0.2">
      <c r="C94" s="113" t="s">
        <v>14277</v>
      </c>
      <c r="D94" s="112"/>
      <c r="E94" s="112"/>
      <c r="F94" s="112">
        <v>91</v>
      </c>
      <c r="G94" s="112"/>
      <c r="H94" s="112"/>
      <c r="I94" s="112"/>
      <c r="J94" s="112"/>
      <c r="K94" s="112"/>
      <c r="L94" s="113" t="s">
        <v>14277</v>
      </c>
      <c r="M94" s="112"/>
      <c r="N94" s="112">
        <v>62</v>
      </c>
    </row>
    <row r="95" spans="3:14" x14ac:dyDescent="0.2">
      <c r="C95" s="113" t="s">
        <v>14278</v>
      </c>
      <c r="D95" s="112"/>
      <c r="E95" s="112"/>
      <c r="F95" s="112">
        <v>92</v>
      </c>
      <c r="G95" s="112"/>
      <c r="H95" s="112"/>
      <c r="I95" s="112"/>
      <c r="J95" s="112"/>
      <c r="K95" s="112"/>
      <c r="L95" s="113" t="s">
        <v>14278</v>
      </c>
      <c r="M95" s="112"/>
      <c r="N95" s="112">
        <v>63</v>
      </c>
    </row>
    <row r="96" spans="3:14" x14ac:dyDescent="0.2">
      <c r="C96" s="113" t="s">
        <v>14279</v>
      </c>
      <c r="D96" s="112"/>
      <c r="E96" s="112"/>
      <c r="F96" s="112">
        <v>93</v>
      </c>
      <c r="G96" s="112"/>
      <c r="H96" s="112"/>
      <c r="I96" s="112"/>
      <c r="J96" s="112"/>
      <c r="K96" s="112"/>
      <c r="L96" s="113" t="s">
        <v>14279</v>
      </c>
      <c r="M96" s="112"/>
      <c r="N96" s="112">
        <v>64</v>
      </c>
    </row>
    <row r="97" spans="3:14" x14ac:dyDescent="0.2">
      <c r="C97" s="113" t="s">
        <v>14280</v>
      </c>
      <c r="D97" s="112"/>
      <c r="E97" s="112"/>
      <c r="F97" s="112">
        <v>94</v>
      </c>
      <c r="G97" s="112"/>
      <c r="H97" s="112"/>
      <c r="I97" s="112"/>
      <c r="J97" s="112"/>
      <c r="K97" s="112"/>
      <c r="L97" s="113" t="s">
        <v>14280</v>
      </c>
      <c r="M97" s="112"/>
      <c r="N97" s="112">
        <v>65</v>
      </c>
    </row>
    <row r="98" spans="3:14" x14ac:dyDescent="0.2">
      <c r="C98" s="113" t="s">
        <v>14281</v>
      </c>
      <c r="D98" s="112"/>
      <c r="E98" s="112"/>
      <c r="F98" s="112">
        <v>95</v>
      </c>
      <c r="G98" s="112"/>
      <c r="H98" s="112"/>
      <c r="I98" s="112"/>
      <c r="J98" s="112"/>
      <c r="K98" s="112"/>
      <c r="L98" s="113" t="s">
        <v>14281</v>
      </c>
      <c r="M98" s="112"/>
      <c r="N98" s="112">
        <v>66</v>
      </c>
    </row>
    <row r="99" spans="3:14" x14ac:dyDescent="0.2">
      <c r="C99" s="113" t="s">
        <v>14282</v>
      </c>
      <c r="D99" s="112"/>
      <c r="E99" s="112"/>
      <c r="F99" s="112">
        <v>96</v>
      </c>
      <c r="G99" s="112"/>
      <c r="H99" s="112"/>
      <c r="I99" s="112"/>
      <c r="J99" s="112"/>
      <c r="K99" s="112"/>
      <c r="L99" s="113" t="s">
        <v>14282</v>
      </c>
      <c r="M99" s="112"/>
      <c r="N99" s="112">
        <v>67</v>
      </c>
    </row>
    <row r="100" spans="3:14" x14ac:dyDescent="0.2">
      <c r="C100" s="113" t="s">
        <v>14283</v>
      </c>
      <c r="D100" s="112"/>
      <c r="E100" s="112"/>
      <c r="F100" s="112">
        <v>97</v>
      </c>
      <c r="G100" s="112"/>
      <c r="H100" s="112"/>
      <c r="I100" s="112"/>
      <c r="J100" s="112"/>
      <c r="K100" s="112"/>
      <c r="L100" s="113" t="s">
        <v>14283</v>
      </c>
      <c r="M100" s="112"/>
      <c r="N100" s="112">
        <v>68</v>
      </c>
    </row>
    <row r="101" spans="3:14" x14ac:dyDescent="0.2">
      <c r="C101" s="113" t="s">
        <v>14284</v>
      </c>
      <c r="D101" s="112"/>
      <c r="E101" s="112"/>
      <c r="F101" s="112">
        <v>98</v>
      </c>
      <c r="G101" s="112"/>
      <c r="H101" s="112"/>
      <c r="I101" s="112"/>
      <c r="J101" s="112"/>
      <c r="K101" s="112"/>
      <c r="L101" s="113" t="s">
        <v>14284</v>
      </c>
      <c r="M101" s="112"/>
      <c r="N101" s="112">
        <v>69</v>
      </c>
    </row>
    <row r="102" spans="3:14" x14ac:dyDescent="0.2">
      <c r="C102" s="113" t="s">
        <v>14285</v>
      </c>
      <c r="D102" s="112"/>
      <c r="E102" s="112"/>
      <c r="F102" s="112">
        <v>99</v>
      </c>
      <c r="G102" s="112"/>
      <c r="H102" s="112"/>
      <c r="I102" s="112"/>
      <c r="J102" s="112"/>
      <c r="K102" s="112"/>
      <c r="L102" s="113" t="s">
        <v>14285</v>
      </c>
      <c r="M102" s="112"/>
      <c r="N102" s="112">
        <v>70</v>
      </c>
    </row>
    <row r="103" spans="3:14" x14ac:dyDescent="0.2">
      <c r="C103" s="113" t="s">
        <v>4885</v>
      </c>
      <c r="D103" s="112"/>
      <c r="E103" s="112"/>
      <c r="F103" s="112">
        <v>100</v>
      </c>
      <c r="G103" s="112"/>
      <c r="H103" s="112"/>
      <c r="I103" s="112"/>
      <c r="J103" s="112"/>
      <c r="K103" s="112"/>
      <c r="L103" s="113" t="s">
        <v>4885</v>
      </c>
      <c r="M103" s="112"/>
      <c r="N103" s="112">
        <v>71</v>
      </c>
    </row>
    <row r="104" spans="3:14" x14ac:dyDescent="0.2">
      <c r="C104" s="113" t="s">
        <v>14286</v>
      </c>
      <c r="D104" s="112"/>
      <c r="E104" s="112"/>
      <c r="F104" s="112">
        <v>101</v>
      </c>
      <c r="G104" s="112"/>
      <c r="H104" s="112"/>
      <c r="I104" s="112"/>
      <c r="J104" s="112"/>
      <c r="K104" s="112"/>
      <c r="L104" s="113" t="s">
        <v>14286</v>
      </c>
      <c r="M104" s="112"/>
      <c r="N104" s="112">
        <v>72</v>
      </c>
    </row>
    <row r="105" spans="3:14" x14ac:dyDescent="0.2">
      <c r="C105" s="113" t="s">
        <v>14287</v>
      </c>
      <c r="D105" s="112"/>
      <c r="E105" s="112"/>
      <c r="F105" s="112">
        <v>102</v>
      </c>
      <c r="G105" s="112"/>
      <c r="H105" s="112"/>
      <c r="I105" s="112"/>
      <c r="J105" s="112"/>
      <c r="K105" s="112"/>
      <c r="L105" s="113" t="s">
        <v>14287</v>
      </c>
      <c r="M105" s="112"/>
      <c r="N105" s="112">
        <v>73</v>
      </c>
    </row>
    <row r="106" spans="3:14" x14ac:dyDescent="0.2">
      <c r="C106" s="113" t="s">
        <v>14288</v>
      </c>
      <c r="D106" s="112"/>
      <c r="E106" s="112"/>
      <c r="F106" s="112">
        <v>103</v>
      </c>
      <c r="G106" s="112"/>
      <c r="H106" s="112"/>
      <c r="I106" s="112"/>
      <c r="J106" s="112"/>
      <c r="K106" s="112"/>
      <c r="L106" s="113" t="s">
        <v>14288</v>
      </c>
      <c r="M106" s="112"/>
      <c r="N106" s="112">
        <v>74</v>
      </c>
    </row>
    <row r="107" spans="3:14" x14ac:dyDescent="0.2">
      <c r="C107" s="113" t="s">
        <v>14289</v>
      </c>
      <c r="D107" s="112"/>
      <c r="E107" s="112"/>
      <c r="F107" s="112">
        <v>104</v>
      </c>
      <c r="G107" s="112"/>
      <c r="H107" s="112"/>
      <c r="I107" s="112"/>
      <c r="J107" s="112"/>
      <c r="K107" s="112"/>
      <c r="L107" s="113" t="s">
        <v>14289</v>
      </c>
      <c r="M107" s="112"/>
      <c r="N107" s="112">
        <v>75</v>
      </c>
    </row>
    <row r="108" spans="3:14" x14ac:dyDescent="0.2">
      <c r="C108" s="113" t="s">
        <v>14290</v>
      </c>
      <c r="D108" s="112"/>
      <c r="E108" s="112"/>
      <c r="F108" s="112">
        <v>105</v>
      </c>
      <c r="G108" s="112"/>
      <c r="H108" s="112"/>
      <c r="I108" s="112"/>
      <c r="J108" s="112"/>
      <c r="K108" s="112"/>
      <c r="L108" s="113" t="s">
        <v>14290</v>
      </c>
      <c r="M108" s="112"/>
      <c r="N108" s="112">
        <v>76</v>
      </c>
    </row>
    <row r="109" spans="3:14" x14ac:dyDescent="0.2">
      <c r="C109" s="113" t="s">
        <v>14291</v>
      </c>
      <c r="D109" s="112"/>
      <c r="E109" s="112"/>
      <c r="F109" s="112">
        <v>106</v>
      </c>
      <c r="G109" s="112"/>
      <c r="H109" s="112"/>
      <c r="I109" s="112"/>
      <c r="J109" s="112"/>
      <c r="K109" s="112"/>
      <c r="L109" s="113" t="s">
        <v>14291</v>
      </c>
      <c r="M109" s="112"/>
      <c r="N109" s="112">
        <v>77</v>
      </c>
    </row>
    <row r="110" spans="3:14" x14ac:dyDescent="0.2">
      <c r="C110" s="113" t="s">
        <v>14292</v>
      </c>
      <c r="D110" s="112"/>
      <c r="E110" s="112"/>
      <c r="F110" s="112">
        <v>107</v>
      </c>
      <c r="G110" s="112"/>
      <c r="H110" s="112"/>
      <c r="I110" s="112"/>
      <c r="J110" s="112"/>
      <c r="K110" s="112"/>
      <c r="L110" s="113" t="s">
        <v>14292</v>
      </c>
      <c r="M110" s="112"/>
      <c r="N110" s="112">
        <v>78</v>
      </c>
    </row>
    <row r="111" spans="3:14" x14ac:dyDescent="0.2">
      <c r="C111" s="113" t="s">
        <v>14293</v>
      </c>
      <c r="D111" s="112"/>
      <c r="E111" s="112"/>
      <c r="F111" s="112">
        <v>108</v>
      </c>
      <c r="G111" s="112"/>
      <c r="H111" s="112"/>
      <c r="I111" s="112"/>
      <c r="J111" s="112"/>
      <c r="K111" s="112"/>
      <c r="L111" s="113" t="s">
        <v>14293</v>
      </c>
      <c r="M111" s="112"/>
      <c r="N111" s="112">
        <v>79</v>
      </c>
    </row>
    <row r="112" spans="3:14" x14ac:dyDescent="0.2">
      <c r="C112" s="113" t="s">
        <v>14294</v>
      </c>
      <c r="D112" s="112"/>
      <c r="E112" s="112"/>
      <c r="F112" s="112">
        <v>109</v>
      </c>
      <c r="G112" s="112"/>
      <c r="H112" s="112"/>
      <c r="I112" s="112"/>
      <c r="J112" s="112"/>
      <c r="K112" s="112"/>
      <c r="L112" s="113" t="s">
        <v>14294</v>
      </c>
      <c r="M112" s="112"/>
      <c r="N112" s="112">
        <v>80</v>
      </c>
    </row>
    <row r="113" spans="3:14" x14ac:dyDescent="0.2">
      <c r="C113" s="113" t="s">
        <v>14295</v>
      </c>
      <c r="D113" s="112"/>
      <c r="E113" s="112"/>
      <c r="F113" s="112">
        <v>110</v>
      </c>
      <c r="G113" s="112"/>
      <c r="H113" s="112"/>
      <c r="I113" s="112"/>
      <c r="J113" s="112"/>
      <c r="K113" s="112"/>
      <c r="L113" s="113" t="s">
        <v>14295</v>
      </c>
      <c r="M113" s="112"/>
      <c r="N113" s="112">
        <v>81</v>
      </c>
    </row>
    <row r="114" spans="3:14" x14ac:dyDescent="0.2">
      <c r="C114" s="113" t="s">
        <v>14296</v>
      </c>
      <c r="D114" s="112"/>
      <c r="E114" s="112"/>
      <c r="F114" s="112">
        <v>111</v>
      </c>
      <c r="G114" s="112"/>
      <c r="H114" s="112"/>
      <c r="I114" s="112"/>
      <c r="J114" s="112"/>
      <c r="K114" s="112"/>
      <c r="L114" s="113" t="s">
        <v>14296</v>
      </c>
      <c r="M114" s="112"/>
      <c r="N114" s="112">
        <v>82</v>
      </c>
    </row>
    <row r="115" spans="3:14" x14ac:dyDescent="0.2">
      <c r="C115" s="113" t="s">
        <v>14297</v>
      </c>
      <c r="D115" s="112"/>
      <c r="E115" s="112"/>
      <c r="F115" s="112">
        <v>112</v>
      </c>
      <c r="G115" s="112"/>
      <c r="H115" s="112"/>
      <c r="I115" s="112"/>
      <c r="J115" s="112"/>
      <c r="K115" s="112"/>
      <c r="L115" s="113" t="s">
        <v>14297</v>
      </c>
      <c r="M115" s="112"/>
      <c r="N115" s="112">
        <v>83</v>
      </c>
    </row>
    <row r="116" spans="3:14" x14ac:dyDescent="0.2">
      <c r="C116" s="113" t="s">
        <v>14298</v>
      </c>
      <c r="D116" s="112"/>
      <c r="E116" s="112"/>
      <c r="F116" s="112">
        <v>113</v>
      </c>
      <c r="G116" s="112"/>
      <c r="H116" s="112"/>
      <c r="I116" s="112"/>
      <c r="J116" s="112"/>
      <c r="K116" s="112"/>
      <c r="L116" s="113" t="s">
        <v>14298</v>
      </c>
      <c r="M116" s="112"/>
      <c r="N116" s="112">
        <v>84</v>
      </c>
    </row>
    <row r="117" spans="3:14" x14ac:dyDescent="0.2">
      <c r="C117" s="113" t="s">
        <v>14299</v>
      </c>
      <c r="D117" s="112"/>
      <c r="E117" s="112"/>
      <c r="F117" s="112">
        <v>114</v>
      </c>
      <c r="G117" s="112"/>
      <c r="H117" s="112"/>
      <c r="I117" s="112"/>
      <c r="J117" s="112"/>
      <c r="K117" s="112"/>
      <c r="L117" s="113" t="s">
        <v>14299</v>
      </c>
      <c r="M117" s="112"/>
      <c r="N117" s="112">
        <v>85</v>
      </c>
    </row>
    <row r="118" spans="3:14" x14ac:dyDescent="0.2">
      <c r="C118" s="113" t="s">
        <v>14300</v>
      </c>
      <c r="D118" s="112"/>
      <c r="E118" s="112"/>
      <c r="F118" s="112">
        <v>115</v>
      </c>
      <c r="G118" s="112"/>
      <c r="H118" s="112"/>
      <c r="I118" s="112"/>
      <c r="J118" s="112"/>
      <c r="K118" s="112"/>
      <c r="L118" s="113" t="s">
        <v>14300</v>
      </c>
      <c r="M118" s="112"/>
      <c r="N118" s="112">
        <v>86</v>
      </c>
    </row>
    <row r="119" spans="3:14" x14ac:dyDescent="0.2">
      <c r="C119" s="113" t="s">
        <v>14301</v>
      </c>
      <c r="D119" s="112"/>
      <c r="E119" s="112"/>
      <c r="F119" s="112">
        <v>116</v>
      </c>
      <c r="G119" s="112"/>
      <c r="H119" s="112"/>
      <c r="I119" s="112"/>
      <c r="J119" s="112"/>
      <c r="K119" s="112"/>
      <c r="L119" s="113" t="s">
        <v>14301</v>
      </c>
      <c r="M119" s="112"/>
      <c r="N119" s="112">
        <v>87</v>
      </c>
    </row>
    <row r="120" spans="3:14" x14ac:dyDescent="0.2">
      <c r="C120" s="113" t="s">
        <v>14302</v>
      </c>
      <c r="D120" s="112"/>
      <c r="E120" s="112"/>
      <c r="F120" s="112">
        <v>117</v>
      </c>
      <c r="G120" s="112"/>
      <c r="H120" s="112"/>
      <c r="I120" s="112"/>
      <c r="J120" s="112"/>
      <c r="K120" s="112"/>
      <c r="L120" s="113" t="s">
        <v>14302</v>
      </c>
      <c r="M120" s="112"/>
      <c r="N120" s="112">
        <v>88</v>
      </c>
    </row>
    <row r="121" spans="3:14" x14ac:dyDescent="0.2">
      <c r="C121" s="113" t="s">
        <v>14303</v>
      </c>
      <c r="D121" s="112"/>
      <c r="E121" s="112"/>
      <c r="F121" s="112">
        <v>118</v>
      </c>
      <c r="G121" s="112"/>
      <c r="H121" s="112"/>
      <c r="I121" s="112"/>
      <c r="J121" s="112"/>
      <c r="K121" s="112"/>
      <c r="L121" s="113" t="s">
        <v>14303</v>
      </c>
      <c r="M121" s="112"/>
      <c r="N121" s="112">
        <v>89</v>
      </c>
    </row>
    <row r="122" spans="3:14" x14ac:dyDescent="0.2">
      <c r="C122" s="113" t="s">
        <v>14304</v>
      </c>
      <c r="D122" s="112"/>
      <c r="E122" s="112"/>
      <c r="F122" s="112">
        <v>119</v>
      </c>
      <c r="G122" s="112"/>
      <c r="H122" s="112"/>
      <c r="I122" s="112"/>
      <c r="J122" s="112"/>
      <c r="K122" s="112"/>
      <c r="L122" s="113" t="s">
        <v>14304</v>
      </c>
      <c r="M122" s="112"/>
      <c r="N122" s="112">
        <v>90</v>
      </c>
    </row>
    <row r="123" spans="3:14" x14ac:dyDescent="0.2">
      <c r="C123" s="113" t="s">
        <v>14305</v>
      </c>
      <c r="D123" s="112"/>
      <c r="E123" s="112"/>
      <c r="F123" s="112">
        <v>120</v>
      </c>
      <c r="G123" s="112"/>
      <c r="H123" s="112"/>
      <c r="I123" s="112"/>
      <c r="J123" s="112"/>
      <c r="K123" s="112"/>
      <c r="L123" s="113" t="s">
        <v>14305</v>
      </c>
      <c r="M123" s="112"/>
      <c r="N123" s="112">
        <v>91</v>
      </c>
    </row>
    <row r="124" spans="3:14" x14ac:dyDescent="0.2">
      <c r="C124" s="113" t="s">
        <v>14306</v>
      </c>
      <c r="D124" s="112"/>
      <c r="E124" s="112"/>
      <c r="F124" s="112">
        <v>121</v>
      </c>
      <c r="G124" s="112"/>
      <c r="H124" s="112"/>
      <c r="I124" s="112"/>
      <c r="J124" s="112"/>
      <c r="K124" s="112"/>
      <c r="L124" s="113" t="s">
        <v>14306</v>
      </c>
      <c r="M124" s="112"/>
      <c r="N124" s="112">
        <v>92</v>
      </c>
    </row>
    <row r="125" spans="3:14" x14ac:dyDescent="0.2">
      <c r="C125" s="113" t="s">
        <v>14307</v>
      </c>
      <c r="D125" s="112"/>
      <c r="E125" s="112"/>
      <c r="F125" s="112">
        <v>122</v>
      </c>
      <c r="G125" s="112"/>
      <c r="H125" s="112"/>
      <c r="I125" s="112"/>
      <c r="J125" s="112"/>
      <c r="K125" s="112"/>
      <c r="L125" s="113" t="s">
        <v>14307</v>
      </c>
      <c r="M125" s="112"/>
      <c r="N125" s="112">
        <v>93</v>
      </c>
    </row>
    <row r="126" spans="3:14" x14ac:dyDescent="0.2">
      <c r="C126" s="113" t="s">
        <v>14308</v>
      </c>
      <c r="D126" s="112"/>
      <c r="E126" s="112"/>
      <c r="F126" s="112">
        <v>123</v>
      </c>
      <c r="G126" s="112"/>
      <c r="H126" s="112"/>
      <c r="I126" s="112"/>
      <c r="J126" s="112"/>
      <c r="K126" s="112"/>
      <c r="L126" s="113" t="s">
        <v>14308</v>
      </c>
      <c r="M126" s="112"/>
      <c r="N126" s="112">
        <v>94</v>
      </c>
    </row>
    <row r="127" spans="3:14" x14ac:dyDescent="0.2">
      <c r="C127" s="113" t="s">
        <v>14309</v>
      </c>
      <c r="D127" s="112"/>
      <c r="E127" s="112"/>
      <c r="F127" s="112">
        <v>124</v>
      </c>
      <c r="G127" s="112"/>
      <c r="H127" s="112"/>
      <c r="I127" s="112"/>
      <c r="J127" s="112"/>
      <c r="K127" s="112"/>
      <c r="L127" s="113" t="s">
        <v>14309</v>
      </c>
      <c r="M127" s="112"/>
      <c r="N127" s="112">
        <v>95</v>
      </c>
    </row>
    <row r="128" spans="3:14" x14ac:dyDescent="0.2">
      <c r="C128" s="113" t="s">
        <v>14310</v>
      </c>
      <c r="D128" s="112"/>
      <c r="E128" s="112"/>
      <c r="F128" s="112">
        <v>125</v>
      </c>
      <c r="G128" s="112"/>
      <c r="H128" s="112"/>
      <c r="I128" s="112"/>
      <c r="J128" s="112"/>
      <c r="K128" s="112"/>
      <c r="L128" s="113" t="s">
        <v>14310</v>
      </c>
      <c r="M128" s="112"/>
      <c r="N128" s="112">
        <v>96</v>
      </c>
    </row>
    <row r="129" spans="3:14" x14ac:dyDescent="0.2">
      <c r="C129" s="113" t="s">
        <v>14311</v>
      </c>
      <c r="D129" s="112"/>
      <c r="E129" s="112"/>
      <c r="F129" s="112">
        <v>126</v>
      </c>
      <c r="G129" s="112"/>
      <c r="H129" s="112"/>
      <c r="I129" s="112"/>
      <c r="J129" s="112"/>
      <c r="K129" s="112"/>
      <c r="L129" s="113" t="s">
        <v>14311</v>
      </c>
      <c r="M129" s="112"/>
      <c r="N129" s="112">
        <v>97</v>
      </c>
    </row>
    <row r="130" spans="3:14" x14ac:dyDescent="0.2">
      <c r="C130" s="113" t="s">
        <v>14312</v>
      </c>
      <c r="D130" s="112"/>
      <c r="E130" s="112"/>
      <c r="F130" s="112">
        <v>127</v>
      </c>
      <c r="G130" s="112"/>
      <c r="H130" s="112"/>
      <c r="I130" s="112"/>
      <c r="J130" s="112"/>
      <c r="K130" s="112"/>
      <c r="L130" s="113" t="s">
        <v>14312</v>
      </c>
      <c r="M130" s="112"/>
      <c r="N130" s="112">
        <v>98</v>
      </c>
    </row>
    <row r="131" spans="3:14" x14ac:dyDescent="0.2">
      <c r="C131" s="113" t="s">
        <v>14313</v>
      </c>
      <c r="D131" s="112"/>
      <c r="E131" s="112"/>
      <c r="F131" s="112">
        <v>128</v>
      </c>
      <c r="G131" s="112"/>
      <c r="H131" s="112"/>
      <c r="I131" s="112"/>
      <c r="J131" s="112"/>
      <c r="K131" s="112"/>
      <c r="L131" s="113" t="s">
        <v>14313</v>
      </c>
      <c r="M131" s="112"/>
      <c r="N131" s="112">
        <v>99</v>
      </c>
    </row>
    <row r="132" spans="3:14" x14ac:dyDescent="0.2">
      <c r="C132" s="113" t="s">
        <v>14314</v>
      </c>
      <c r="D132" s="112"/>
      <c r="E132" s="112"/>
      <c r="F132" s="112">
        <v>129</v>
      </c>
      <c r="G132" s="112"/>
      <c r="H132" s="112"/>
      <c r="I132" s="112"/>
      <c r="J132" s="112"/>
      <c r="K132" s="112"/>
      <c r="L132" s="113" t="s">
        <v>14314</v>
      </c>
      <c r="M132" s="112"/>
      <c r="N132" s="112">
        <v>100</v>
      </c>
    </row>
    <row r="133" spans="3:14" x14ac:dyDescent="0.2">
      <c r="C133" s="113" t="s">
        <v>14315</v>
      </c>
      <c r="D133" s="112"/>
      <c r="E133" s="112"/>
      <c r="F133" s="112">
        <v>130</v>
      </c>
      <c r="G133" s="112"/>
      <c r="H133" s="112"/>
      <c r="I133" s="112"/>
      <c r="J133" s="112"/>
      <c r="K133" s="112"/>
      <c r="L133" s="113" t="s">
        <v>14315</v>
      </c>
      <c r="M133" s="112"/>
      <c r="N133" s="112">
        <v>101</v>
      </c>
    </row>
    <row r="134" spans="3:14" x14ac:dyDescent="0.2">
      <c r="C134" s="113" t="s">
        <v>14316</v>
      </c>
      <c r="D134" s="112"/>
      <c r="E134" s="112"/>
      <c r="F134" s="112">
        <v>131</v>
      </c>
      <c r="G134" s="112"/>
      <c r="H134" s="112"/>
      <c r="I134" s="112"/>
      <c r="J134" s="112"/>
      <c r="K134" s="112"/>
      <c r="L134" s="113" t="s">
        <v>14316</v>
      </c>
      <c r="M134" s="112"/>
      <c r="N134" s="112">
        <v>102</v>
      </c>
    </row>
    <row r="135" spans="3:14" x14ac:dyDescent="0.2">
      <c r="C135" s="113" t="s">
        <v>14317</v>
      </c>
      <c r="D135" s="112"/>
      <c r="E135" s="112"/>
      <c r="F135" s="112">
        <v>132</v>
      </c>
      <c r="G135" s="112"/>
      <c r="H135" s="112"/>
      <c r="I135" s="112"/>
      <c r="J135" s="112"/>
      <c r="K135" s="112"/>
      <c r="L135" s="113" t="s">
        <v>14317</v>
      </c>
      <c r="M135" s="112"/>
      <c r="N135" s="112">
        <v>103</v>
      </c>
    </row>
    <row r="136" spans="3:14" x14ac:dyDescent="0.2">
      <c r="C136" s="113" t="s">
        <v>14318</v>
      </c>
      <c r="D136" s="112"/>
      <c r="E136" s="112"/>
      <c r="F136" s="112">
        <v>133</v>
      </c>
      <c r="G136" s="112"/>
      <c r="H136" s="112"/>
      <c r="I136" s="112"/>
      <c r="J136" s="112"/>
      <c r="K136" s="112"/>
      <c r="L136" s="113" t="s">
        <v>14318</v>
      </c>
      <c r="M136" s="112"/>
      <c r="N136" s="112">
        <v>104</v>
      </c>
    </row>
    <row r="137" spans="3:14" x14ac:dyDescent="0.2">
      <c r="C137" s="113" t="s">
        <v>14319</v>
      </c>
      <c r="D137" s="112"/>
      <c r="E137" s="112"/>
      <c r="F137" s="112">
        <v>134</v>
      </c>
      <c r="G137" s="112"/>
      <c r="H137" s="112"/>
      <c r="I137" s="112"/>
      <c r="J137" s="112"/>
      <c r="K137" s="112"/>
      <c r="L137" s="113" t="s">
        <v>14319</v>
      </c>
      <c r="M137" s="112"/>
      <c r="N137" s="112">
        <v>105</v>
      </c>
    </row>
    <row r="138" spans="3:14" x14ac:dyDescent="0.2">
      <c r="C138" s="113" t="s">
        <v>14320</v>
      </c>
      <c r="D138" s="112"/>
      <c r="E138" s="112"/>
      <c r="F138" s="112">
        <v>135</v>
      </c>
      <c r="G138" s="112"/>
      <c r="H138" s="112"/>
      <c r="I138" s="112"/>
      <c r="J138" s="112"/>
      <c r="K138" s="112"/>
      <c r="L138" s="113" t="s">
        <v>14320</v>
      </c>
      <c r="M138" s="112"/>
      <c r="N138" s="112">
        <v>106</v>
      </c>
    </row>
    <row r="139" spans="3:14" x14ac:dyDescent="0.2">
      <c r="C139" s="113" t="s">
        <v>14321</v>
      </c>
      <c r="D139" s="112"/>
      <c r="E139" s="112"/>
      <c r="F139" s="112">
        <v>136</v>
      </c>
      <c r="G139" s="112"/>
      <c r="H139" s="112"/>
      <c r="I139" s="112"/>
      <c r="J139" s="112"/>
      <c r="K139" s="112"/>
      <c r="L139" s="113" t="s">
        <v>14321</v>
      </c>
      <c r="M139" s="112"/>
      <c r="N139" s="112">
        <v>107</v>
      </c>
    </row>
    <row r="140" spans="3:14" x14ac:dyDescent="0.2">
      <c r="C140" s="113" t="s">
        <v>14322</v>
      </c>
      <c r="D140" s="112"/>
      <c r="E140" s="112"/>
      <c r="F140" s="112">
        <v>137</v>
      </c>
      <c r="G140" s="112"/>
      <c r="H140" s="112"/>
      <c r="I140" s="112"/>
      <c r="J140" s="112"/>
      <c r="K140" s="112"/>
      <c r="L140" s="113" t="s">
        <v>14322</v>
      </c>
      <c r="M140" s="112"/>
      <c r="N140" s="112">
        <v>108</v>
      </c>
    </row>
    <row r="141" spans="3:14" x14ac:dyDescent="0.2">
      <c r="C141" s="113" t="s">
        <v>14323</v>
      </c>
      <c r="D141" s="112"/>
      <c r="E141" s="112"/>
      <c r="F141" s="112">
        <v>138</v>
      </c>
      <c r="G141" s="112"/>
      <c r="H141" s="112"/>
      <c r="I141" s="112"/>
      <c r="J141" s="112"/>
      <c r="K141" s="112"/>
      <c r="L141" s="113" t="s">
        <v>14323</v>
      </c>
      <c r="M141" s="112"/>
      <c r="N141" s="112">
        <v>109</v>
      </c>
    </row>
    <row r="142" spans="3:14" x14ac:dyDescent="0.2">
      <c r="C142" s="113" t="s">
        <v>14324</v>
      </c>
      <c r="D142" s="112"/>
      <c r="E142" s="112"/>
      <c r="F142" s="112">
        <v>139</v>
      </c>
      <c r="G142" s="112"/>
      <c r="H142" s="112"/>
      <c r="I142" s="112"/>
      <c r="J142" s="112"/>
      <c r="K142" s="112"/>
      <c r="L142" s="113" t="s">
        <v>14324</v>
      </c>
      <c r="M142" s="112"/>
      <c r="N142" s="112">
        <v>110</v>
      </c>
    </row>
    <row r="143" spans="3:14" x14ac:dyDescent="0.2">
      <c r="C143" s="113" t="s">
        <v>14325</v>
      </c>
      <c r="D143" s="112"/>
      <c r="E143" s="112"/>
      <c r="F143" s="112">
        <v>140</v>
      </c>
      <c r="G143" s="112"/>
      <c r="H143" s="112"/>
      <c r="I143" s="112"/>
      <c r="J143" s="112"/>
      <c r="K143" s="112"/>
      <c r="L143" s="113" t="s">
        <v>14325</v>
      </c>
      <c r="M143" s="112"/>
      <c r="N143" s="112">
        <v>111</v>
      </c>
    </row>
    <row r="144" spans="3:14" x14ac:dyDescent="0.2">
      <c r="C144" s="113" t="s">
        <v>14326</v>
      </c>
      <c r="D144" s="112"/>
      <c r="E144" s="112"/>
      <c r="F144" s="112">
        <v>141</v>
      </c>
      <c r="G144" s="112"/>
      <c r="H144" s="112"/>
      <c r="I144" s="112"/>
      <c r="J144" s="112"/>
      <c r="K144" s="112"/>
      <c r="L144" s="113" t="s">
        <v>14326</v>
      </c>
      <c r="M144" s="112"/>
      <c r="N144" s="112">
        <v>112</v>
      </c>
    </row>
    <row r="145" spans="3:14" x14ac:dyDescent="0.2">
      <c r="C145" s="113" t="s">
        <v>14327</v>
      </c>
      <c r="D145" s="112"/>
      <c r="E145" s="112"/>
      <c r="F145" s="112">
        <v>142</v>
      </c>
      <c r="G145" s="112"/>
      <c r="H145" s="112"/>
      <c r="I145" s="112"/>
      <c r="J145" s="112"/>
      <c r="K145" s="112"/>
      <c r="L145" s="113" t="s">
        <v>14327</v>
      </c>
      <c r="M145" s="112"/>
      <c r="N145" s="112">
        <v>113</v>
      </c>
    </row>
    <row r="146" spans="3:14" x14ac:dyDescent="0.2">
      <c r="C146" s="113" t="s">
        <v>14328</v>
      </c>
      <c r="D146" s="112"/>
      <c r="E146" s="112"/>
      <c r="F146" s="112">
        <v>143</v>
      </c>
      <c r="G146" s="112"/>
      <c r="H146" s="112"/>
      <c r="I146" s="112"/>
      <c r="J146" s="112"/>
      <c r="K146" s="112"/>
      <c r="L146" s="113" t="s">
        <v>14328</v>
      </c>
      <c r="M146" s="112"/>
      <c r="N146" s="112">
        <v>114</v>
      </c>
    </row>
    <row r="147" spans="3:14" x14ac:dyDescent="0.2">
      <c r="C147" s="113" t="s">
        <v>14329</v>
      </c>
      <c r="D147" s="112"/>
      <c r="E147" s="112"/>
      <c r="F147" s="112">
        <v>144</v>
      </c>
      <c r="G147" s="112"/>
      <c r="H147" s="112"/>
      <c r="I147" s="112"/>
      <c r="J147" s="112"/>
      <c r="K147" s="112"/>
      <c r="L147" s="113" t="s">
        <v>14329</v>
      </c>
      <c r="M147" s="112"/>
      <c r="N147" s="112">
        <v>115</v>
      </c>
    </row>
    <row r="148" spans="3:14" x14ac:dyDescent="0.2">
      <c r="C148" s="113" t="s">
        <v>14330</v>
      </c>
      <c r="D148" s="112"/>
      <c r="E148" s="112"/>
      <c r="F148" s="112">
        <v>145</v>
      </c>
      <c r="G148" s="112"/>
      <c r="H148" s="112"/>
      <c r="I148" s="112"/>
      <c r="J148" s="112"/>
      <c r="K148" s="112"/>
      <c r="L148" s="113" t="s">
        <v>14330</v>
      </c>
      <c r="M148" s="112"/>
      <c r="N148" s="112">
        <v>116</v>
      </c>
    </row>
    <row r="149" spans="3:14" x14ac:dyDescent="0.2">
      <c r="C149" s="113" t="s">
        <v>14331</v>
      </c>
      <c r="D149" s="112"/>
      <c r="E149" s="112"/>
      <c r="F149" s="112">
        <v>146</v>
      </c>
      <c r="G149" s="112"/>
      <c r="H149" s="112"/>
      <c r="I149" s="112"/>
      <c r="J149" s="112"/>
      <c r="K149" s="112"/>
      <c r="L149" s="113" t="s">
        <v>14331</v>
      </c>
      <c r="M149" s="112"/>
      <c r="N149" s="112">
        <v>117</v>
      </c>
    </row>
    <row r="150" spans="3:14" x14ac:dyDescent="0.2">
      <c r="C150" s="113" t="s">
        <v>14332</v>
      </c>
      <c r="D150" s="112"/>
      <c r="E150" s="112"/>
      <c r="F150" s="112">
        <v>147</v>
      </c>
      <c r="G150" s="112"/>
      <c r="H150" s="112"/>
      <c r="I150" s="112"/>
      <c r="J150" s="112"/>
      <c r="K150" s="112"/>
      <c r="L150" s="113" t="s">
        <v>14332</v>
      </c>
      <c r="M150" s="112"/>
      <c r="N150" s="112">
        <v>118</v>
      </c>
    </row>
    <row r="151" spans="3:14" x14ac:dyDescent="0.2">
      <c r="C151" s="113" t="s">
        <v>14333</v>
      </c>
      <c r="D151" s="112"/>
      <c r="E151" s="112"/>
      <c r="F151" s="112">
        <v>148</v>
      </c>
      <c r="G151" s="112"/>
      <c r="H151" s="112"/>
      <c r="I151" s="112"/>
      <c r="J151" s="112"/>
      <c r="K151" s="112"/>
      <c r="L151" s="113" t="s">
        <v>14333</v>
      </c>
      <c r="M151" s="112"/>
      <c r="N151" s="112">
        <v>119</v>
      </c>
    </row>
    <row r="152" spans="3:14" x14ac:dyDescent="0.2">
      <c r="C152" s="113" t="s">
        <v>14334</v>
      </c>
      <c r="D152" s="112"/>
      <c r="E152" s="112"/>
      <c r="F152" s="112">
        <v>149</v>
      </c>
      <c r="G152" s="112"/>
      <c r="H152" s="112"/>
      <c r="I152" s="112"/>
      <c r="J152" s="112"/>
      <c r="K152" s="112"/>
      <c r="L152" s="113" t="s">
        <v>14334</v>
      </c>
      <c r="M152" s="112"/>
      <c r="N152" s="112">
        <v>120</v>
      </c>
    </row>
    <row r="153" spans="3:14" x14ac:dyDescent="0.2">
      <c r="C153" s="113" t="s">
        <v>14335</v>
      </c>
      <c r="D153" s="112"/>
      <c r="E153" s="112"/>
      <c r="F153" s="112">
        <v>150</v>
      </c>
      <c r="G153" s="112"/>
      <c r="H153" s="112"/>
      <c r="I153" s="112"/>
      <c r="J153" s="112"/>
      <c r="K153" s="112"/>
      <c r="L153" s="113" t="s">
        <v>14335</v>
      </c>
      <c r="M153" s="112"/>
      <c r="N153" s="112">
        <v>121</v>
      </c>
    </row>
    <row r="154" spans="3:14" x14ac:dyDescent="0.2">
      <c r="C154" s="113" t="s">
        <v>14336</v>
      </c>
      <c r="D154" s="112"/>
      <c r="E154" s="112"/>
      <c r="F154" s="112">
        <v>151</v>
      </c>
      <c r="G154" s="112"/>
      <c r="H154" s="112"/>
      <c r="I154" s="112"/>
      <c r="J154" s="112"/>
      <c r="K154" s="112"/>
      <c r="L154" s="113" t="s">
        <v>14336</v>
      </c>
      <c r="M154" s="112"/>
      <c r="N154" s="112">
        <v>122</v>
      </c>
    </row>
    <row r="155" spans="3:14" x14ac:dyDescent="0.2">
      <c r="C155" s="113" t="s">
        <v>14337</v>
      </c>
      <c r="D155" s="112"/>
      <c r="E155" s="112"/>
      <c r="F155" s="112">
        <v>152</v>
      </c>
      <c r="G155" s="112"/>
      <c r="H155" s="112"/>
      <c r="I155" s="112"/>
      <c r="J155" s="112"/>
      <c r="K155" s="112"/>
      <c r="L155" s="113" t="s">
        <v>14337</v>
      </c>
      <c r="M155" s="112"/>
      <c r="N155" s="112">
        <v>123</v>
      </c>
    </row>
    <row r="156" spans="3:14" x14ac:dyDescent="0.2">
      <c r="C156" s="113" t="s">
        <v>14338</v>
      </c>
      <c r="D156" s="112"/>
      <c r="E156" s="112"/>
      <c r="F156" s="112">
        <v>153</v>
      </c>
      <c r="G156" s="112"/>
      <c r="H156" s="112"/>
      <c r="I156" s="112"/>
      <c r="J156" s="112"/>
      <c r="K156" s="112"/>
      <c r="L156" s="113" t="s">
        <v>14338</v>
      </c>
      <c r="M156" s="112"/>
      <c r="N156" s="112">
        <v>124</v>
      </c>
    </row>
    <row r="157" spans="3:14" x14ac:dyDescent="0.2">
      <c r="C157" s="113" t="s">
        <v>14339</v>
      </c>
      <c r="D157" s="112"/>
      <c r="E157" s="112"/>
      <c r="F157" s="112">
        <v>154</v>
      </c>
      <c r="G157" s="112"/>
      <c r="H157" s="112"/>
      <c r="I157" s="112"/>
      <c r="J157" s="112"/>
      <c r="K157" s="112"/>
      <c r="L157" s="113" t="s">
        <v>14339</v>
      </c>
      <c r="M157" s="112"/>
      <c r="N157" s="112">
        <v>125</v>
      </c>
    </row>
    <row r="158" spans="3:14" x14ac:dyDescent="0.2">
      <c r="C158" s="113" t="s">
        <v>14340</v>
      </c>
      <c r="D158" s="112"/>
      <c r="E158" s="112"/>
      <c r="F158" s="112">
        <v>155</v>
      </c>
      <c r="G158" s="112"/>
      <c r="H158" s="112"/>
      <c r="I158" s="112"/>
      <c r="J158" s="112"/>
      <c r="K158" s="112"/>
      <c r="L158" s="113" t="s">
        <v>14340</v>
      </c>
      <c r="M158" s="112"/>
      <c r="N158" s="112">
        <v>126</v>
      </c>
    </row>
    <row r="159" spans="3:14" x14ac:dyDescent="0.2">
      <c r="C159" s="113" t="s">
        <v>14341</v>
      </c>
      <c r="D159" s="112"/>
      <c r="E159" s="112"/>
      <c r="F159" s="112">
        <v>156</v>
      </c>
      <c r="G159" s="112"/>
      <c r="H159" s="112"/>
      <c r="I159" s="112"/>
      <c r="J159" s="112"/>
      <c r="K159" s="112"/>
      <c r="L159" s="113" t="s">
        <v>14341</v>
      </c>
      <c r="M159" s="112"/>
      <c r="N159" s="112">
        <v>127</v>
      </c>
    </row>
    <row r="160" spans="3:14" x14ac:dyDescent="0.2">
      <c r="C160" s="113" t="s">
        <v>14342</v>
      </c>
      <c r="D160" s="112"/>
      <c r="E160" s="112"/>
      <c r="F160" s="112">
        <v>157</v>
      </c>
      <c r="G160" s="112"/>
      <c r="H160" s="112"/>
      <c r="I160" s="112"/>
      <c r="J160" s="112"/>
      <c r="K160" s="112"/>
      <c r="L160" s="113" t="s">
        <v>14342</v>
      </c>
      <c r="M160" s="112"/>
      <c r="N160" s="112">
        <v>128</v>
      </c>
    </row>
    <row r="161" spans="3:14" x14ac:dyDescent="0.2">
      <c r="C161" s="113" t="s">
        <v>14343</v>
      </c>
      <c r="D161" s="112"/>
      <c r="E161" s="112"/>
      <c r="F161" s="112">
        <v>158</v>
      </c>
      <c r="G161" s="112"/>
      <c r="H161" s="112"/>
      <c r="I161" s="112"/>
      <c r="J161" s="112"/>
      <c r="K161" s="112"/>
      <c r="L161" s="113" t="s">
        <v>14343</v>
      </c>
      <c r="M161" s="112"/>
      <c r="N161" s="112">
        <v>129</v>
      </c>
    </row>
    <row r="162" spans="3:14" x14ac:dyDescent="0.2">
      <c r="C162" s="113" t="s">
        <v>14344</v>
      </c>
      <c r="D162" s="112"/>
      <c r="E162" s="112"/>
      <c r="F162" s="112">
        <v>159</v>
      </c>
      <c r="G162" s="112"/>
      <c r="H162" s="112"/>
      <c r="I162" s="112"/>
      <c r="J162" s="112"/>
      <c r="K162" s="112"/>
      <c r="L162" s="113" t="s">
        <v>14344</v>
      </c>
      <c r="M162" s="112"/>
      <c r="N162" s="112">
        <v>130</v>
      </c>
    </row>
    <row r="163" spans="3:14" x14ac:dyDescent="0.2">
      <c r="C163" s="113" t="s">
        <v>14345</v>
      </c>
      <c r="D163" s="112"/>
      <c r="E163" s="112"/>
      <c r="F163" s="112">
        <v>160</v>
      </c>
      <c r="G163" s="112"/>
      <c r="H163" s="112"/>
      <c r="I163" s="112"/>
      <c r="J163" s="112"/>
      <c r="K163" s="112"/>
      <c r="L163" s="113" t="s">
        <v>14345</v>
      </c>
      <c r="M163" s="112"/>
      <c r="N163" s="112">
        <v>131</v>
      </c>
    </row>
    <row r="164" spans="3:14" x14ac:dyDescent="0.2">
      <c r="C164" s="113" t="s">
        <v>14346</v>
      </c>
      <c r="D164" s="112"/>
      <c r="E164" s="112"/>
      <c r="F164" s="112">
        <v>161</v>
      </c>
      <c r="G164" s="112"/>
      <c r="H164" s="112"/>
      <c r="I164" s="112"/>
      <c r="J164" s="112"/>
      <c r="K164" s="112"/>
      <c r="L164" s="113" t="s">
        <v>14346</v>
      </c>
      <c r="M164" s="112"/>
      <c r="N164" s="112">
        <v>132</v>
      </c>
    </row>
    <row r="165" spans="3:14" x14ac:dyDescent="0.2">
      <c r="C165" s="113" t="s">
        <v>14347</v>
      </c>
      <c r="D165" s="112"/>
      <c r="E165" s="112"/>
      <c r="F165" s="112">
        <v>162</v>
      </c>
      <c r="G165" s="112"/>
      <c r="H165" s="112"/>
      <c r="I165" s="112"/>
      <c r="J165" s="112"/>
      <c r="K165" s="112"/>
      <c r="L165" s="113" t="s">
        <v>14347</v>
      </c>
      <c r="M165" s="112"/>
      <c r="N165" s="112">
        <v>133</v>
      </c>
    </row>
    <row r="166" spans="3:14" x14ac:dyDescent="0.2">
      <c r="C166" s="113" t="s">
        <v>14348</v>
      </c>
      <c r="D166" s="112"/>
      <c r="E166" s="112"/>
      <c r="F166" s="112">
        <v>163</v>
      </c>
      <c r="G166" s="112"/>
      <c r="H166" s="112"/>
      <c r="I166" s="112"/>
      <c r="J166" s="112"/>
      <c r="K166" s="112"/>
      <c r="L166" s="113" t="s">
        <v>14348</v>
      </c>
      <c r="M166" s="112"/>
      <c r="N166" s="112">
        <v>134</v>
      </c>
    </row>
    <row r="167" spans="3:14" x14ac:dyDescent="0.2">
      <c r="C167" s="113" t="s">
        <v>14349</v>
      </c>
      <c r="D167" s="112"/>
      <c r="E167" s="112"/>
      <c r="F167" s="112">
        <v>164</v>
      </c>
      <c r="G167" s="112"/>
      <c r="H167" s="112"/>
      <c r="I167" s="112"/>
      <c r="J167" s="112"/>
      <c r="K167" s="112"/>
      <c r="L167" s="113" t="s">
        <v>14349</v>
      </c>
      <c r="M167" s="112"/>
      <c r="N167" s="112">
        <v>135</v>
      </c>
    </row>
    <row r="168" spans="3:14" x14ac:dyDescent="0.2">
      <c r="C168" s="113" t="s">
        <v>14350</v>
      </c>
      <c r="D168" s="112"/>
      <c r="E168" s="112"/>
      <c r="F168" s="112">
        <v>165</v>
      </c>
      <c r="G168" s="112"/>
      <c r="H168" s="112"/>
      <c r="I168" s="112"/>
      <c r="J168" s="112"/>
      <c r="K168" s="112"/>
      <c r="L168" s="113" t="s">
        <v>14350</v>
      </c>
      <c r="M168" s="112"/>
      <c r="N168" s="112">
        <v>136</v>
      </c>
    </row>
    <row r="169" spans="3:14" x14ac:dyDescent="0.2">
      <c r="C169" s="113" t="s">
        <v>14351</v>
      </c>
      <c r="D169" s="112"/>
      <c r="E169" s="112"/>
      <c r="F169" s="112">
        <v>166</v>
      </c>
      <c r="G169" s="112"/>
      <c r="H169" s="112"/>
      <c r="I169" s="112"/>
      <c r="J169" s="112"/>
      <c r="K169" s="112"/>
      <c r="L169" s="113" t="s">
        <v>14351</v>
      </c>
      <c r="M169" s="112"/>
      <c r="N169" s="112">
        <v>137</v>
      </c>
    </row>
    <row r="170" spans="3:14" x14ac:dyDescent="0.2">
      <c r="C170" s="113" t="s">
        <v>14352</v>
      </c>
      <c r="D170" s="112"/>
      <c r="E170" s="112"/>
      <c r="F170" s="112">
        <v>167</v>
      </c>
      <c r="G170" s="112"/>
      <c r="H170" s="112"/>
      <c r="I170" s="112"/>
      <c r="J170" s="112"/>
      <c r="K170" s="112"/>
      <c r="L170" s="113" t="s">
        <v>14352</v>
      </c>
      <c r="M170" s="112"/>
      <c r="N170" s="112">
        <v>138</v>
      </c>
    </row>
    <row r="171" spans="3:14" x14ac:dyDescent="0.2">
      <c r="C171" s="113" t="s">
        <v>14353</v>
      </c>
      <c r="D171" s="112"/>
      <c r="E171" s="112"/>
      <c r="F171" s="112">
        <v>168</v>
      </c>
      <c r="G171" s="112"/>
      <c r="H171" s="112"/>
      <c r="I171" s="112"/>
      <c r="J171" s="112"/>
      <c r="K171" s="112"/>
      <c r="L171" s="113" t="s">
        <v>14353</v>
      </c>
      <c r="M171" s="112"/>
      <c r="N171" s="112">
        <v>139</v>
      </c>
    </row>
    <row r="172" spans="3:14" x14ac:dyDescent="0.2">
      <c r="C172" s="113" t="s">
        <v>14354</v>
      </c>
      <c r="D172" s="112"/>
      <c r="E172" s="112"/>
      <c r="F172" s="112">
        <v>169</v>
      </c>
      <c r="G172" s="112"/>
      <c r="H172" s="112"/>
      <c r="I172" s="112"/>
      <c r="J172" s="112"/>
      <c r="K172" s="112"/>
      <c r="L172" s="113" t="s">
        <v>14354</v>
      </c>
      <c r="M172" s="112"/>
      <c r="N172" s="112">
        <v>140</v>
      </c>
    </row>
    <row r="173" spans="3:14" x14ac:dyDescent="0.2">
      <c r="C173" s="113" t="s">
        <v>14355</v>
      </c>
      <c r="D173" s="112"/>
      <c r="E173" s="112"/>
      <c r="F173" s="112">
        <v>170</v>
      </c>
      <c r="G173" s="112"/>
      <c r="H173" s="112"/>
      <c r="I173" s="112"/>
      <c r="J173" s="112"/>
      <c r="K173" s="112"/>
      <c r="L173" s="113" t="s">
        <v>14355</v>
      </c>
      <c r="M173" s="112"/>
      <c r="N173" s="112">
        <v>141</v>
      </c>
    </row>
    <row r="174" spans="3:14" x14ac:dyDescent="0.2">
      <c r="C174" s="113" t="s">
        <v>14356</v>
      </c>
      <c r="D174" s="112"/>
      <c r="E174" s="112"/>
      <c r="F174" s="112">
        <v>171</v>
      </c>
      <c r="G174" s="112"/>
      <c r="H174" s="112"/>
      <c r="I174" s="112"/>
      <c r="J174" s="112"/>
      <c r="K174" s="112"/>
      <c r="L174" s="113" t="s">
        <v>14356</v>
      </c>
      <c r="M174" s="112"/>
      <c r="N174" s="112">
        <v>142</v>
      </c>
    </row>
    <row r="175" spans="3:14" x14ac:dyDescent="0.2">
      <c r="C175" s="113" t="s">
        <v>14357</v>
      </c>
      <c r="D175" s="112"/>
      <c r="E175" s="112"/>
      <c r="F175" s="112">
        <v>172</v>
      </c>
      <c r="G175" s="112"/>
      <c r="H175" s="112"/>
      <c r="I175" s="112"/>
      <c r="J175" s="112"/>
      <c r="K175" s="112"/>
      <c r="L175" s="113" t="s">
        <v>14357</v>
      </c>
      <c r="M175" s="112"/>
      <c r="N175" s="112">
        <v>143</v>
      </c>
    </row>
    <row r="176" spans="3:14" x14ac:dyDescent="0.2">
      <c r="C176" s="113" t="s">
        <v>14358</v>
      </c>
      <c r="D176" s="112"/>
      <c r="E176" s="112"/>
      <c r="F176" s="112">
        <v>173</v>
      </c>
      <c r="G176" s="112"/>
      <c r="H176" s="112"/>
      <c r="I176" s="112"/>
      <c r="J176" s="112"/>
      <c r="K176" s="112"/>
      <c r="L176" s="113" t="s">
        <v>14358</v>
      </c>
      <c r="M176" s="112"/>
      <c r="N176" s="112">
        <v>144</v>
      </c>
    </row>
    <row r="177" spans="3:14" x14ac:dyDescent="0.2">
      <c r="C177" s="113" t="s">
        <v>14359</v>
      </c>
      <c r="D177" s="112"/>
      <c r="E177" s="112"/>
      <c r="F177" s="112">
        <v>174</v>
      </c>
      <c r="G177" s="112"/>
      <c r="H177" s="112"/>
      <c r="I177" s="112"/>
      <c r="J177" s="112"/>
      <c r="K177" s="112"/>
      <c r="L177" s="113" t="s">
        <v>14359</v>
      </c>
      <c r="M177" s="112"/>
      <c r="N177" s="112">
        <v>145</v>
      </c>
    </row>
    <row r="178" spans="3:14" x14ac:dyDescent="0.2">
      <c r="C178" s="113" t="s">
        <v>14360</v>
      </c>
      <c r="D178" s="112"/>
      <c r="E178" s="112"/>
      <c r="F178" s="112">
        <v>175</v>
      </c>
      <c r="G178" s="112"/>
      <c r="H178" s="112"/>
      <c r="I178" s="112"/>
      <c r="J178" s="112"/>
      <c r="K178" s="112"/>
      <c r="L178" s="113" t="s">
        <v>14360</v>
      </c>
      <c r="M178" s="112"/>
      <c r="N178" s="112">
        <v>146</v>
      </c>
    </row>
    <row r="179" spans="3:14" x14ac:dyDescent="0.2">
      <c r="C179" s="113" t="s">
        <v>14361</v>
      </c>
      <c r="D179" s="112"/>
      <c r="E179" s="112"/>
      <c r="F179" s="112">
        <v>176</v>
      </c>
      <c r="G179" s="112"/>
      <c r="H179" s="112"/>
      <c r="I179" s="112"/>
      <c r="J179" s="112"/>
      <c r="K179" s="112"/>
      <c r="L179" s="113" t="s">
        <v>14361</v>
      </c>
      <c r="M179" s="112"/>
      <c r="N179" s="112">
        <v>147</v>
      </c>
    </row>
    <row r="180" spans="3:14" x14ac:dyDescent="0.2">
      <c r="C180" s="113" t="s">
        <v>14362</v>
      </c>
      <c r="D180" s="112"/>
      <c r="E180" s="112"/>
      <c r="F180" s="112">
        <v>177</v>
      </c>
      <c r="G180" s="112"/>
      <c r="H180" s="112"/>
      <c r="I180" s="112"/>
      <c r="J180" s="112"/>
      <c r="K180" s="112"/>
      <c r="L180" s="113" t="s">
        <v>14362</v>
      </c>
      <c r="M180" s="112"/>
      <c r="N180" s="112">
        <v>148</v>
      </c>
    </row>
    <row r="181" spans="3:14" x14ac:dyDescent="0.2">
      <c r="C181" s="113" t="s">
        <v>14363</v>
      </c>
      <c r="D181" s="112"/>
      <c r="E181" s="112"/>
      <c r="F181" s="112">
        <v>178</v>
      </c>
      <c r="G181" s="112"/>
      <c r="H181" s="112"/>
      <c r="I181" s="112"/>
      <c r="J181" s="112"/>
      <c r="K181" s="112"/>
      <c r="L181" s="113" t="s">
        <v>14363</v>
      </c>
      <c r="M181" s="112"/>
      <c r="N181" s="112">
        <v>149</v>
      </c>
    </row>
    <row r="182" spans="3:14" x14ac:dyDescent="0.2">
      <c r="C182" s="113" t="s">
        <v>14364</v>
      </c>
      <c r="D182" s="112"/>
      <c r="E182" s="112"/>
      <c r="F182" s="112">
        <v>179</v>
      </c>
      <c r="G182" s="112"/>
      <c r="H182" s="112"/>
      <c r="I182" s="112"/>
      <c r="J182" s="112"/>
      <c r="K182" s="112"/>
      <c r="L182" s="113" t="s">
        <v>14364</v>
      </c>
      <c r="M182" s="112"/>
      <c r="N182" s="112">
        <v>150</v>
      </c>
    </row>
    <row r="183" spans="3:14" x14ac:dyDescent="0.2">
      <c r="C183" s="113" t="s">
        <v>14365</v>
      </c>
      <c r="D183" s="112"/>
      <c r="E183" s="112"/>
      <c r="F183" s="112">
        <v>180</v>
      </c>
      <c r="G183" s="112"/>
      <c r="H183" s="112"/>
      <c r="I183" s="112"/>
      <c r="J183" s="112"/>
      <c r="K183" s="112"/>
      <c r="L183" s="113" t="s">
        <v>14365</v>
      </c>
      <c r="M183" s="112"/>
      <c r="N183" s="112">
        <v>151</v>
      </c>
    </row>
    <row r="184" spans="3:14" x14ac:dyDescent="0.2">
      <c r="C184" s="112"/>
      <c r="D184" s="112"/>
      <c r="E184" s="112"/>
      <c r="F184" s="112"/>
      <c r="G184" s="112"/>
      <c r="H184" s="112"/>
      <c r="I184" s="112"/>
      <c r="J184" s="112"/>
      <c r="K184" s="112"/>
      <c r="L184" s="114"/>
      <c r="M184" s="114" t="s">
        <v>14366</v>
      </c>
      <c r="N184" s="112">
        <v>152</v>
      </c>
    </row>
    <row r="185" spans="3:14" x14ac:dyDescent="0.2">
      <c r="C185" s="112"/>
      <c r="D185" s="112"/>
      <c r="E185" s="112"/>
      <c r="F185" s="112"/>
      <c r="G185" s="112"/>
      <c r="H185" s="112"/>
      <c r="I185" s="112"/>
      <c r="J185" s="112"/>
      <c r="K185" s="112"/>
      <c r="L185" s="114"/>
      <c r="M185" s="114" t="s">
        <v>14366</v>
      </c>
      <c r="N185" s="112">
        <v>153</v>
      </c>
    </row>
    <row r="186" spans="3:14" x14ac:dyDescent="0.2">
      <c r="C186" s="112"/>
      <c r="D186" s="112"/>
      <c r="E186" s="112"/>
      <c r="F186" s="112"/>
      <c r="G186" s="112"/>
      <c r="H186" s="112"/>
      <c r="I186" s="112"/>
      <c r="J186" s="112"/>
      <c r="K186" s="112"/>
      <c r="L186" s="114"/>
      <c r="M186" s="114" t="s">
        <v>14366</v>
      </c>
      <c r="N186" s="112">
        <v>154</v>
      </c>
    </row>
    <row r="187" spans="3:14" x14ac:dyDescent="0.2">
      <c r="C187" s="112"/>
      <c r="D187" s="112"/>
      <c r="E187" s="112"/>
      <c r="F187" s="112"/>
      <c r="G187" s="112"/>
      <c r="H187" s="112"/>
      <c r="I187" s="112"/>
      <c r="J187" s="112"/>
      <c r="K187" s="112"/>
      <c r="L187" s="114"/>
      <c r="M187" s="114" t="s">
        <v>14366</v>
      </c>
      <c r="N187" s="112">
        <v>155</v>
      </c>
    </row>
    <row r="188" spans="3:14" x14ac:dyDescent="0.2">
      <c r="C188" s="112"/>
      <c r="D188" s="112"/>
      <c r="E188" s="112"/>
      <c r="F188" s="112"/>
      <c r="G188" s="112"/>
      <c r="H188" s="112"/>
      <c r="I188" s="112"/>
      <c r="J188" s="112"/>
      <c r="K188" s="112"/>
      <c r="L188" s="114"/>
      <c r="M188" s="114" t="s">
        <v>14366</v>
      </c>
      <c r="N188" s="112">
        <v>156</v>
      </c>
    </row>
    <row r="189" spans="3:14" x14ac:dyDescent="0.2">
      <c r="C189" s="112"/>
      <c r="D189" s="112"/>
      <c r="E189" s="112"/>
      <c r="F189" s="112"/>
      <c r="G189" s="112"/>
      <c r="H189" s="112"/>
      <c r="I189" s="112"/>
      <c r="J189" s="112"/>
      <c r="K189" s="112"/>
      <c r="L189" s="114"/>
      <c r="M189" s="114" t="s">
        <v>14366</v>
      </c>
      <c r="N189" s="112">
        <v>157</v>
      </c>
    </row>
    <row r="190" spans="3:14" x14ac:dyDescent="0.2">
      <c r="C190" s="112"/>
      <c r="D190" s="112"/>
      <c r="E190" s="112"/>
      <c r="F190" s="112"/>
      <c r="G190" s="112"/>
      <c r="H190" s="112"/>
      <c r="I190" s="112"/>
      <c r="J190" s="112"/>
      <c r="K190" s="112"/>
      <c r="L190" s="114"/>
      <c r="M190" s="114" t="s">
        <v>14366</v>
      </c>
      <c r="N190" s="112">
        <v>158</v>
      </c>
    </row>
    <row r="191" spans="3:14" x14ac:dyDescent="0.2">
      <c r="C191" s="112"/>
      <c r="D191" s="112"/>
      <c r="E191" s="112"/>
      <c r="F191" s="112"/>
      <c r="G191" s="112"/>
      <c r="H191" s="112"/>
      <c r="I191" s="112"/>
      <c r="J191" s="112"/>
      <c r="K191" s="112"/>
      <c r="L191" s="114"/>
      <c r="M191" s="114" t="s">
        <v>14366</v>
      </c>
      <c r="N191" s="112">
        <v>159</v>
      </c>
    </row>
    <row r="192" spans="3:14" x14ac:dyDescent="0.2">
      <c r="C192" s="112"/>
      <c r="D192" s="112"/>
      <c r="E192" s="112"/>
      <c r="F192" s="112"/>
      <c r="G192" s="112"/>
      <c r="H192" s="112"/>
      <c r="I192" s="112"/>
      <c r="J192" s="112"/>
      <c r="K192" s="112"/>
      <c r="L192" s="114"/>
      <c r="M192" s="114" t="s">
        <v>14366</v>
      </c>
      <c r="N192" s="112">
        <v>160</v>
      </c>
    </row>
    <row r="193" spans="3:14" x14ac:dyDescent="0.2">
      <c r="C193" s="112"/>
      <c r="D193" s="112"/>
      <c r="E193" s="112"/>
      <c r="F193" s="112"/>
      <c r="G193" s="112"/>
      <c r="H193" s="112"/>
      <c r="I193" s="112"/>
      <c r="J193" s="112"/>
      <c r="K193" s="112"/>
      <c r="L193" s="114"/>
      <c r="M193" s="114" t="s">
        <v>14366</v>
      </c>
      <c r="N193" s="112">
        <v>161</v>
      </c>
    </row>
    <row r="194" spans="3:14" x14ac:dyDescent="0.2">
      <c r="C194" s="112"/>
      <c r="D194" s="112"/>
      <c r="E194" s="112"/>
      <c r="F194" s="112"/>
      <c r="G194" s="112"/>
      <c r="H194" s="112"/>
      <c r="I194" s="112"/>
      <c r="J194" s="112"/>
      <c r="K194" s="112"/>
      <c r="L194" s="114"/>
      <c r="M194" s="114" t="s">
        <v>14366</v>
      </c>
      <c r="N194" s="112">
        <v>162</v>
      </c>
    </row>
    <row r="195" spans="3:14" x14ac:dyDescent="0.2">
      <c r="C195" s="112"/>
      <c r="D195" s="112"/>
      <c r="E195" s="112"/>
      <c r="F195" s="112"/>
      <c r="G195" s="112"/>
      <c r="H195" s="112"/>
      <c r="I195" s="112"/>
      <c r="J195" s="112"/>
      <c r="K195" s="112"/>
      <c r="L195" s="114"/>
      <c r="M195" s="114" t="s">
        <v>14366</v>
      </c>
      <c r="N195" s="112">
        <v>163</v>
      </c>
    </row>
    <row r="196" spans="3:14" x14ac:dyDescent="0.2">
      <c r="C196" s="112"/>
      <c r="D196" s="112"/>
      <c r="E196" s="112"/>
      <c r="F196" s="112"/>
      <c r="G196" s="112"/>
      <c r="H196" s="112"/>
      <c r="I196" s="112"/>
      <c r="J196" s="112"/>
      <c r="K196" s="112"/>
      <c r="L196" s="114"/>
      <c r="M196" s="114" t="s">
        <v>14366</v>
      </c>
      <c r="N196" s="112">
        <v>164</v>
      </c>
    </row>
    <row r="197" spans="3:14" x14ac:dyDescent="0.2">
      <c r="C197" s="112"/>
      <c r="D197" s="112"/>
      <c r="E197" s="112"/>
      <c r="F197" s="112"/>
      <c r="G197" s="112"/>
      <c r="H197" s="112"/>
      <c r="I197" s="112"/>
      <c r="J197" s="112"/>
      <c r="K197" s="112"/>
      <c r="L197" s="114"/>
      <c r="M197" s="114" t="s">
        <v>14366</v>
      </c>
      <c r="N197" s="112">
        <v>165</v>
      </c>
    </row>
    <row r="198" spans="3:14" x14ac:dyDescent="0.2">
      <c r="C198" s="112"/>
      <c r="D198" s="112"/>
      <c r="E198" s="112"/>
      <c r="F198" s="112"/>
      <c r="G198" s="112"/>
      <c r="H198" s="112"/>
      <c r="I198" s="112"/>
      <c r="J198" s="112"/>
      <c r="K198" s="112"/>
      <c r="L198" s="114"/>
      <c r="M198" s="114" t="s">
        <v>14366</v>
      </c>
      <c r="N198" s="112">
        <v>166</v>
      </c>
    </row>
    <row r="199" spans="3:14" x14ac:dyDescent="0.2">
      <c r="C199" s="112"/>
      <c r="D199" s="112"/>
      <c r="E199" s="112"/>
      <c r="F199" s="112"/>
      <c r="G199" s="112"/>
      <c r="H199" s="112"/>
      <c r="I199" s="112"/>
      <c r="J199" s="112"/>
      <c r="K199" s="112"/>
      <c r="L199" s="114"/>
      <c r="M199" s="114" t="s">
        <v>14366</v>
      </c>
      <c r="N199" s="112">
        <v>167</v>
      </c>
    </row>
    <row r="200" spans="3:14" x14ac:dyDescent="0.2">
      <c r="C200" s="112"/>
      <c r="D200" s="112"/>
      <c r="E200" s="112"/>
      <c r="F200" s="112"/>
      <c r="G200" s="112"/>
      <c r="H200" s="112"/>
      <c r="I200" s="112"/>
      <c r="J200" s="112"/>
      <c r="K200" s="112"/>
      <c r="L200" s="114"/>
      <c r="M200" s="114" t="s">
        <v>14366</v>
      </c>
      <c r="N200" s="112">
        <v>168</v>
      </c>
    </row>
    <row r="201" spans="3:14" x14ac:dyDescent="0.2">
      <c r="C201" s="112"/>
      <c r="D201" s="112"/>
      <c r="E201" s="112"/>
      <c r="F201" s="112"/>
      <c r="G201" s="112"/>
      <c r="H201" s="112"/>
      <c r="I201" s="112"/>
      <c r="J201" s="112"/>
      <c r="K201" s="112"/>
      <c r="L201" s="114"/>
      <c r="M201" s="114" t="s">
        <v>14366</v>
      </c>
      <c r="N201" s="112">
        <v>169</v>
      </c>
    </row>
    <row r="202" spans="3:14" x14ac:dyDescent="0.2">
      <c r="C202" s="112"/>
      <c r="D202" s="112"/>
      <c r="E202" s="112"/>
      <c r="F202" s="112"/>
      <c r="G202" s="112"/>
      <c r="H202" s="112"/>
      <c r="I202" s="112"/>
      <c r="J202" s="112"/>
      <c r="K202" s="112"/>
      <c r="L202" s="114"/>
      <c r="M202" s="114" t="s">
        <v>14366</v>
      </c>
      <c r="N202" s="112">
        <v>170</v>
      </c>
    </row>
    <row r="203" spans="3:14" x14ac:dyDescent="0.2">
      <c r="C203" s="112"/>
      <c r="D203" s="112"/>
      <c r="E203" s="112"/>
      <c r="F203" s="112"/>
      <c r="G203" s="112"/>
      <c r="H203" s="112"/>
      <c r="I203" s="112"/>
      <c r="J203" s="112"/>
      <c r="K203" s="112"/>
      <c r="L203" s="114"/>
      <c r="M203" s="114" t="s">
        <v>14366</v>
      </c>
      <c r="N203" s="112">
        <v>171</v>
      </c>
    </row>
    <row r="204" spans="3:14" x14ac:dyDescent="0.2">
      <c r="C204" s="112"/>
      <c r="D204" s="112"/>
      <c r="E204" s="112"/>
      <c r="F204" s="112"/>
      <c r="G204" s="112"/>
      <c r="H204" s="112"/>
      <c r="I204" s="112"/>
      <c r="J204" s="112"/>
      <c r="K204" s="112"/>
      <c r="L204" s="114"/>
      <c r="M204" s="114" t="s">
        <v>14366</v>
      </c>
      <c r="N204" s="112">
        <v>172</v>
      </c>
    </row>
    <row r="205" spans="3:14" x14ac:dyDescent="0.2">
      <c r="C205" s="112"/>
      <c r="D205" s="112"/>
      <c r="E205" s="112"/>
      <c r="F205" s="112"/>
      <c r="G205" s="112"/>
      <c r="H205" s="112"/>
      <c r="I205" s="112"/>
      <c r="J205" s="112"/>
      <c r="K205" s="112"/>
      <c r="L205" s="114"/>
      <c r="M205" s="114" t="s">
        <v>14366</v>
      </c>
      <c r="N205" s="112">
        <v>173</v>
      </c>
    </row>
    <row r="206" spans="3:14" x14ac:dyDescent="0.2">
      <c r="C206" s="112"/>
      <c r="D206" s="112"/>
      <c r="E206" s="112"/>
      <c r="F206" s="112"/>
      <c r="G206" s="112"/>
      <c r="H206" s="112"/>
      <c r="I206" s="112"/>
      <c r="J206" s="112"/>
      <c r="K206" s="112"/>
      <c r="L206" s="114"/>
      <c r="M206" s="114" t="s">
        <v>14366</v>
      </c>
      <c r="N206" s="112">
        <v>174</v>
      </c>
    </row>
    <row r="207" spans="3:14" x14ac:dyDescent="0.2">
      <c r="C207" s="112"/>
      <c r="D207" s="112"/>
      <c r="E207" s="112"/>
      <c r="F207" s="112"/>
      <c r="G207" s="112"/>
      <c r="H207" s="112"/>
      <c r="I207" s="112"/>
      <c r="J207" s="112"/>
      <c r="K207" s="112"/>
      <c r="L207" s="114"/>
      <c r="M207" s="114" t="s">
        <v>14366</v>
      </c>
      <c r="N207" s="112">
        <v>175</v>
      </c>
    </row>
    <row r="208" spans="3:14" x14ac:dyDescent="0.2">
      <c r="C208" s="112"/>
      <c r="D208" s="112"/>
      <c r="E208" s="112"/>
      <c r="F208" s="112"/>
      <c r="G208" s="112"/>
      <c r="H208" s="112"/>
      <c r="I208" s="112"/>
      <c r="J208" s="112"/>
      <c r="K208" s="112"/>
      <c r="L208" s="114"/>
      <c r="M208" s="114" t="s">
        <v>14366</v>
      </c>
      <c r="N208" s="112">
        <v>176</v>
      </c>
    </row>
    <row r="209" spans="3:14" x14ac:dyDescent="0.2">
      <c r="C209" s="112"/>
      <c r="D209" s="112"/>
      <c r="E209" s="112"/>
      <c r="F209" s="112"/>
      <c r="G209" s="112"/>
      <c r="H209" s="112"/>
      <c r="I209" s="112"/>
      <c r="J209" s="112"/>
      <c r="K209" s="112"/>
      <c r="L209" s="114"/>
      <c r="M209" s="114" t="s">
        <v>14366</v>
      </c>
      <c r="N209" s="112">
        <v>177</v>
      </c>
    </row>
    <row r="210" spans="3:14" x14ac:dyDescent="0.2">
      <c r="C210" s="112"/>
      <c r="D210" s="112"/>
      <c r="E210" s="112"/>
      <c r="F210" s="112"/>
      <c r="G210" s="112"/>
      <c r="H210" s="112"/>
      <c r="I210" s="112"/>
      <c r="J210" s="112"/>
      <c r="K210" s="112"/>
      <c r="L210" s="114"/>
      <c r="M210" s="114" t="s">
        <v>14366</v>
      </c>
      <c r="N210" s="112">
        <v>178</v>
      </c>
    </row>
    <row r="211" spans="3:14" x14ac:dyDescent="0.2">
      <c r="C211" s="112"/>
      <c r="D211" s="112"/>
      <c r="E211" s="112"/>
      <c r="F211" s="112"/>
      <c r="G211" s="112"/>
      <c r="H211" s="112"/>
      <c r="I211" s="112"/>
      <c r="J211" s="112"/>
      <c r="K211" s="112"/>
      <c r="L211" s="114"/>
      <c r="M211" s="114" t="s">
        <v>14366</v>
      </c>
      <c r="N211" s="112">
        <v>179</v>
      </c>
    </row>
    <row r="212" spans="3:14" x14ac:dyDescent="0.2">
      <c r="C212" s="112"/>
      <c r="D212" s="112"/>
      <c r="E212" s="112"/>
      <c r="F212" s="112"/>
      <c r="G212" s="112"/>
      <c r="H212" s="112"/>
      <c r="I212" s="112"/>
      <c r="J212" s="112"/>
      <c r="K212" s="112"/>
      <c r="L212" s="114"/>
      <c r="M212" s="114" t="s">
        <v>14366</v>
      </c>
      <c r="N212" s="112">
        <v>180</v>
      </c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39" t="s">
        <v>12592</v>
      </c>
      <c r="B1" s="39" t="s">
        <v>4836</v>
      </c>
      <c r="C1" s="39" t="s">
        <v>14087</v>
      </c>
      <c r="D1" s="39" t="s">
        <v>14085</v>
      </c>
      <c r="E1" s="39" t="s">
        <v>14086</v>
      </c>
    </row>
    <row r="2" spans="1:5" x14ac:dyDescent="0.2">
      <c r="A2" t="str">
        <f>IFERROR(B2*1,"")</f>
        <v/>
      </c>
      <c r="B2" t="s">
        <v>12593</v>
      </c>
      <c r="C2" t="s">
        <v>4840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12594</v>
      </c>
      <c r="C3" t="s">
        <v>4840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4838</v>
      </c>
      <c r="C4" t="s">
        <v>4839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4841</v>
      </c>
      <c r="C5" t="s">
        <v>14367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4842</v>
      </c>
      <c r="C6" t="s">
        <v>4840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4844</v>
      </c>
      <c r="C7" t="s">
        <v>4840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4845</v>
      </c>
      <c r="C8" t="s">
        <v>4840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4846</v>
      </c>
      <c r="C9" t="s">
        <v>4840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4848</v>
      </c>
      <c r="C10" t="s">
        <v>4840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4849</v>
      </c>
      <c r="C11" t="s">
        <v>4840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4850</v>
      </c>
      <c r="C12" t="s">
        <v>4840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4851</v>
      </c>
      <c r="C13" t="s">
        <v>4840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4852</v>
      </c>
      <c r="C14" t="s">
        <v>4840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4853</v>
      </c>
      <c r="C15" t="s">
        <v>4840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4854</v>
      </c>
      <c r="C16" t="s">
        <v>4855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4856</v>
      </c>
      <c r="C17" t="s">
        <v>4840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4857</v>
      </c>
      <c r="C18" t="s">
        <v>4840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4858</v>
      </c>
      <c r="C19" t="s">
        <v>4840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4859</v>
      </c>
      <c r="C20" t="s">
        <v>4840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4860</v>
      </c>
      <c r="C21" t="s">
        <v>4840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4861</v>
      </c>
      <c r="C22" t="s">
        <v>4840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12595</v>
      </c>
      <c r="C23" t="s">
        <v>4840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4862</v>
      </c>
      <c r="C24" t="s">
        <v>4863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12596</v>
      </c>
      <c r="C25" t="s">
        <v>4840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4865</v>
      </c>
      <c r="C26" t="s">
        <v>4866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12597</v>
      </c>
      <c r="C27" t="s">
        <v>4840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4867</v>
      </c>
      <c r="C28" t="s">
        <v>4868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12598</v>
      </c>
      <c r="C29" t="s">
        <v>12599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12600</v>
      </c>
      <c r="C30" t="s">
        <v>4840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4869</v>
      </c>
      <c r="C31" t="s">
        <v>4870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12601</v>
      </c>
      <c r="C32" t="s">
        <v>4840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4871</v>
      </c>
      <c r="C33" t="s">
        <v>4872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12602</v>
      </c>
      <c r="C34" t="s">
        <v>4840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4873</v>
      </c>
      <c r="C35" t="s">
        <v>4874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12603</v>
      </c>
      <c r="C36" t="s">
        <v>4840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4875</v>
      </c>
      <c r="C37" t="s">
        <v>4876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12604</v>
      </c>
      <c r="C38" t="s">
        <v>4840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4877</v>
      </c>
      <c r="C39" t="s">
        <v>4878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4880</v>
      </c>
      <c r="C40" t="s">
        <v>4881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12605</v>
      </c>
      <c r="C41" t="s">
        <v>4840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4882</v>
      </c>
      <c r="C42" t="s">
        <v>4883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4884</v>
      </c>
      <c r="C43" t="s">
        <v>4840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4885</v>
      </c>
      <c r="C44" t="s">
        <v>4886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4887</v>
      </c>
      <c r="C45" t="s">
        <v>4840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4888</v>
      </c>
      <c r="C46" t="s">
        <v>4889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12606</v>
      </c>
      <c r="C47" t="s">
        <v>4840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4890</v>
      </c>
      <c r="C48" t="s">
        <v>4891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12607</v>
      </c>
      <c r="C49" t="s">
        <v>4840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4892</v>
      </c>
      <c r="C50" t="s">
        <v>4893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4894</v>
      </c>
      <c r="C51" t="s">
        <v>4895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12608</v>
      </c>
      <c r="C52" t="s">
        <v>4840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4897</v>
      </c>
      <c r="C53" t="s">
        <v>4898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4899</v>
      </c>
      <c r="C54" t="s">
        <v>4840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4900</v>
      </c>
      <c r="C55" t="s">
        <v>4901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4903</v>
      </c>
      <c r="C56" t="s">
        <v>4840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4904</v>
      </c>
      <c r="C57" t="s">
        <v>4905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4906</v>
      </c>
      <c r="C58" t="s">
        <v>4907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4909</v>
      </c>
      <c r="C59" t="s">
        <v>4910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4911</v>
      </c>
      <c r="C60" t="s">
        <v>4912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4913</v>
      </c>
      <c r="C61" t="s">
        <v>4914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12609</v>
      </c>
      <c r="C62" t="s">
        <v>4840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4915</v>
      </c>
      <c r="C63" t="s">
        <v>4916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4917</v>
      </c>
      <c r="C64" t="s">
        <v>4918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4919</v>
      </c>
      <c r="C65" t="s">
        <v>4920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12610</v>
      </c>
      <c r="C66" t="s">
        <v>4840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4921</v>
      </c>
      <c r="C67" t="s">
        <v>4922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12611</v>
      </c>
      <c r="C68" t="s">
        <v>4840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4923</v>
      </c>
      <c r="C69" t="s">
        <v>4924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12612</v>
      </c>
      <c r="C70" t="s">
        <v>4840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4925</v>
      </c>
      <c r="C71" t="s">
        <v>4926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4927</v>
      </c>
      <c r="C72" t="s">
        <v>4840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4928</v>
      </c>
      <c r="C73" t="s">
        <v>4929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12613</v>
      </c>
      <c r="C74" t="s">
        <v>4840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4930</v>
      </c>
      <c r="C75" t="s">
        <v>4931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12614</v>
      </c>
      <c r="C76" t="s">
        <v>4840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4932</v>
      </c>
      <c r="C77" t="s">
        <v>4933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12615</v>
      </c>
      <c r="C78" t="s">
        <v>4840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4934</v>
      </c>
      <c r="C79" t="s">
        <v>4935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12616</v>
      </c>
      <c r="C80" t="s">
        <v>12617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4936</v>
      </c>
      <c r="C81" t="s">
        <v>4840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12618</v>
      </c>
      <c r="C82" t="s">
        <v>12619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4937</v>
      </c>
      <c r="C83" t="s">
        <v>4938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4939</v>
      </c>
      <c r="C84" t="s">
        <v>4940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4941</v>
      </c>
      <c r="C85" t="s">
        <v>4942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4943</v>
      </c>
      <c r="C86" t="s">
        <v>4840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4944</v>
      </c>
      <c r="C87" t="s">
        <v>4945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4946</v>
      </c>
      <c r="C88" t="s">
        <v>4940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4947</v>
      </c>
      <c r="C89" t="s">
        <v>4840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4948</v>
      </c>
      <c r="C90" t="s">
        <v>4949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12620</v>
      </c>
      <c r="C91" t="s">
        <v>12621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4950</v>
      </c>
      <c r="C92" t="s">
        <v>4840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12622</v>
      </c>
      <c r="C93" t="s">
        <v>12623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12624</v>
      </c>
      <c r="C94" t="s">
        <v>12625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4951</v>
      </c>
      <c r="C95" t="s">
        <v>4952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4955</v>
      </c>
      <c r="C96" t="s">
        <v>4840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4956</v>
      </c>
      <c r="C97" t="s">
        <v>4840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4957</v>
      </c>
      <c r="C98" t="s">
        <v>4958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4959</v>
      </c>
      <c r="C99" t="s">
        <v>4960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4961</v>
      </c>
      <c r="C100" t="s">
        <v>4962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4963</v>
      </c>
      <c r="C101" t="s">
        <v>4964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4965</v>
      </c>
      <c r="C102" t="s">
        <v>4966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4967</v>
      </c>
      <c r="C103" t="s">
        <v>4968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4969</v>
      </c>
      <c r="C104" t="s">
        <v>4970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12626</v>
      </c>
      <c r="C105" t="s">
        <v>4840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4971</v>
      </c>
      <c r="C106" t="s">
        <v>4972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4973</v>
      </c>
      <c r="C107" t="s">
        <v>4974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4975</v>
      </c>
      <c r="C108" t="s">
        <v>4976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12627</v>
      </c>
      <c r="C109" t="s">
        <v>4840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4977</v>
      </c>
      <c r="C110" t="s">
        <v>4978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4979</v>
      </c>
      <c r="C111" t="s">
        <v>4980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12628</v>
      </c>
      <c r="C112" t="s">
        <v>4840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4981</v>
      </c>
      <c r="C113" t="s">
        <v>4982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12629</v>
      </c>
      <c r="C114" t="s">
        <v>4840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4983</v>
      </c>
      <c r="C115" t="s">
        <v>4984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12630</v>
      </c>
      <c r="C116" t="s">
        <v>4840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4985</v>
      </c>
      <c r="C117" t="s">
        <v>4986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12631</v>
      </c>
      <c r="C118" t="s">
        <v>4840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4987</v>
      </c>
      <c r="C119" t="s">
        <v>4988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12632</v>
      </c>
      <c r="C120" t="s">
        <v>4840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4989</v>
      </c>
      <c r="C121" t="s">
        <v>4990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4991</v>
      </c>
      <c r="C122" t="s">
        <v>4992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12633</v>
      </c>
      <c r="C123" t="s">
        <v>4840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4993</v>
      </c>
      <c r="C124" t="s">
        <v>4994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12634</v>
      </c>
      <c r="C125" t="s">
        <v>4840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4995</v>
      </c>
      <c r="C126" t="s">
        <v>4996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14368</v>
      </c>
      <c r="C127" t="s">
        <v>14369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14370</v>
      </c>
      <c r="C128" t="s">
        <v>14371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14372</v>
      </c>
      <c r="C129" t="s">
        <v>14373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4997</v>
      </c>
      <c r="C130" t="s">
        <v>4998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12635</v>
      </c>
      <c r="C131" t="s">
        <v>4840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4999</v>
      </c>
      <c r="C132" t="s">
        <v>5000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12636</v>
      </c>
      <c r="C133" t="s">
        <v>4840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5001</v>
      </c>
      <c r="C134" t="s">
        <v>5002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12637</v>
      </c>
      <c r="C135" t="s">
        <v>4840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5003</v>
      </c>
      <c r="C136" t="s">
        <v>5004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12638</v>
      </c>
      <c r="C137" t="s">
        <v>4840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5005</v>
      </c>
      <c r="C138" t="s">
        <v>5006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5007</v>
      </c>
      <c r="C139" t="s">
        <v>5008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12639</v>
      </c>
      <c r="C140" t="s">
        <v>4840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5009</v>
      </c>
      <c r="C141" t="s">
        <v>5010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12640</v>
      </c>
      <c r="C142" t="s">
        <v>4840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5011</v>
      </c>
      <c r="C143" t="s">
        <v>5012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5013</v>
      </c>
      <c r="C144" t="s">
        <v>5014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5015</v>
      </c>
      <c r="C145" t="s">
        <v>5016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5017</v>
      </c>
      <c r="C146" t="s">
        <v>5018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12641</v>
      </c>
      <c r="C147" t="s">
        <v>4840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5019</v>
      </c>
      <c r="C148" t="s">
        <v>5020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12642</v>
      </c>
      <c r="C149" t="s">
        <v>4840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5021</v>
      </c>
      <c r="C150" t="s">
        <v>5022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12643</v>
      </c>
      <c r="C151" t="s">
        <v>4840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5023</v>
      </c>
      <c r="C152" t="s">
        <v>5024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12644</v>
      </c>
      <c r="C153" t="s">
        <v>4840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5025</v>
      </c>
      <c r="C154" t="s">
        <v>5026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12645</v>
      </c>
      <c r="C155" t="s">
        <v>4840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5027</v>
      </c>
      <c r="C156" t="s">
        <v>5028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12646</v>
      </c>
      <c r="C157" t="s">
        <v>4840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5029</v>
      </c>
      <c r="C158" t="s">
        <v>5030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12647</v>
      </c>
      <c r="C159" t="s">
        <v>4840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5031</v>
      </c>
      <c r="C160" t="s">
        <v>5032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12648</v>
      </c>
      <c r="C161" t="s">
        <v>4840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5033</v>
      </c>
      <c r="C162" t="s">
        <v>5034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12649</v>
      </c>
      <c r="C163" t="s">
        <v>4840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5035</v>
      </c>
      <c r="C164" t="s">
        <v>5036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5037</v>
      </c>
      <c r="C165" t="s">
        <v>5038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12650</v>
      </c>
      <c r="C166" t="s">
        <v>4840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5039</v>
      </c>
      <c r="C167" t="s">
        <v>5040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12651</v>
      </c>
      <c r="C168" t="s">
        <v>4840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5041</v>
      </c>
      <c r="C169" t="s">
        <v>5042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12652</v>
      </c>
      <c r="C170" t="s">
        <v>4840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5043</v>
      </c>
      <c r="C171" t="s">
        <v>5044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5045</v>
      </c>
      <c r="C172" t="s">
        <v>5046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5047</v>
      </c>
      <c r="C173" t="s">
        <v>5048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5049</v>
      </c>
      <c r="C174" t="s">
        <v>5050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5051</v>
      </c>
      <c r="C175" t="s">
        <v>5052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5053</v>
      </c>
      <c r="C176" t="s">
        <v>5054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5055</v>
      </c>
      <c r="C177" t="s">
        <v>5056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5057</v>
      </c>
      <c r="C178" t="s">
        <v>5058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5059</v>
      </c>
      <c r="C179" t="s">
        <v>5060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12653</v>
      </c>
      <c r="C180" t="s">
        <v>4840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5061</v>
      </c>
      <c r="C181" t="s">
        <v>5062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5063</v>
      </c>
      <c r="C182" t="s">
        <v>5064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5065</v>
      </c>
      <c r="C183" t="s">
        <v>5066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12654</v>
      </c>
      <c r="C184" t="s">
        <v>4840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5067</v>
      </c>
      <c r="C185" t="s">
        <v>5068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5069</v>
      </c>
      <c r="C186" t="s">
        <v>5070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5071</v>
      </c>
      <c r="C187" t="s">
        <v>5072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12655</v>
      </c>
      <c r="C188" t="s">
        <v>4840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5073</v>
      </c>
      <c r="C189" t="s">
        <v>5074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5075</v>
      </c>
      <c r="C190" t="s">
        <v>5076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5077</v>
      </c>
      <c r="C191" t="s">
        <v>5078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14374</v>
      </c>
      <c r="C192" t="s">
        <v>14375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14376</v>
      </c>
      <c r="C193" t="s">
        <v>14377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14378</v>
      </c>
      <c r="C194" t="s">
        <v>14379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14380</v>
      </c>
      <c r="C195" t="s">
        <v>14381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12656</v>
      </c>
      <c r="C196" t="s">
        <v>4840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5079</v>
      </c>
      <c r="C197" t="s">
        <v>5080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12657</v>
      </c>
      <c r="C198" t="s">
        <v>4840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5081</v>
      </c>
      <c r="C199" t="s">
        <v>5082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12658</v>
      </c>
      <c r="C200" t="s">
        <v>4840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5083</v>
      </c>
      <c r="C201" t="s">
        <v>5084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5085</v>
      </c>
      <c r="C202" t="s">
        <v>5086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14382</v>
      </c>
      <c r="C203" t="s">
        <v>14383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14384</v>
      </c>
      <c r="C204" t="s">
        <v>14385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14386</v>
      </c>
      <c r="C205" t="s">
        <v>14387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5087</v>
      </c>
      <c r="C206" t="s">
        <v>5088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12659</v>
      </c>
      <c r="C207" t="s">
        <v>4840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5089</v>
      </c>
      <c r="C208" t="s">
        <v>5090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5091</v>
      </c>
      <c r="C209" t="s">
        <v>5092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5093</v>
      </c>
      <c r="C210" t="s">
        <v>5094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5095</v>
      </c>
      <c r="C211" t="s">
        <v>5096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5097</v>
      </c>
      <c r="C212" t="s">
        <v>5098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5099</v>
      </c>
      <c r="C213" t="s">
        <v>5100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5101</v>
      </c>
      <c r="C214" t="s">
        <v>5102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12660</v>
      </c>
      <c r="C215" t="s">
        <v>4840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5103</v>
      </c>
      <c r="C216" t="s">
        <v>5104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5105</v>
      </c>
      <c r="C217" t="s">
        <v>5106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5107</v>
      </c>
      <c r="C218" t="s">
        <v>5108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5109</v>
      </c>
      <c r="C219" t="s">
        <v>5110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5111</v>
      </c>
      <c r="C220" t="s">
        <v>5112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5113</v>
      </c>
      <c r="C221" t="s">
        <v>5114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5115</v>
      </c>
      <c r="C222" t="s">
        <v>5116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5117</v>
      </c>
      <c r="C223" t="s">
        <v>5118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5119</v>
      </c>
      <c r="C224" t="s">
        <v>5120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5121</v>
      </c>
      <c r="C225" t="s">
        <v>5122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12661</v>
      </c>
      <c r="C226" t="s">
        <v>4840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5123</v>
      </c>
      <c r="C227" t="s">
        <v>5124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5125</v>
      </c>
      <c r="C228" t="s">
        <v>5126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12662</v>
      </c>
      <c r="C229" t="s">
        <v>4840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5127</v>
      </c>
      <c r="C230" t="s">
        <v>5128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12663</v>
      </c>
      <c r="C231" t="s">
        <v>4840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5129</v>
      </c>
      <c r="C232" t="s">
        <v>5130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12664</v>
      </c>
      <c r="C233" t="s">
        <v>4840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5131</v>
      </c>
      <c r="C234" t="s">
        <v>5132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12665</v>
      </c>
      <c r="C235" t="s">
        <v>4840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5133</v>
      </c>
      <c r="C236" t="s">
        <v>5134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5135</v>
      </c>
      <c r="C237" t="s">
        <v>5136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5137</v>
      </c>
      <c r="C238" t="s">
        <v>5138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5139</v>
      </c>
      <c r="C239" t="s">
        <v>5140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5141</v>
      </c>
      <c r="C240" t="s">
        <v>5142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5143</v>
      </c>
      <c r="C241" t="s">
        <v>5144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12666</v>
      </c>
      <c r="C242" t="s">
        <v>4840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5145</v>
      </c>
      <c r="C243" t="s">
        <v>5146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5147</v>
      </c>
      <c r="C244" t="s">
        <v>5148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5149</v>
      </c>
      <c r="C245" t="s">
        <v>5150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5151</v>
      </c>
      <c r="C246" t="s">
        <v>5152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12667</v>
      </c>
      <c r="C247" t="s">
        <v>4840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5153</v>
      </c>
      <c r="C248" t="s">
        <v>5154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12668</v>
      </c>
      <c r="C249" t="s">
        <v>4840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5155</v>
      </c>
      <c r="C250" t="s">
        <v>5156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5157</v>
      </c>
      <c r="C251" t="s">
        <v>5158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5159</v>
      </c>
      <c r="C252" t="s">
        <v>5160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5161</v>
      </c>
      <c r="C253" t="s">
        <v>5162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12669</v>
      </c>
      <c r="C254" t="s">
        <v>4840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5163</v>
      </c>
      <c r="C255" t="s">
        <v>5164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5165</v>
      </c>
      <c r="C256" t="s">
        <v>5166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5167</v>
      </c>
      <c r="C257" t="s">
        <v>5168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5169</v>
      </c>
      <c r="C258" t="s">
        <v>5170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5171</v>
      </c>
      <c r="C259" t="s">
        <v>5172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12670</v>
      </c>
      <c r="C260" t="s">
        <v>4840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5173</v>
      </c>
      <c r="C261" t="s">
        <v>5174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12671</v>
      </c>
      <c r="C262" t="s">
        <v>4840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5175</v>
      </c>
      <c r="C263" t="s">
        <v>5176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12672</v>
      </c>
      <c r="C264" t="s">
        <v>4840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5177</v>
      </c>
      <c r="C265" t="s">
        <v>5178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12673</v>
      </c>
      <c r="C266" t="s">
        <v>4840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5179</v>
      </c>
      <c r="C267" t="s">
        <v>5180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5181</v>
      </c>
      <c r="C268" t="s">
        <v>5182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12674</v>
      </c>
      <c r="C269" t="s">
        <v>4840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5183</v>
      </c>
      <c r="C270" t="s">
        <v>5184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12675</v>
      </c>
      <c r="C271" t="s">
        <v>4840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5185</v>
      </c>
      <c r="C272" t="s">
        <v>5186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12676</v>
      </c>
      <c r="C273" t="s">
        <v>4840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5187</v>
      </c>
      <c r="C274" t="s">
        <v>5188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5189</v>
      </c>
      <c r="C275" t="s">
        <v>5190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5191</v>
      </c>
      <c r="C276" t="s">
        <v>5192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5193</v>
      </c>
      <c r="C277" t="s">
        <v>5194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12677</v>
      </c>
      <c r="C278" t="s">
        <v>4840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5195</v>
      </c>
      <c r="C279" t="s">
        <v>5196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14388</v>
      </c>
      <c r="C280" t="s">
        <v>14389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14390</v>
      </c>
      <c r="C281" t="s">
        <v>14391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5197</v>
      </c>
      <c r="C282" t="s">
        <v>5198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5199</v>
      </c>
      <c r="C283" t="s">
        <v>5200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5201</v>
      </c>
      <c r="C284" t="s">
        <v>5202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5203</v>
      </c>
      <c r="C285" t="s">
        <v>5204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12678</v>
      </c>
      <c r="C286" t="s">
        <v>4840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5205</v>
      </c>
      <c r="C287" t="s">
        <v>5206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12679</v>
      </c>
      <c r="C288" t="s">
        <v>4840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5207</v>
      </c>
      <c r="C289" t="s">
        <v>5208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12680</v>
      </c>
      <c r="C290" t="s">
        <v>4840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5209</v>
      </c>
      <c r="C291" t="s">
        <v>5210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5211</v>
      </c>
      <c r="C292" t="s">
        <v>5212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12681</v>
      </c>
      <c r="C293" t="s">
        <v>4840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5213</v>
      </c>
      <c r="C294" t="s">
        <v>5214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12682</v>
      </c>
      <c r="C295" t="s">
        <v>4840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5215</v>
      </c>
      <c r="C296" t="s">
        <v>5216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5217</v>
      </c>
      <c r="C297" t="s">
        <v>5218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5219</v>
      </c>
      <c r="C298" t="s">
        <v>5220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12683</v>
      </c>
      <c r="C299" t="s">
        <v>4840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5221</v>
      </c>
      <c r="C300" t="s">
        <v>5222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5223</v>
      </c>
      <c r="C301" t="s">
        <v>5224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12684</v>
      </c>
      <c r="C302" t="s">
        <v>12685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5225</v>
      </c>
      <c r="C303" t="s">
        <v>5226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12686</v>
      </c>
      <c r="C304" t="s">
        <v>12687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5227</v>
      </c>
      <c r="C305" t="s">
        <v>5228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5229</v>
      </c>
      <c r="C306" t="s">
        <v>5230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5231</v>
      </c>
      <c r="C307" t="s">
        <v>5232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5233</v>
      </c>
      <c r="C308" t="s">
        <v>5234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5235</v>
      </c>
      <c r="C309" t="s">
        <v>5236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5237</v>
      </c>
      <c r="C310" t="s">
        <v>5238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5239</v>
      </c>
      <c r="C311" t="s">
        <v>5240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5241</v>
      </c>
      <c r="C312" t="s">
        <v>5242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12688</v>
      </c>
      <c r="C313" t="s">
        <v>4840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5243</v>
      </c>
      <c r="C314" t="s">
        <v>5244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12689</v>
      </c>
      <c r="C315" t="s">
        <v>4840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5245</v>
      </c>
      <c r="C316" t="s">
        <v>5246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5247</v>
      </c>
      <c r="C317" t="s">
        <v>5248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5249</v>
      </c>
      <c r="C318" t="s">
        <v>5250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12690</v>
      </c>
      <c r="C319" t="s">
        <v>4840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5251</v>
      </c>
      <c r="C320" t="s">
        <v>5252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12691</v>
      </c>
      <c r="C321" t="s">
        <v>4840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5253</v>
      </c>
      <c r="C322" t="s">
        <v>5254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5255</v>
      </c>
      <c r="C323" t="s">
        <v>5256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5257</v>
      </c>
      <c r="C324" t="s">
        <v>5258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12692</v>
      </c>
      <c r="C325" t="s">
        <v>4840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5259</v>
      </c>
      <c r="C326" t="s">
        <v>5260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12693</v>
      </c>
      <c r="C327" t="s">
        <v>4840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5261</v>
      </c>
      <c r="C328" t="s">
        <v>5262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5263</v>
      </c>
      <c r="C329" t="s">
        <v>5264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5265</v>
      </c>
      <c r="C330" t="s">
        <v>5266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12694</v>
      </c>
      <c r="C331" t="s">
        <v>4840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5267</v>
      </c>
      <c r="C332" t="s">
        <v>5268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12695</v>
      </c>
      <c r="C333" t="s">
        <v>4840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5269</v>
      </c>
      <c r="C334" t="s">
        <v>5270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5271</v>
      </c>
      <c r="C335" t="s">
        <v>5272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5273</v>
      </c>
      <c r="C336" t="s">
        <v>5274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12696</v>
      </c>
      <c r="C337" t="s">
        <v>12697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5275</v>
      </c>
      <c r="C338" t="s">
        <v>5276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5277</v>
      </c>
      <c r="C339" t="s">
        <v>5278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5279</v>
      </c>
      <c r="C340" t="s">
        <v>5280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5281</v>
      </c>
      <c r="C341" t="s">
        <v>5282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12698</v>
      </c>
      <c r="C342" t="s">
        <v>4840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5283</v>
      </c>
      <c r="C343" t="s">
        <v>5284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12699</v>
      </c>
      <c r="C344" t="s">
        <v>4840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5285</v>
      </c>
      <c r="C345" t="s">
        <v>5286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12700</v>
      </c>
      <c r="C346" t="s">
        <v>4840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5287</v>
      </c>
      <c r="C347" t="s">
        <v>5288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12701</v>
      </c>
      <c r="C348" t="s">
        <v>4840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5289</v>
      </c>
      <c r="C349" t="s">
        <v>5290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12702</v>
      </c>
      <c r="C350" t="s">
        <v>4840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5291</v>
      </c>
      <c r="C351" t="s">
        <v>5292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12703</v>
      </c>
      <c r="C352" t="s">
        <v>4840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5293</v>
      </c>
      <c r="C353" t="s">
        <v>5294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12704</v>
      </c>
      <c r="C354" t="s">
        <v>4840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5295</v>
      </c>
      <c r="C355" t="s">
        <v>5296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12705</v>
      </c>
      <c r="C356" t="s">
        <v>4840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5297</v>
      </c>
      <c r="C357" t="s">
        <v>5298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5299</v>
      </c>
      <c r="C358" t="s">
        <v>5300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5301</v>
      </c>
      <c r="C359" t="s">
        <v>5302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5303</v>
      </c>
      <c r="C360" t="s">
        <v>5304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5305</v>
      </c>
      <c r="C361" t="s">
        <v>5306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12706</v>
      </c>
      <c r="C362" t="s">
        <v>4840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5307</v>
      </c>
      <c r="C363" t="s">
        <v>5308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12707</v>
      </c>
      <c r="C364" t="s">
        <v>4840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5309</v>
      </c>
      <c r="C365" t="s">
        <v>5310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12708</v>
      </c>
      <c r="C366" t="s">
        <v>4840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5311</v>
      </c>
      <c r="C367" t="s">
        <v>5062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5312</v>
      </c>
      <c r="C368" t="s">
        <v>5313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5314</v>
      </c>
      <c r="C369" t="s">
        <v>5315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5316</v>
      </c>
      <c r="C370" t="s">
        <v>5317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12709</v>
      </c>
      <c r="C371" t="s">
        <v>4840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5318</v>
      </c>
      <c r="C372" t="s">
        <v>5319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12710</v>
      </c>
      <c r="C373" t="s">
        <v>4840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5320</v>
      </c>
      <c r="C374" t="s">
        <v>5321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12711</v>
      </c>
      <c r="C375" t="s">
        <v>4840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5322</v>
      </c>
      <c r="C376" t="s">
        <v>5323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12712</v>
      </c>
      <c r="C377" t="s">
        <v>4840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5324</v>
      </c>
      <c r="C378" t="s">
        <v>5325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12713</v>
      </c>
      <c r="C379" t="s">
        <v>4840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5326</v>
      </c>
      <c r="C380" t="s">
        <v>5327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12714</v>
      </c>
      <c r="C381" t="s">
        <v>4840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5328</v>
      </c>
      <c r="C382" t="s">
        <v>5329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5330</v>
      </c>
      <c r="C383" t="s">
        <v>5331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12715</v>
      </c>
      <c r="C384" t="s">
        <v>4840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5332</v>
      </c>
      <c r="C385" t="s">
        <v>5333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5334</v>
      </c>
      <c r="C386" t="s">
        <v>5335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12716</v>
      </c>
      <c r="C387" t="s">
        <v>4840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5336</v>
      </c>
      <c r="C388" t="s">
        <v>5337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12717</v>
      </c>
      <c r="C389" t="s">
        <v>4840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5338</v>
      </c>
      <c r="C390" t="s">
        <v>5339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12718</v>
      </c>
      <c r="C391" t="s">
        <v>4840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5340</v>
      </c>
      <c r="C392" t="s">
        <v>5341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12719</v>
      </c>
      <c r="C393" t="s">
        <v>4840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5342</v>
      </c>
      <c r="C394" t="s">
        <v>5343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12720</v>
      </c>
      <c r="C395" t="s">
        <v>4840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5344</v>
      </c>
      <c r="C396" t="s">
        <v>5345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5346</v>
      </c>
      <c r="C397" t="s">
        <v>5347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5348</v>
      </c>
      <c r="C398" t="s">
        <v>5349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5350</v>
      </c>
      <c r="C399" t="s">
        <v>5351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12721</v>
      </c>
      <c r="C400" t="s">
        <v>4840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5352</v>
      </c>
      <c r="C401" t="s">
        <v>5353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5354</v>
      </c>
      <c r="C402" t="s">
        <v>5355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5356</v>
      </c>
      <c r="C403" t="s">
        <v>5357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5358</v>
      </c>
      <c r="C404" t="s">
        <v>5359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5360</v>
      </c>
      <c r="C405" t="s">
        <v>5361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5362</v>
      </c>
      <c r="C406" t="s">
        <v>5363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5364</v>
      </c>
      <c r="C407" t="s">
        <v>5365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5366</v>
      </c>
      <c r="C408" t="s">
        <v>5367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12722</v>
      </c>
      <c r="C409" t="s">
        <v>4840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5368</v>
      </c>
      <c r="C410" t="s">
        <v>5369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12723</v>
      </c>
      <c r="C411" t="s">
        <v>4840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5370</v>
      </c>
      <c r="C412" t="s">
        <v>5371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5372</v>
      </c>
      <c r="C413" t="s">
        <v>5373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12724</v>
      </c>
      <c r="C414" t="s">
        <v>4840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5374</v>
      </c>
      <c r="C415" t="s">
        <v>5375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12725</v>
      </c>
      <c r="C416" t="s">
        <v>4840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5376</v>
      </c>
      <c r="C417" t="s">
        <v>5377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12726</v>
      </c>
      <c r="C418" t="s">
        <v>4840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5378</v>
      </c>
      <c r="C419" t="s">
        <v>5379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5380</v>
      </c>
      <c r="C420" t="s">
        <v>5381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5382</v>
      </c>
      <c r="C421" t="s">
        <v>5383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5384</v>
      </c>
      <c r="C422" t="s">
        <v>5385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12727</v>
      </c>
      <c r="C423" t="s">
        <v>4840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5386</v>
      </c>
      <c r="C424" t="s">
        <v>5387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5388</v>
      </c>
      <c r="C425" t="s">
        <v>5389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5390</v>
      </c>
      <c r="C426" t="s">
        <v>5391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5392</v>
      </c>
      <c r="C427" t="s">
        <v>5393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12728</v>
      </c>
      <c r="C428" t="s">
        <v>4840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5394</v>
      </c>
      <c r="C429" t="s">
        <v>5395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5396</v>
      </c>
      <c r="C430" t="s">
        <v>5397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12729</v>
      </c>
      <c r="C431" t="s">
        <v>4840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5398</v>
      </c>
      <c r="C432" t="s">
        <v>5399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12730</v>
      </c>
      <c r="C433" t="s">
        <v>4840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5400</v>
      </c>
      <c r="C434" t="s">
        <v>5401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12731</v>
      </c>
      <c r="C435" t="s">
        <v>4840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5402</v>
      </c>
      <c r="C436" t="s">
        <v>5403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12732</v>
      </c>
      <c r="C437" t="s">
        <v>4840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5404</v>
      </c>
      <c r="C438" t="s">
        <v>5405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5406</v>
      </c>
      <c r="C439" t="s">
        <v>5407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5408</v>
      </c>
      <c r="C440" t="s">
        <v>5409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12733</v>
      </c>
      <c r="C441" t="s">
        <v>4840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5410</v>
      </c>
      <c r="C442" t="s">
        <v>5411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12734</v>
      </c>
      <c r="C443" t="s">
        <v>4840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5412</v>
      </c>
      <c r="C444" t="s">
        <v>5413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5414</v>
      </c>
      <c r="C445" t="s">
        <v>5415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5416</v>
      </c>
      <c r="C446" t="s">
        <v>5417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5418</v>
      </c>
      <c r="C447" t="s">
        <v>5419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12735</v>
      </c>
      <c r="C448" t="s">
        <v>4840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5420</v>
      </c>
      <c r="C449" t="s">
        <v>5421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12736</v>
      </c>
      <c r="C450" t="s">
        <v>4840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5422</v>
      </c>
      <c r="C451" t="s">
        <v>5423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12737</v>
      </c>
      <c r="C452" t="s">
        <v>4840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5424</v>
      </c>
      <c r="C453" t="s">
        <v>5425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5426</v>
      </c>
      <c r="C454" t="s">
        <v>5427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12738</v>
      </c>
      <c r="C455" t="s">
        <v>4840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5428</v>
      </c>
      <c r="C456" t="s">
        <v>5429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5430</v>
      </c>
      <c r="C457" t="s">
        <v>5431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12739</v>
      </c>
      <c r="C458" t="s">
        <v>4840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5432</v>
      </c>
      <c r="C459" t="s">
        <v>5433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12740</v>
      </c>
      <c r="C460" t="s">
        <v>4840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5434</v>
      </c>
      <c r="C461" t="s">
        <v>5435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5436</v>
      </c>
      <c r="C462" t="s">
        <v>5437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5438</v>
      </c>
      <c r="C463" t="s">
        <v>5439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5440</v>
      </c>
      <c r="C464" t="s">
        <v>5441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12741</v>
      </c>
      <c r="C465" t="s">
        <v>4840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5442</v>
      </c>
      <c r="C466" t="s">
        <v>5443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12742</v>
      </c>
      <c r="C467" t="s">
        <v>4840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5444</v>
      </c>
      <c r="C468" t="s">
        <v>5445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12743</v>
      </c>
      <c r="C469" t="s">
        <v>4840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5446</v>
      </c>
      <c r="C470" t="s">
        <v>5447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12744</v>
      </c>
      <c r="C471" t="s">
        <v>4840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5448</v>
      </c>
      <c r="C472" t="s">
        <v>5449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12745</v>
      </c>
      <c r="C473" t="s">
        <v>4840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5450</v>
      </c>
      <c r="C474" t="s">
        <v>5451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12746</v>
      </c>
      <c r="C475" t="s">
        <v>4840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5452</v>
      </c>
      <c r="C476" t="s">
        <v>5453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5454</v>
      </c>
      <c r="C477" t="s">
        <v>5455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5456</v>
      </c>
      <c r="C478" t="s">
        <v>5457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5458</v>
      </c>
      <c r="C479" t="s">
        <v>5459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5460</v>
      </c>
      <c r="C480" t="s">
        <v>5461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12747</v>
      </c>
      <c r="C481" t="s">
        <v>4840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5462</v>
      </c>
      <c r="C482" t="s">
        <v>5463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12748</v>
      </c>
      <c r="C483" t="s">
        <v>4840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5464</v>
      </c>
      <c r="C484" t="s">
        <v>5465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12749</v>
      </c>
      <c r="C485" t="s">
        <v>12750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12751</v>
      </c>
      <c r="C486" t="s">
        <v>4840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5466</v>
      </c>
      <c r="C487" t="s">
        <v>5467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12752</v>
      </c>
      <c r="C488" t="s">
        <v>4840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5468</v>
      </c>
      <c r="C489" t="s">
        <v>5469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12753</v>
      </c>
      <c r="C490" t="s">
        <v>4840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5470</v>
      </c>
      <c r="C491" t="s">
        <v>5471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12754</v>
      </c>
      <c r="C492" t="s">
        <v>4840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5472</v>
      </c>
      <c r="C493" t="s">
        <v>5473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12755</v>
      </c>
      <c r="C494" t="s">
        <v>4840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5474</v>
      </c>
      <c r="C495" t="s">
        <v>5475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5476</v>
      </c>
      <c r="C496" t="s">
        <v>5477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5478</v>
      </c>
      <c r="C497" t="s">
        <v>5479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5480</v>
      </c>
      <c r="C498" t="s">
        <v>5481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12756</v>
      </c>
      <c r="C499" t="s">
        <v>4840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5482</v>
      </c>
      <c r="C500" t="s">
        <v>5483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5484</v>
      </c>
      <c r="C501" t="s">
        <v>5485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5486</v>
      </c>
      <c r="C502" t="s">
        <v>5487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5488</v>
      </c>
      <c r="C503" t="s">
        <v>5489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5490</v>
      </c>
      <c r="C504" t="s">
        <v>5491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5493</v>
      </c>
      <c r="C505" t="s">
        <v>5491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14392</v>
      </c>
      <c r="C506" t="s">
        <v>14393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14394</v>
      </c>
      <c r="C507" t="s">
        <v>14395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14396</v>
      </c>
      <c r="C508" t="s">
        <v>14397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12757</v>
      </c>
      <c r="C509" t="s">
        <v>4840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5494</v>
      </c>
      <c r="C510" t="s">
        <v>5495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12758</v>
      </c>
      <c r="C511" t="s">
        <v>4840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5496</v>
      </c>
      <c r="C512" t="s">
        <v>5497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12759</v>
      </c>
      <c r="C513" t="s">
        <v>4840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5498</v>
      </c>
      <c r="C514" t="s">
        <v>5499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12760</v>
      </c>
      <c r="C515" t="s">
        <v>4840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5500</v>
      </c>
      <c r="C516" t="s">
        <v>5501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12761</v>
      </c>
      <c r="C517" t="s">
        <v>4840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5502</v>
      </c>
      <c r="C518" t="s">
        <v>5503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5504</v>
      </c>
      <c r="C519" t="s">
        <v>5076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5505</v>
      </c>
      <c r="C520" t="s">
        <v>5506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5507</v>
      </c>
      <c r="C521" t="s">
        <v>5508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5509</v>
      </c>
      <c r="C522" t="s">
        <v>5510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5511</v>
      </c>
      <c r="C523" t="s">
        <v>5512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5513</v>
      </c>
      <c r="C524" t="s">
        <v>5514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5515</v>
      </c>
      <c r="C525" t="s">
        <v>5516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5517</v>
      </c>
      <c r="C526" t="s">
        <v>5518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5519</v>
      </c>
      <c r="C527" t="s">
        <v>5520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12762</v>
      </c>
      <c r="C528" t="s">
        <v>4840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5521</v>
      </c>
      <c r="C529" t="s">
        <v>5522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12763</v>
      </c>
      <c r="C530" t="s">
        <v>4840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5523</v>
      </c>
      <c r="C531" t="s">
        <v>5524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12764</v>
      </c>
      <c r="C532" t="s">
        <v>4840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5525</v>
      </c>
      <c r="C533" t="s">
        <v>5526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12765</v>
      </c>
      <c r="C534" t="s">
        <v>4840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5527</v>
      </c>
      <c r="C535" t="s">
        <v>5528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12766</v>
      </c>
      <c r="C536" t="s">
        <v>4840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5529</v>
      </c>
      <c r="C537" t="s">
        <v>5530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12767</v>
      </c>
      <c r="C538" t="s">
        <v>4840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5531</v>
      </c>
      <c r="C539" t="s">
        <v>5532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12768</v>
      </c>
      <c r="C540" t="s">
        <v>4840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5534</v>
      </c>
      <c r="C541" t="s">
        <v>5535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12769</v>
      </c>
      <c r="C542" t="s">
        <v>4840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5536</v>
      </c>
      <c r="C543" t="s">
        <v>5537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5538</v>
      </c>
      <c r="C544" t="s">
        <v>5539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12770</v>
      </c>
      <c r="C545" t="s">
        <v>4840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5540</v>
      </c>
      <c r="C546" t="s">
        <v>5541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12771</v>
      </c>
      <c r="C547" t="s">
        <v>4840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5542</v>
      </c>
      <c r="C548" t="s">
        <v>5543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12772</v>
      </c>
      <c r="C549" t="s">
        <v>4840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5544</v>
      </c>
      <c r="C550" t="s">
        <v>5545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5546</v>
      </c>
      <c r="C551" t="s">
        <v>5547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5548</v>
      </c>
      <c r="C552" t="s">
        <v>5549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5550</v>
      </c>
      <c r="C553" t="s">
        <v>5551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5552</v>
      </c>
      <c r="C554" t="s">
        <v>5553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5554</v>
      </c>
      <c r="C555" t="s">
        <v>5555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5556</v>
      </c>
      <c r="C556" t="s">
        <v>5557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12773</v>
      </c>
      <c r="C557" t="s">
        <v>4840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5558</v>
      </c>
      <c r="C558" t="s">
        <v>5559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12774</v>
      </c>
      <c r="C559" t="s">
        <v>4840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5560</v>
      </c>
      <c r="C560" t="s">
        <v>5561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5562</v>
      </c>
      <c r="C561" t="s">
        <v>5563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5564</v>
      </c>
      <c r="C562" t="s">
        <v>5565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5566</v>
      </c>
      <c r="C563" t="s">
        <v>5567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5568</v>
      </c>
      <c r="C564" t="s">
        <v>5569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12775</v>
      </c>
      <c r="C565" t="s">
        <v>4840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5570</v>
      </c>
      <c r="C566" t="s">
        <v>5571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12776</v>
      </c>
      <c r="C567" t="s">
        <v>4840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5572</v>
      </c>
      <c r="C568" t="s">
        <v>5573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12777</v>
      </c>
      <c r="C569" t="s">
        <v>4840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5574</v>
      </c>
      <c r="C570" t="s">
        <v>5575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5576</v>
      </c>
      <c r="C571" t="s">
        <v>5577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14398</v>
      </c>
      <c r="C572" t="s">
        <v>14399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14400</v>
      </c>
      <c r="C573" t="s">
        <v>14401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14402</v>
      </c>
      <c r="C574" t="s">
        <v>14403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12778</v>
      </c>
      <c r="C575" t="s">
        <v>12779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5578</v>
      </c>
      <c r="C576" t="s">
        <v>5579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5580</v>
      </c>
      <c r="C577" t="s">
        <v>5581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12780</v>
      </c>
      <c r="C578" t="s">
        <v>4840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5582</v>
      </c>
      <c r="C579" t="s">
        <v>5583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12781</v>
      </c>
      <c r="C580" t="s">
        <v>4840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5584</v>
      </c>
      <c r="C581" t="s">
        <v>5585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5586</v>
      </c>
      <c r="C582" t="s">
        <v>5587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5588</v>
      </c>
      <c r="C583" t="s">
        <v>5589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5590</v>
      </c>
      <c r="C584" t="s">
        <v>5591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12782</v>
      </c>
      <c r="C585" t="s">
        <v>4840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5592</v>
      </c>
      <c r="C586" t="s">
        <v>5593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5594</v>
      </c>
      <c r="C587" t="s">
        <v>5595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5596</v>
      </c>
      <c r="C588" t="s">
        <v>5597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5598</v>
      </c>
      <c r="C589" t="s">
        <v>5599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12783</v>
      </c>
      <c r="C590" t="s">
        <v>4840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5600</v>
      </c>
      <c r="C591" t="s">
        <v>5601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12784</v>
      </c>
      <c r="C592" t="s">
        <v>4840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5602</v>
      </c>
      <c r="C593" t="s">
        <v>5603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12785</v>
      </c>
      <c r="C594" t="s">
        <v>4840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5604</v>
      </c>
      <c r="C595" t="s">
        <v>5605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12786</v>
      </c>
      <c r="C596" t="s">
        <v>4840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5606</v>
      </c>
      <c r="C597" t="s">
        <v>5607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12787</v>
      </c>
      <c r="C598" t="s">
        <v>4840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5608</v>
      </c>
      <c r="C599" t="s">
        <v>5609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5610</v>
      </c>
      <c r="C600" t="s">
        <v>5611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5612</v>
      </c>
      <c r="C601" t="s">
        <v>5613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5614</v>
      </c>
      <c r="C602" t="s">
        <v>5615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12788</v>
      </c>
      <c r="C603" t="s">
        <v>4840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5616</v>
      </c>
      <c r="C604" t="s">
        <v>5617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12789</v>
      </c>
      <c r="C605" t="s">
        <v>4840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5618</v>
      </c>
      <c r="C606" t="s">
        <v>5619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14404</v>
      </c>
      <c r="C607" t="s">
        <v>14405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14406</v>
      </c>
      <c r="C608" t="s">
        <v>14407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14408</v>
      </c>
      <c r="C609" t="s">
        <v>14409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14410</v>
      </c>
      <c r="C610" t="s">
        <v>14411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14412</v>
      </c>
      <c r="C611" t="s">
        <v>14413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14414</v>
      </c>
      <c r="C612" t="s">
        <v>14415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14416</v>
      </c>
      <c r="C613" t="s">
        <v>14417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14418</v>
      </c>
      <c r="C614" t="s">
        <v>14419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12790</v>
      </c>
      <c r="C615" t="s">
        <v>4840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5620</v>
      </c>
      <c r="C616" t="s">
        <v>5621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12791</v>
      </c>
      <c r="C617" t="s">
        <v>4840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5622</v>
      </c>
      <c r="C618" t="s">
        <v>5623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12792</v>
      </c>
      <c r="C619" t="s">
        <v>4840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5624</v>
      </c>
      <c r="C620" t="s">
        <v>5625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12793</v>
      </c>
      <c r="C621" t="s">
        <v>4840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5626</v>
      </c>
      <c r="C622" t="s">
        <v>5627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5628</v>
      </c>
      <c r="C623" t="s">
        <v>5629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5630</v>
      </c>
      <c r="C624" t="s">
        <v>5631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5632</v>
      </c>
      <c r="C625" t="s">
        <v>5633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5634</v>
      </c>
      <c r="C626" t="s">
        <v>5635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12794</v>
      </c>
      <c r="C627" t="s">
        <v>4840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5636</v>
      </c>
      <c r="C628" t="s">
        <v>5637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12795</v>
      </c>
      <c r="C629" t="s">
        <v>4840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5638</v>
      </c>
      <c r="C630" t="s">
        <v>5639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5640</v>
      </c>
      <c r="C631" t="s">
        <v>5641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5642</v>
      </c>
      <c r="C632" t="s">
        <v>5643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5644</v>
      </c>
      <c r="C633" t="s">
        <v>5645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12796</v>
      </c>
      <c r="C634" t="s">
        <v>4840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5646</v>
      </c>
      <c r="C635" t="s">
        <v>5647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5648</v>
      </c>
      <c r="C636" t="s">
        <v>5649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5650</v>
      </c>
      <c r="C637" t="s">
        <v>5651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12797</v>
      </c>
      <c r="C638" t="s">
        <v>4840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5652</v>
      </c>
      <c r="C639" t="s">
        <v>5653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5654</v>
      </c>
      <c r="C640" t="s">
        <v>5655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5656</v>
      </c>
      <c r="C641" t="s">
        <v>5657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12798</v>
      </c>
      <c r="C642" t="s">
        <v>4840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5658</v>
      </c>
      <c r="C643" t="s">
        <v>5659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12799</v>
      </c>
      <c r="C644" t="s">
        <v>4840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5660</v>
      </c>
      <c r="C645" t="s">
        <v>5661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12800</v>
      </c>
      <c r="C646" t="s">
        <v>4840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5662</v>
      </c>
      <c r="C647" t="s">
        <v>5663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5664</v>
      </c>
      <c r="C648" t="s">
        <v>5665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12801</v>
      </c>
      <c r="C649" t="s">
        <v>4840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5666</v>
      </c>
      <c r="C650" t="s">
        <v>5667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12802</v>
      </c>
      <c r="C651" t="s">
        <v>4840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5668</v>
      </c>
      <c r="C652" t="s">
        <v>5669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5670</v>
      </c>
      <c r="C653" t="s">
        <v>5671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5672</v>
      </c>
      <c r="C654" t="s">
        <v>5673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5674</v>
      </c>
      <c r="C655" t="s">
        <v>5675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12803</v>
      </c>
      <c r="C656" t="s">
        <v>4840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5676</v>
      </c>
      <c r="C657" t="s">
        <v>5677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5678</v>
      </c>
      <c r="C658" t="s">
        <v>5679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5680</v>
      </c>
      <c r="C659" t="s">
        <v>5681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5682</v>
      </c>
      <c r="C660" t="s">
        <v>5683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12804</v>
      </c>
      <c r="C661" t="s">
        <v>4840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5684</v>
      </c>
      <c r="C662" t="s">
        <v>5685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12805</v>
      </c>
      <c r="C663" t="s">
        <v>4840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5686</v>
      </c>
      <c r="C664" t="s">
        <v>5687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12806</v>
      </c>
      <c r="C665" t="s">
        <v>4840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5688</v>
      </c>
      <c r="C666" t="s">
        <v>5689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12807</v>
      </c>
      <c r="C667" t="s">
        <v>4840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5690</v>
      </c>
      <c r="C668" t="s">
        <v>5691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12808</v>
      </c>
      <c r="C669" t="s">
        <v>4840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5692</v>
      </c>
      <c r="C670" t="s">
        <v>5693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12809</v>
      </c>
      <c r="C671" t="s">
        <v>4840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5694</v>
      </c>
      <c r="C672" t="s">
        <v>5619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12810</v>
      </c>
      <c r="C673" t="s">
        <v>4840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5695</v>
      </c>
      <c r="C674" t="s">
        <v>5696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5697</v>
      </c>
      <c r="C675" t="s">
        <v>5698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5699</v>
      </c>
      <c r="C676" t="s">
        <v>5700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5701</v>
      </c>
      <c r="C677" t="s">
        <v>5702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5703</v>
      </c>
      <c r="C678" t="s">
        <v>5704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5705</v>
      </c>
      <c r="C679" t="s">
        <v>5706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5707</v>
      </c>
      <c r="C680" t="s">
        <v>5708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12811</v>
      </c>
      <c r="C681" t="s">
        <v>4840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5709</v>
      </c>
      <c r="C682" t="s">
        <v>5710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5711</v>
      </c>
      <c r="C683" t="s">
        <v>5712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5713</v>
      </c>
      <c r="C684" t="s">
        <v>5714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5715</v>
      </c>
      <c r="C685" t="s">
        <v>5716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12812</v>
      </c>
      <c r="C686" t="s">
        <v>4840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5717</v>
      </c>
      <c r="C687" t="s">
        <v>5718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5719</v>
      </c>
      <c r="C688" t="s">
        <v>5720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5721</v>
      </c>
      <c r="C689" t="s">
        <v>5722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5723</v>
      </c>
      <c r="C690" t="s">
        <v>5724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5725</v>
      </c>
      <c r="C691" t="s">
        <v>5726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5727</v>
      </c>
      <c r="C692" t="s">
        <v>5728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5729</v>
      </c>
      <c r="C693" t="s">
        <v>5730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5731</v>
      </c>
      <c r="C694" t="s">
        <v>5732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5733</v>
      </c>
      <c r="C695" t="s">
        <v>5734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12813</v>
      </c>
      <c r="C696" t="s">
        <v>4840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5735</v>
      </c>
      <c r="C697" t="s">
        <v>5736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5737</v>
      </c>
      <c r="C698" t="s">
        <v>5738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5739</v>
      </c>
      <c r="C699" t="s">
        <v>5740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5741</v>
      </c>
      <c r="C700" t="s">
        <v>5742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5743</v>
      </c>
      <c r="C701" t="s">
        <v>5744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5745</v>
      </c>
      <c r="C702" t="s">
        <v>5746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5747</v>
      </c>
      <c r="C703" t="s">
        <v>5748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12814</v>
      </c>
      <c r="C704" t="s">
        <v>4840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5749</v>
      </c>
      <c r="C705" t="s">
        <v>5750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12815</v>
      </c>
      <c r="C706" t="s">
        <v>4840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5751</v>
      </c>
      <c r="C707" t="s">
        <v>5752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12816</v>
      </c>
      <c r="C708" t="s">
        <v>4840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5753</v>
      </c>
      <c r="C709" t="s">
        <v>5754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12817</v>
      </c>
      <c r="C710" t="s">
        <v>4840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5755</v>
      </c>
      <c r="C711" t="s">
        <v>5756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12818</v>
      </c>
      <c r="C712" t="s">
        <v>4840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5757</v>
      </c>
      <c r="C713" t="s">
        <v>5758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12819</v>
      </c>
      <c r="C714" t="s">
        <v>4840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5759</v>
      </c>
      <c r="C715" t="s">
        <v>5760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5761</v>
      </c>
      <c r="C716" t="s">
        <v>5762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5763</v>
      </c>
      <c r="C717" t="s">
        <v>5764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12820</v>
      </c>
      <c r="C718" t="s">
        <v>4840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5765</v>
      </c>
      <c r="C719" t="s">
        <v>5766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12821</v>
      </c>
      <c r="C720" t="s">
        <v>4840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5767</v>
      </c>
      <c r="C721" t="s">
        <v>5768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12822</v>
      </c>
      <c r="C722" t="s">
        <v>4840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5769</v>
      </c>
      <c r="C723" t="s">
        <v>5770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5771</v>
      </c>
      <c r="C724" t="s">
        <v>5772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12823</v>
      </c>
      <c r="C725" t="s">
        <v>4840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5773</v>
      </c>
      <c r="C726" t="s">
        <v>5774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14420</v>
      </c>
      <c r="C727" t="s">
        <v>14421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14422</v>
      </c>
      <c r="C728" t="s">
        <v>14423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5775</v>
      </c>
      <c r="C729" t="s">
        <v>5776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12824</v>
      </c>
      <c r="C730" t="s">
        <v>4840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12825</v>
      </c>
      <c r="C731" t="s">
        <v>12826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12827</v>
      </c>
      <c r="C732" t="s">
        <v>4840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12828</v>
      </c>
      <c r="C733" t="s">
        <v>12829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12830</v>
      </c>
      <c r="C734" t="s">
        <v>4840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12831</v>
      </c>
      <c r="C735" t="s">
        <v>12832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12833</v>
      </c>
      <c r="C736" t="s">
        <v>4840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12834</v>
      </c>
      <c r="C737" t="s">
        <v>12835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12836</v>
      </c>
      <c r="C738" t="s">
        <v>4840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12837</v>
      </c>
      <c r="C739" t="s">
        <v>12750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12838</v>
      </c>
      <c r="C740" t="s">
        <v>4840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12839</v>
      </c>
      <c r="C741" t="s">
        <v>12840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12841</v>
      </c>
      <c r="C742" t="s">
        <v>4840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12842</v>
      </c>
      <c r="C743" t="s">
        <v>12843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12844</v>
      </c>
      <c r="C744" t="s">
        <v>4840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12845</v>
      </c>
      <c r="C745" t="s">
        <v>12846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5777</v>
      </c>
      <c r="C746" t="s">
        <v>5778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12847</v>
      </c>
      <c r="C747" t="s">
        <v>4840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12848</v>
      </c>
      <c r="C748" t="s">
        <v>12849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12850</v>
      </c>
      <c r="C749" t="s">
        <v>4840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12851</v>
      </c>
      <c r="C750" t="s">
        <v>12852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12853</v>
      </c>
      <c r="C751" t="s">
        <v>4840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12854</v>
      </c>
      <c r="C752" t="s">
        <v>12855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12856</v>
      </c>
      <c r="C753" t="s">
        <v>4840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5779</v>
      </c>
      <c r="C754" t="s">
        <v>5780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12857</v>
      </c>
      <c r="C755" t="s">
        <v>4840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12858</v>
      </c>
      <c r="C756" t="s">
        <v>12859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12860</v>
      </c>
      <c r="C757" t="s">
        <v>4840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12861</v>
      </c>
      <c r="C758" t="s">
        <v>12862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12863</v>
      </c>
      <c r="C759" t="s">
        <v>4840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12864</v>
      </c>
      <c r="C760" t="s">
        <v>12865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12866</v>
      </c>
      <c r="C761" t="s">
        <v>4840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5781</v>
      </c>
      <c r="C762" t="s">
        <v>5782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12867</v>
      </c>
      <c r="C763" t="s">
        <v>4840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5783</v>
      </c>
      <c r="C764" t="s">
        <v>5784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12868</v>
      </c>
      <c r="C765" t="s">
        <v>4840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5785</v>
      </c>
      <c r="C766" t="s">
        <v>5786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12869</v>
      </c>
      <c r="C767" t="s">
        <v>4840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5787</v>
      </c>
      <c r="C768" t="s">
        <v>5788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12870</v>
      </c>
      <c r="C769" t="s">
        <v>4840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5789</v>
      </c>
      <c r="C770" t="s">
        <v>5790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5791</v>
      </c>
      <c r="C771" t="s">
        <v>5792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5793</v>
      </c>
      <c r="C772" t="s">
        <v>5794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5795</v>
      </c>
      <c r="C773" t="s">
        <v>5796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12871</v>
      </c>
      <c r="C774" t="s">
        <v>4840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5797</v>
      </c>
      <c r="C775" t="s">
        <v>5798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5799</v>
      </c>
      <c r="C776" t="s">
        <v>4953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5800</v>
      </c>
      <c r="C777" t="s">
        <v>5801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14424</v>
      </c>
      <c r="C778" t="s">
        <v>14425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12872</v>
      </c>
      <c r="C779" t="s">
        <v>4840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5802</v>
      </c>
      <c r="C780" t="s">
        <v>5803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14426</v>
      </c>
      <c r="C781" t="s">
        <v>14427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5804</v>
      </c>
      <c r="C782" t="s">
        <v>5805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5806</v>
      </c>
      <c r="C783" t="s">
        <v>5807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12873</v>
      </c>
      <c r="C784" t="s">
        <v>4840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5808</v>
      </c>
      <c r="C785" t="s">
        <v>5809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5810</v>
      </c>
      <c r="C786" t="s">
        <v>5811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14428</v>
      </c>
      <c r="C787" t="s">
        <v>14429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12874</v>
      </c>
      <c r="C788" t="s">
        <v>4840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5812</v>
      </c>
      <c r="C789" t="s">
        <v>5813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5814</v>
      </c>
      <c r="C790" t="s">
        <v>5815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5816</v>
      </c>
      <c r="C791" t="s">
        <v>5817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5818</v>
      </c>
      <c r="C792" t="s">
        <v>5819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5820</v>
      </c>
      <c r="C793" t="s">
        <v>5821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5822</v>
      </c>
      <c r="C794" t="s">
        <v>5823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5824</v>
      </c>
      <c r="C795" t="s">
        <v>5825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5826</v>
      </c>
      <c r="C796" t="s">
        <v>5827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5828</v>
      </c>
      <c r="C797" t="s">
        <v>4840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5829</v>
      </c>
      <c r="C798" t="s">
        <v>5830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12875</v>
      </c>
      <c r="C799" t="s">
        <v>4840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5831</v>
      </c>
      <c r="C800" t="s">
        <v>5832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5833</v>
      </c>
      <c r="C801" t="s">
        <v>5834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5835</v>
      </c>
      <c r="C802" t="s">
        <v>5836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5837</v>
      </c>
      <c r="C803" t="s">
        <v>5838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12876</v>
      </c>
      <c r="C804" t="s">
        <v>4840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5839</v>
      </c>
      <c r="C805" t="s">
        <v>5840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5841</v>
      </c>
      <c r="C806" t="s">
        <v>5842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12877</v>
      </c>
      <c r="C807" t="s">
        <v>12878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12879</v>
      </c>
      <c r="C808" t="s">
        <v>12880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5843</v>
      </c>
      <c r="C809" t="s">
        <v>5844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5845</v>
      </c>
      <c r="C810" t="s">
        <v>5846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12881</v>
      </c>
      <c r="C811" t="s">
        <v>4840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5847</v>
      </c>
      <c r="C812" t="s">
        <v>5848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12882</v>
      </c>
      <c r="C813" t="s">
        <v>4840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5849</v>
      </c>
      <c r="C814" t="s">
        <v>5850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12883</v>
      </c>
      <c r="C815" t="s">
        <v>4840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5851</v>
      </c>
      <c r="C816" t="s">
        <v>5852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12884</v>
      </c>
      <c r="C817" t="s">
        <v>4840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5853</v>
      </c>
      <c r="C818" t="s">
        <v>5854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5855</v>
      </c>
      <c r="C819" t="s">
        <v>5856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5857</v>
      </c>
      <c r="C820" t="s">
        <v>4840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5858</v>
      </c>
      <c r="C821" t="s">
        <v>5859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5860</v>
      </c>
      <c r="C822" t="s">
        <v>4840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5861</v>
      </c>
      <c r="C823" t="s">
        <v>4840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5862</v>
      </c>
      <c r="C824" t="s">
        <v>5863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5864</v>
      </c>
      <c r="C825" t="s">
        <v>4840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5865</v>
      </c>
      <c r="C826" t="s">
        <v>5866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5867</v>
      </c>
      <c r="C827" t="s">
        <v>5811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5868</v>
      </c>
      <c r="C828" t="s">
        <v>4840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5869</v>
      </c>
      <c r="C829" t="s">
        <v>5870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5871</v>
      </c>
      <c r="C830" t="s">
        <v>4840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5872</v>
      </c>
      <c r="C831" t="s">
        <v>5873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5874</v>
      </c>
      <c r="C832" t="s">
        <v>4840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5875</v>
      </c>
      <c r="C833" t="s">
        <v>5876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5877</v>
      </c>
      <c r="C834" t="s">
        <v>4840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5878</v>
      </c>
      <c r="C835" t="s">
        <v>5879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5880</v>
      </c>
      <c r="C836" t="s">
        <v>4840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5881</v>
      </c>
      <c r="C837" t="s">
        <v>5882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5883</v>
      </c>
      <c r="C838" t="s">
        <v>4840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5884</v>
      </c>
      <c r="C839" t="s">
        <v>5885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5886</v>
      </c>
      <c r="C840" t="s">
        <v>4840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5887</v>
      </c>
      <c r="C841" t="s">
        <v>5888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5889</v>
      </c>
      <c r="C842" t="s">
        <v>4840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5890</v>
      </c>
      <c r="C843" t="s">
        <v>5891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5892</v>
      </c>
      <c r="C844" t="s">
        <v>4840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5893</v>
      </c>
      <c r="C845" t="s">
        <v>5894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5895</v>
      </c>
      <c r="C846" t="s">
        <v>4840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5896</v>
      </c>
      <c r="C847" t="s">
        <v>5897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5898</v>
      </c>
      <c r="C848" t="s">
        <v>4840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5899</v>
      </c>
      <c r="C849" t="s">
        <v>5900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5901</v>
      </c>
      <c r="C850" t="s">
        <v>5902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12885</v>
      </c>
      <c r="C851" t="s">
        <v>12885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5903</v>
      </c>
      <c r="C852" t="s">
        <v>5904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5905</v>
      </c>
      <c r="C853" t="s">
        <v>5906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5907</v>
      </c>
      <c r="C854" t="s">
        <v>5908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5909</v>
      </c>
      <c r="C855" t="s">
        <v>4840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5910</v>
      </c>
      <c r="C856" t="s">
        <v>5911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12886</v>
      </c>
      <c r="C857" t="s">
        <v>4840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5912</v>
      </c>
      <c r="C858" t="s">
        <v>5913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5914</v>
      </c>
      <c r="C859" t="s">
        <v>5915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5916</v>
      </c>
      <c r="C860" t="s">
        <v>4840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5917</v>
      </c>
      <c r="C861" t="s">
        <v>5918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5919</v>
      </c>
      <c r="C862" t="s">
        <v>4840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5920</v>
      </c>
      <c r="C863" t="s">
        <v>5921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5922</v>
      </c>
      <c r="C864" t="s">
        <v>5923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5924</v>
      </c>
      <c r="C865" t="s">
        <v>5925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5926</v>
      </c>
      <c r="C866" t="s">
        <v>5927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12887</v>
      </c>
      <c r="C867" t="s">
        <v>4840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5928</v>
      </c>
      <c r="C868" t="s">
        <v>5929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5930</v>
      </c>
      <c r="C869" t="s">
        <v>4840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5931</v>
      </c>
      <c r="C870" t="s">
        <v>5932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5933</v>
      </c>
      <c r="C871" t="s">
        <v>5934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5935</v>
      </c>
      <c r="C872" t="s">
        <v>5936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12888</v>
      </c>
      <c r="C873" t="s">
        <v>4840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5937</v>
      </c>
      <c r="C874" t="s">
        <v>5938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5939</v>
      </c>
      <c r="C875" t="s">
        <v>5940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12889</v>
      </c>
      <c r="C876" t="s">
        <v>4840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5941</v>
      </c>
      <c r="C877" t="s">
        <v>5942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12890</v>
      </c>
      <c r="C878" t="s">
        <v>4840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5943</v>
      </c>
      <c r="C879" t="s">
        <v>5944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12891</v>
      </c>
      <c r="C880" t="s">
        <v>4840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5945</v>
      </c>
      <c r="C881" t="s">
        <v>5946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12892</v>
      </c>
      <c r="C882" t="s">
        <v>4840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5947</v>
      </c>
      <c r="C883" t="s">
        <v>5948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5949</v>
      </c>
      <c r="C884" t="s">
        <v>5950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5951</v>
      </c>
      <c r="C885" t="s">
        <v>5952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12893</v>
      </c>
      <c r="C886" t="s">
        <v>4840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5953</v>
      </c>
      <c r="C887" t="s">
        <v>5954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12894</v>
      </c>
      <c r="C888" t="s">
        <v>4840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5955</v>
      </c>
      <c r="C889" t="s">
        <v>5956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12895</v>
      </c>
      <c r="C890" t="s">
        <v>4840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5957</v>
      </c>
      <c r="C891" t="s">
        <v>5958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12896</v>
      </c>
      <c r="C892" t="s">
        <v>4840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5959</v>
      </c>
      <c r="C893" t="s">
        <v>5960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12897</v>
      </c>
      <c r="C894" t="s">
        <v>4840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5961</v>
      </c>
      <c r="C895" t="s">
        <v>5962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12898</v>
      </c>
      <c r="C896" t="s">
        <v>4840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5963</v>
      </c>
      <c r="C897" t="s">
        <v>5964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12899</v>
      </c>
      <c r="C898" t="s">
        <v>4840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5965</v>
      </c>
      <c r="C899" t="s">
        <v>5966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5967</v>
      </c>
      <c r="C900" t="s">
        <v>5968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5969</v>
      </c>
      <c r="C901" t="s">
        <v>5970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12900</v>
      </c>
      <c r="C902" t="s">
        <v>4840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5971</v>
      </c>
      <c r="C903" t="s">
        <v>5972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5973</v>
      </c>
      <c r="C904" t="s">
        <v>5974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5975</v>
      </c>
      <c r="C905" t="s">
        <v>5976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5977</v>
      </c>
      <c r="C906" t="s">
        <v>5978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5979</v>
      </c>
      <c r="C907" t="s">
        <v>5980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5981</v>
      </c>
      <c r="C908" t="s">
        <v>5982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12901</v>
      </c>
      <c r="C909" t="s">
        <v>4840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5983</v>
      </c>
      <c r="C910" t="s">
        <v>5984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12902</v>
      </c>
      <c r="C911" t="s">
        <v>4840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5985</v>
      </c>
      <c r="C912" t="s">
        <v>5986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5987</v>
      </c>
      <c r="C913" t="s">
        <v>5988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12903</v>
      </c>
      <c r="C914" t="s">
        <v>4840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5989</v>
      </c>
      <c r="C915" t="s">
        <v>5990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12904</v>
      </c>
      <c r="C916" t="s">
        <v>4840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5991</v>
      </c>
      <c r="C917" t="s">
        <v>5992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12905</v>
      </c>
      <c r="C918" t="s">
        <v>4840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5993</v>
      </c>
      <c r="C919" t="s">
        <v>5994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5995</v>
      </c>
      <c r="C920" t="s">
        <v>5996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12906</v>
      </c>
      <c r="C921" t="s">
        <v>4840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5997</v>
      </c>
      <c r="C922" t="s">
        <v>5998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5999</v>
      </c>
      <c r="C923" t="s">
        <v>6000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6001</v>
      </c>
      <c r="C924" t="s">
        <v>6002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12907</v>
      </c>
      <c r="C925" t="s">
        <v>4840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6003</v>
      </c>
      <c r="C926" t="s">
        <v>6004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12908</v>
      </c>
      <c r="C927" t="s">
        <v>4840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6005</v>
      </c>
      <c r="C928" t="s">
        <v>6006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12909</v>
      </c>
      <c r="C929" t="s">
        <v>4840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6007</v>
      </c>
      <c r="C930" t="s">
        <v>6008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6010</v>
      </c>
      <c r="C931" t="s">
        <v>6011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6012</v>
      </c>
      <c r="C932" t="s">
        <v>6013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6014</v>
      </c>
      <c r="C933" t="s">
        <v>6015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6016</v>
      </c>
      <c r="C934" t="s">
        <v>6017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12910</v>
      </c>
      <c r="C935" t="s">
        <v>4840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6018</v>
      </c>
      <c r="C936" t="s">
        <v>6019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12911</v>
      </c>
      <c r="C937" t="s">
        <v>4840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6020</v>
      </c>
      <c r="C938" t="s">
        <v>6021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6022</v>
      </c>
      <c r="C939" t="s">
        <v>6023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6024</v>
      </c>
      <c r="C940" t="s">
        <v>6025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12912</v>
      </c>
      <c r="C941" t="s">
        <v>4840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6026</v>
      </c>
      <c r="C942" t="s">
        <v>6027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6028</v>
      </c>
      <c r="C943" t="s">
        <v>6029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12913</v>
      </c>
      <c r="C944" t="s">
        <v>4840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6030</v>
      </c>
      <c r="C945" t="s">
        <v>6031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12914</v>
      </c>
      <c r="C946" t="s">
        <v>4840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6032</v>
      </c>
      <c r="C947" t="s">
        <v>6033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6034</v>
      </c>
      <c r="C948" t="s">
        <v>6035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12915</v>
      </c>
      <c r="C949" t="s">
        <v>4840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6036</v>
      </c>
      <c r="C950" t="s">
        <v>6037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6038</v>
      </c>
      <c r="C951" t="s">
        <v>6039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6040</v>
      </c>
      <c r="C952" t="s">
        <v>4840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6041</v>
      </c>
      <c r="C953" t="s">
        <v>6042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12916</v>
      </c>
      <c r="C954" t="s">
        <v>4840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6043</v>
      </c>
      <c r="C955" t="s">
        <v>6044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6045</v>
      </c>
      <c r="C956" t="s">
        <v>6046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6047</v>
      </c>
      <c r="C957" t="s">
        <v>6048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12917</v>
      </c>
      <c r="C958" t="s">
        <v>4840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6049</v>
      </c>
      <c r="C959" t="s">
        <v>6050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6051</v>
      </c>
      <c r="C960" t="s">
        <v>6052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6053</v>
      </c>
      <c r="C961" t="s">
        <v>6054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6055</v>
      </c>
      <c r="C962" t="s">
        <v>6056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12918</v>
      </c>
      <c r="C963" t="s">
        <v>4840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6057</v>
      </c>
      <c r="C964" t="s">
        <v>6058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6059</v>
      </c>
      <c r="C965" t="s">
        <v>6060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6061</v>
      </c>
      <c r="C966" t="s">
        <v>6062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12919</v>
      </c>
      <c r="C967" t="s">
        <v>4840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6063</v>
      </c>
      <c r="C968" t="s">
        <v>6064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12920</v>
      </c>
      <c r="C969" t="s">
        <v>4840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6065</v>
      </c>
      <c r="C970" t="s">
        <v>6066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12921</v>
      </c>
      <c r="C971" t="s">
        <v>4840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6067</v>
      </c>
      <c r="C972" t="s">
        <v>6068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12922</v>
      </c>
      <c r="C973" t="s">
        <v>4840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6069</v>
      </c>
      <c r="C974" t="s">
        <v>6070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14430</v>
      </c>
      <c r="C975" t="s">
        <v>14431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14432</v>
      </c>
      <c r="C976" t="s">
        <v>14433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14434</v>
      </c>
      <c r="C977" t="s">
        <v>14435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14436</v>
      </c>
      <c r="C978" t="s">
        <v>14437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14438</v>
      </c>
      <c r="C979" t="s">
        <v>14439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14440</v>
      </c>
      <c r="C980" t="s">
        <v>14441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14442</v>
      </c>
      <c r="C981" t="s">
        <v>14443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14444</v>
      </c>
      <c r="C982" t="s">
        <v>14445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6071</v>
      </c>
      <c r="C983" t="s">
        <v>6072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6073</v>
      </c>
      <c r="C984" t="s">
        <v>6074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6075</v>
      </c>
      <c r="C985" t="s">
        <v>6076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6077</v>
      </c>
      <c r="C986" t="s">
        <v>6078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6079</v>
      </c>
      <c r="C987" t="s">
        <v>6080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6081</v>
      </c>
      <c r="C988" t="s">
        <v>6082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6083</v>
      </c>
      <c r="C989" t="s">
        <v>6084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6085</v>
      </c>
      <c r="C990" t="s">
        <v>6086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6087</v>
      </c>
      <c r="C991" t="s">
        <v>14446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6088</v>
      </c>
      <c r="C992" t="s">
        <v>14447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6089</v>
      </c>
      <c r="C993" t="s">
        <v>6090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6091</v>
      </c>
      <c r="C994" t="s">
        <v>6092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6093</v>
      </c>
      <c r="C995" t="s">
        <v>6094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6095</v>
      </c>
      <c r="C996" t="s">
        <v>6096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6097</v>
      </c>
      <c r="C997" t="s">
        <v>6098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12923</v>
      </c>
      <c r="C998" t="s">
        <v>4840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6099</v>
      </c>
      <c r="C999" t="s">
        <v>6100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12924</v>
      </c>
      <c r="C1000" t="s">
        <v>4840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6101</v>
      </c>
      <c r="C1001" t="s">
        <v>6102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6103</v>
      </c>
      <c r="C1002" t="s">
        <v>6104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6105</v>
      </c>
      <c r="C1003" t="s">
        <v>6106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6107</v>
      </c>
      <c r="C1004" t="s">
        <v>6108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6109</v>
      </c>
      <c r="C1005" t="s">
        <v>6110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6111</v>
      </c>
      <c r="C1006" t="s">
        <v>6112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6113</v>
      </c>
      <c r="C1007" t="s">
        <v>6114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6115</v>
      </c>
      <c r="C1008" t="s">
        <v>6116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6117</v>
      </c>
      <c r="C1009" t="s">
        <v>6118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12925</v>
      </c>
      <c r="C1010" t="s">
        <v>4840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6119</v>
      </c>
      <c r="C1011" t="s">
        <v>6120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6121</v>
      </c>
      <c r="C1012" t="s">
        <v>6122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6123</v>
      </c>
      <c r="C1013" t="s">
        <v>4840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6124</v>
      </c>
      <c r="C1014" t="s">
        <v>6125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6126</v>
      </c>
      <c r="C1015" t="s">
        <v>6127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6128</v>
      </c>
      <c r="C1016" t="s">
        <v>6129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6130</v>
      </c>
      <c r="C1017" t="s">
        <v>6131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14448</v>
      </c>
      <c r="C1018" t="s">
        <v>14449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14450</v>
      </c>
      <c r="C1019" t="s">
        <v>14451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6132</v>
      </c>
      <c r="C1020" t="s">
        <v>6133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12926</v>
      </c>
      <c r="C1021" t="s">
        <v>4840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6134</v>
      </c>
      <c r="C1022" t="s">
        <v>6135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12927</v>
      </c>
      <c r="C1023" t="s">
        <v>4840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6136</v>
      </c>
      <c r="C1024" t="s">
        <v>6137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6138</v>
      </c>
      <c r="C1025" t="s">
        <v>6139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12928</v>
      </c>
      <c r="C1026" t="s">
        <v>4840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6140</v>
      </c>
      <c r="C1027" t="s">
        <v>6141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6142</v>
      </c>
      <c r="C1028" t="s">
        <v>6143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6144</v>
      </c>
      <c r="C1029" t="s">
        <v>6145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12929</v>
      </c>
      <c r="C1030" t="s">
        <v>4840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6146</v>
      </c>
      <c r="C1031" t="s">
        <v>6147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6148</v>
      </c>
      <c r="C1032" t="s">
        <v>6149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6150</v>
      </c>
      <c r="C1033" t="s">
        <v>6151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6152</v>
      </c>
      <c r="C1034" t="s">
        <v>6153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12930</v>
      </c>
      <c r="C1035" t="s">
        <v>4840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12931</v>
      </c>
      <c r="C1036" t="s">
        <v>12932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6154</v>
      </c>
      <c r="C1037" t="s">
        <v>6155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12933</v>
      </c>
      <c r="C1038" t="s">
        <v>4840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6156</v>
      </c>
      <c r="C1039" t="s">
        <v>6157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12934</v>
      </c>
      <c r="C1040" t="s">
        <v>4840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6158</v>
      </c>
      <c r="C1041" t="s">
        <v>6159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12935</v>
      </c>
      <c r="C1042" t="s">
        <v>4840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6160</v>
      </c>
      <c r="C1043" t="s">
        <v>6161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12936</v>
      </c>
      <c r="C1044" t="s">
        <v>4840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6162</v>
      </c>
      <c r="C1045" t="s">
        <v>6163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6164</v>
      </c>
      <c r="C1046" t="s">
        <v>6165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12937</v>
      </c>
      <c r="C1047" t="s">
        <v>4840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6166</v>
      </c>
      <c r="C1048" t="s">
        <v>6167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6168</v>
      </c>
      <c r="C1049" t="s">
        <v>6169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6170</v>
      </c>
      <c r="C1050" t="s">
        <v>6171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6172</v>
      </c>
      <c r="C1051" t="s">
        <v>6173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6174</v>
      </c>
      <c r="C1052" t="s">
        <v>6175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6176</v>
      </c>
      <c r="C1053" t="s">
        <v>6177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6178</v>
      </c>
      <c r="C1054" t="s">
        <v>6179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6180</v>
      </c>
      <c r="C1055" t="s">
        <v>6181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6182</v>
      </c>
      <c r="C1056" t="s">
        <v>6183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6184</v>
      </c>
      <c r="C1057" t="s">
        <v>6185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6186</v>
      </c>
      <c r="C1058" t="s">
        <v>6187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12938</v>
      </c>
      <c r="C1059" t="s">
        <v>4840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6188</v>
      </c>
      <c r="C1060" t="s">
        <v>6189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6190</v>
      </c>
      <c r="C1061" t="s">
        <v>6191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12939</v>
      </c>
      <c r="C1062" t="s">
        <v>4840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6192</v>
      </c>
      <c r="C1063" t="s">
        <v>6193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12940</v>
      </c>
      <c r="C1064" t="s">
        <v>4840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6194</v>
      </c>
      <c r="C1065" t="s">
        <v>6195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6196</v>
      </c>
      <c r="C1066" t="s">
        <v>6197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12941</v>
      </c>
      <c r="C1067" t="s">
        <v>4840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6198</v>
      </c>
      <c r="C1068" t="s">
        <v>6199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6200</v>
      </c>
      <c r="C1069" t="s">
        <v>6201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12942</v>
      </c>
      <c r="C1070" t="s">
        <v>4840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6202</v>
      </c>
      <c r="C1071" t="s">
        <v>6203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6204</v>
      </c>
      <c r="C1072" t="s">
        <v>6205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12943</v>
      </c>
      <c r="C1073" t="s">
        <v>4840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6206</v>
      </c>
      <c r="C1074" t="s">
        <v>6207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6208</v>
      </c>
      <c r="C1075" t="s">
        <v>6209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12944</v>
      </c>
      <c r="C1076" t="s">
        <v>12945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12946</v>
      </c>
      <c r="C1077" t="s">
        <v>4840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6210</v>
      </c>
      <c r="C1078" t="s">
        <v>6211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6212</v>
      </c>
      <c r="C1079" t="s">
        <v>6213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6214</v>
      </c>
      <c r="C1080" t="s">
        <v>6215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6216</v>
      </c>
      <c r="C1081" t="s">
        <v>6217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6218</v>
      </c>
      <c r="C1082" t="s">
        <v>6219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6220</v>
      </c>
      <c r="C1083" t="s">
        <v>4940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6221</v>
      </c>
      <c r="C1084" t="s">
        <v>6222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6223</v>
      </c>
      <c r="C1085" t="s">
        <v>6224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6225</v>
      </c>
      <c r="C1086" t="s">
        <v>6226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6227</v>
      </c>
      <c r="C1087" t="s">
        <v>6228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6229</v>
      </c>
      <c r="C1088" t="s">
        <v>6230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6231</v>
      </c>
      <c r="C1089" t="s">
        <v>6232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6233</v>
      </c>
      <c r="C1090" t="s">
        <v>6234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6235</v>
      </c>
      <c r="C1091" t="s">
        <v>6236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6237</v>
      </c>
      <c r="C1092" t="s">
        <v>6238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6239</v>
      </c>
      <c r="C1093" t="s">
        <v>6240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6241</v>
      </c>
      <c r="C1094" t="s">
        <v>6242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6243</v>
      </c>
      <c r="C1095" t="s">
        <v>6244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6245</v>
      </c>
      <c r="C1096" t="s">
        <v>6246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6247</v>
      </c>
      <c r="C1097" t="s">
        <v>6248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6249</v>
      </c>
      <c r="C1098" t="s">
        <v>6250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6251</v>
      </c>
      <c r="C1099" t="s">
        <v>6252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6253</v>
      </c>
      <c r="C1100" t="s">
        <v>6254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6255</v>
      </c>
      <c r="C1101" t="s">
        <v>6256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6257</v>
      </c>
      <c r="C1102" t="s">
        <v>6258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6259</v>
      </c>
      <c r="C1103" t="s">
        <v>6260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6261</v>
      </c>
      <c r="C1104" t="s">
        <v>6262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6263</v>
      </c>
      <c r="C1105" t="s">
        <v>6264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12947</v>
      </c>
      <c r="C1106" t="s">
        <v>4840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6265</v>
      </c>
      <c r="C1107" t="s">
        <v>6266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6267</v>
      </c>
      <c r="C1108" t="s">
        <v>6268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6269</v>
      </c>
      <c r="C1109" t="s">
        <v>6270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12948</v>
      </c>
      <c r="C1110" t="s">
        <v>4840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6271</v>
      </c>
      <c r="C1111" t="s">
        <v>6272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12949</v>
      </c>
      <c r="C1112" t="s">
        <v>4840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6273</v>
      </c>
      <c r="C1113" t="s">
        <v>6274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6275</v>
      </c>
      <c r="C1114" t="s">
        <v>6276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12950</v>
      </c>
      <c r="C1115" t="s">
        <v>4840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6277</v>
      </c>
      <c r="C1116" t="s">
        <v>6278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6279</v>
      </c>
      <c r="C1117" t="s">
        <v>6280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6281</v>
      </c>
      <c r="C1118" t="s">
        <v>6282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12951</v>
      </c>
      <c r="C1119" t="s">
        <v>4840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6283</v>
      </c>
      <c r="C1120" t="s">
        <v>6284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12952</v>
      </c>
      <c r="C1121" t="s">
        <v>4840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6285</v>
      </c>
      <c r="C1122" t="s">
        <v>6286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6287</v>
      </c>
      <c r="C1123" t="s">
        <v>6288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6289</v>
      </c>
      <c r="C1124" t="s">
        <v>6290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12953</v>
      </c>
      <c r="C1125" t="s">
        <v>4840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6291</v>
      </c>
      <c r="C1126" t="s">
        <v>6292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6293</v>
      </c>
      <c r="C1127" t="s">
        <v>6294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6295</v>
      </c>
      <c r="C1128" t="s">
        <v>6296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6297</v>
      </c>
      <c r="C1129" t="s">
        <v>6298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6299</v>
      </c>
      <c r="C1130" t="s">
        <v>6300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6302</v>
      </c>
      <c r="C1131" t="s">
        <v>6303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6304</v>
      </c>
      <c r="C1132" t="s">
        <v>6305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12954</v>
      </c>
      <c r="C1133" t="s">
        <v>4840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6306</v>
      </c>
      <c r="C1134" t="s">
        <v>6307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6308</v>
      </c>
      <c r="C1135" t="s">
        <v>6309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6310</v>
      </c>
      <c r="C1136" t="s">
        <v>6311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6312</v>
      </c>
      <c r="C1137" t="s">
        <v>6313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6314</v>
      </c>
      <c r="C1138" t="s">
        <v>6315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6316</v>
      </c>
      <c r="C1139" t="s">
        <v>6317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6318</v>
      </c>
      <c r="C1140" t="s">
        <v>6319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6320</v>
      </c>
      <c r="C1141" t="s">
        <v>6321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6322</v>
      </c>
      <c r="C1142" t="s">
        <v>6323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12955</v>
      </c>
      <c r="C1143" t="s">
        <v>4840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6324</v>
      </c>
      <c r="C1144" t="s">
        <v>6325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12956</v>
      </c>
      <c r="C1145" t="s">
        <v>4840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6326</v>
      </c>
      <c r="C1146" t="s">
        <v>6327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6328</v>
      </c>
      <c r="C1147" t="s">
        <v>6329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6330</v>
      </c>
      <c r="C1148" t="s">
        <v>6331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6332</v>
      </c>
      <c r="C1149" t="s">
        <v>6333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6334</v>
      </c>
      <c r="C1150" t="s">
        <v>6335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6336</v>
      </c>
      <c r="C1151" t="s">
        <v>6337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6338</v>
      </c>
      <c r="C1152" t="s">
        <v>6339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6340</v>
      </c>
      <c r="C1153" t="s">
        <v>6341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6342</v>
      </c>
      <c r="C1154" t="s">
        <v>6343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6344</v>
      </c>
      <c r="C1155" t="s">
        <v>6345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6346</v>
      </c>
      <c r="C1156" t="s">
        <v>6347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12957</v>
      </c>
      <c r="C1157" t="s">
        <v>4840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6348</v>
      </c>
      <c r="C1158" t="s">
        <v>6349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6350</v>
      </c>
      <c r="C1159" t="s">
        <v>6351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6352</v>
      </c>
      <c r="C1160" t="s">
        <v>6353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6354</v>
      </c>
      <c r="C1161" t="s">
        <v>6355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6356</v>
      </c>
      <c r="C1162" t="s">
        <v>6357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6358</v>
      </c>
      <c r="C1163" t="s">
        <v>6359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6360</v>
      </c>
      <c r="C1164" t="s">
        <v>6361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12958</v>
      </c>
      <c r="C1165" t="s">
        <v>4840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6362</v>
      </c>
      <c r="C1166" t="s">
        <v>6363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12959</v>
      </c>
      <c r="C1167" t="s">
        <v>4840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6364</v>
      </c>
      <c r="C1168" t="s">
        <v>6365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6366</v>
      </c>
      <c r="C1169" t="s">
        <v>6367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12960</v>
      </c>
      <c r="C1170" t="s">
        <v>4840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6368</v>
      </c>
      <c r="C1171" t="s">
        <v>6369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6370</v>
      </c>
      <c r="C1172" t="s">
        <v>6371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12961</v>
      </c>
      <c r="C1173" t="s">
        <v>4840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6372</v>
      </c>
      <c r="C1174" t="s">
        <v>6373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6374</v>
      </c>
      <c r="C1175" t="s">
        <v>6375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12962</v>
      </c>
      <c r="C1176" t="s">
        <v>4840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6376</v>
      </c>
      <c r="C1177" t="s">
        <v>6377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12963</v>
      </c>
      <c r="C1178" t="s">
        <v>4840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6378</v>
      </c>
      <c r="C1179" t="s">
        <v>6379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12964</v>
      </c>
      <c r="C1180" t="s">
        <v>4840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6380</v>
      </c>
      <c r="C1181" t="s">
        <v>6381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6382</v>
      </c>
      <c r="C1182" t="s">
        <v>6383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6384</v>
      </c>
      <c r="C1183" t="s">
        <v>6385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6386</v>
      </c>
      <c r="C1184" t="s">
        <v>6387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6388</v>
      </c>
      <c r="C1185" t="s">
        <v>6389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12965</v>
      </c>
      <c r="C1186" t="s">
        <v>4840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6390</v>
      </c>
      <c r="C1187" t="s">
        <v>6391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6392</v>
      </c>
      <c r="C1188" t="s">
        <v>6393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6394</v>
      </c>
      <c r="C1189" t="s">
        <v>6395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12966</v>
      </c>
      <c r="C1190" t="s">
        <v>4840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12967</v>
      </c>
      <c r="C1191" t="s">
        <v>12968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6396</v>
      </c>
      <c r="C1192" t="s">
        <v>6397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6398</v>
      </c>
      <c r="C1193" t="s">
        <v>6399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6400</v>
      </c>
      <c r="C1194" t="s">
        <v>6401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6402</v>
      </c>
      <c r="C1195" t="s">
        <v>6403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6404</v>
      </c>
      <c r="C1196" t="s">
        <v>4840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6405</v>
      </c>
      <c r="C1197" t="s">
        <v>6406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6407</v>
      </c>
      <c r="C1198" t="s">
        <v>6408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6409</v>
      </c>
      <c r="C1199" t="s">
        <v>6410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6411</v>
      </c>
      <c r="C1200" t="s">
        <v>6412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6413</v>
      </c>
      <c r="C1201" t="s">
        <v>6414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6415</v>
      </c>
      <c r="C1202" t="s">
        <v>6416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6417</v>
      </c>
      <c r="C1203" t="s">
        <v>6418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12969</v>
      </c>
      <c r="C1204" t="s">
        <v>4840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6419</v>
      </c>
      <c r="C1205" t="s">
        <v>6420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6421</v>
      </c>
      <c r="C1206" t="s">
        <v>6422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6423</v>
      </c>
      <c r="C1207" t="s">
        <v>6424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12970</v>
      </c>
      <c r="C1208" t="s">
        <v>4840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6425</v>
      </c>
      <c r="C1209" t="s">
        <v>6426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12971</v>
      </c>
      <c r="C1210" t="s">
        <v>4840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6427</v>
      </c>
      <c r="C1211" t="s">
        <v>6428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6429</v>
      </c>
      <c r="C1212" t="s">
        <v>6430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6431</v>
      </c>
      <c r="C1213" t="s">
        <v>6432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6433</v>
      </c>
      <c r="C1214" t="s">
        <v>6434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6435</v>
      </c>
      <c r="C1215" t="s">
        <v>6436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12972</v>
      </c>
      <c r="C1216" t="s">
        <v>4840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6437</v>
      </c>
      <c r="C1217" t="s">
        <v>6438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12973</v>
      </c>
      <c r="C1218" t="s">
        <v>4840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6439</v>
      </c>
      <c r="C1219" t="s">
        <v>6440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12974</v>
      </c>
      <c r="C1220" t="s">
        <v>4840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6441</v>
      </c>
      <c r="C1221" t="s">
        <v>6442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12975</v>
      </c>
      <c r="C1222" t="s">
        <v>4840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6443</v>
      </c>
      <c r="C1223" t="s">
        <v>6444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12976</v>
      </c>
      <c r="C1224" t="s">
        <v>4840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6445</v>
      </c>
      <c r="C1225" t="s">
        <v>6446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12977</v>
      </c>
      <c r="C1226" t="s">
        <v>4840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6447</v>
      </c>
      <c r="C1227" t="s">
        <v>6448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12978</v>
      </c>
      <c r="C1228" t="s">
        <v>4840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6449</v>
      </c>
      <c r="C1229" t="s">
        <v>6450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12979</v>
      </c>
      <c r="C1230" t="s">
        <v>4840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6451</v>
      </c>
      <c r="C1231" t="s">
        <v>6452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12980</v>
      </c>
      <c r="C1232" t="s">
        <v>4840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6453</v>
      </c>
      <c r="C1233" t="s">
        <v>6454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12981</v>
      </c>
      <c r="C1234" t="s">
        <v>4840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6455</v>
      </c>
      <c r="C1235" t="s">
        <v>6456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12982</v>
      </c>
      <c r="C1236" t="s">
        <v>4840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6457</v>
      </c>
      <c r="C1237" t="s">
        <v>6458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12983</v>
      </c>
      <c r="C1238" t="s">
        <v>4840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6459</v>
      </c>
      <c r="C1239" t="s">
        <v>6460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12984</v>
      </c>
      <c r="C1240" t="s">
        <v>4840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6461</v>
      </c>
      <c r="C1241" t="s">
        <v>6462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12985</v>
      </c>
      <c r="C1242" t="s">
        <v>4840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6463</v>
      </c>
      <c r="C1243" t="s">
        <v>6464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12986</v>
      </c>
      <c r="C1244" t="s">
        <v>4840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6465</v>
      </c>
      <c r="C1245" t="s">
        <v>6466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12987</v>
      </c>
      <c r="C1246" t="s">
        <v>4840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6467</v>
      </c>
      <c r="C1247" t="s">
        <v>6468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12988</v>
      </c>
      <c r="C1248" t="s">
        <v>4840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6469</v>
      </c>
      <c r="C1249" t="s">
        <v>6470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12989</v>
      </c>
      <c r="C1250" t="s">
        <v>4840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6471</v>
      </c>
      <c r="C1251" t="s">
        <v>6472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12990</v>
      </c>
      <c r="C1252" t="s">
        <v>4840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6473</v>
      </c>
      <c r="C1253" t="s">
        <v>6474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12991</v>
      </c>
      <c r="C1254" t="s">
        <v>4840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6475</v>
      </c>
      <c r="C1255" t="s">
        <v>6476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12992</v>
      </c>
      <c r="C1256" t="s">
        <v>4840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6477</v>
      </c>
      <c r="C1257" t="s">
        <v>6478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12993</v>
      </c>
      <c r="C1258" t="s">
        <v>4840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6479</v>
      </c>
      <c r="C1259" t="s">
        <v>6480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6481</v>
      </c>
      <c r="C1260" t="s">
        <v>6482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12994</v>
      </c>
      <c r="C1261" t="s">
        <v>4840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6483</v>
      </c>
      <c r="C1262" t="s">
        <v>6484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12995</v>
      </c>
      <c r="C1263" t="s">
        <v>4840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6485</v>
      </c>
      <c r="C1264" t="s">
        <v>6486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12996</v>
      </c>
      <c r="C1265" t="s">
        <v>4840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6487</v>
      </c>
      <c r="C1266" t="s">
        <v>6488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12997</v>
      </c>
      <c r="C1267" t="s">
        <v>4840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6489</v>
      </c>
      <c r="C1268" t="s">
        <v>6490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12998</v>
      </c>
      <c r="C1269" t="s">
        <v>4840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6491</v>
      </c>
      <c r="C1270" t="s">
        <v>6492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6493</v>
      </c>
      <c r="C1271" t="s">
        <v>6494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6495</v>
      </c>
      <c r="C1272" t="s">
        <v>6496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6497</v>
      </c>
      <c r="C1273" t="s">
        <v>6498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12999</v>
      </c>
      <c r="C1274" t="s">
        <v>4840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6499</v>
      </c>
      <c r="C1275" t="s">
        <v>6500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13000</v>
      </c>
      <c r="C1276" t="s">
        <v>4840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6501</v>
      </c>
      <c r="C1277" t="s">
        <v>6502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6503</v>
      </c>
      <c r="C1278" t="s">
        <v>6504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6505</v>
      </c>
      <c r="C1279" t="s">
        <v>6506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6507</v>
      </c>
      <c r="C1280" t="s">
        <v>6508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6509</v>
      </c>
      <c r="C1281" t="s">
        <v>6510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6511</v>
      </c>
      <c r="C1282" t="s">
        <v>6512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6513</v>
      </c>
      <c r="C1283" t="s">
        <v>6514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6515</v>
      </c>
      <c r="C1284" t="s">
        <v>6516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6517</v>
      </c>
      <c r="C1285" t="s">
        <v>6518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6519</v>
      </c>
      <c r="C1286" t="s">
        <v>6520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14452</v>
      </c>
      <c r="C1287" t="s">
        <v>14453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6521</v>
      </c>
      <c r="C1288" t="s">
        <v>6522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6523</v>
      </c>
      <c r="C1289" t="s">
        <v>6524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6525</v>
      </c>
      <c r="C1290" t="s">
        <v>6526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6527</v>
      </c>
      <c r="C1291" t="s">
        <v>6528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6529</v>
      </c>
      <c r="C1292" t="s">
        <v>6530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14454</v>
      </c>
      <c r="C1293" t="s">
        <v>14455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6531</v>
      </c>
      <c r="C1294" t="s">
        <v>6532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6533</v>
      </c>
      <c r="C1295" t="s">
        <v>6534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6535</v>
      </c>
      <c r="C1296" t="s">
        <v>4840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6536</v>
      </c>
      <c r="C1297" t="s">
        <v>6537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6538</v>
      </c>
      <c r="C1298" t="s">
        <v>4840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6539</v>
      </c>
      <c r="C1299" t="s">
        <v>6540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6541</v>
      </c>
      <c r="C1300" t="s">
        <v>4840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6542</v>
      </c>
      <c r="C1301" t="s">
        <v>6543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6544</v>
      </c>
      <c r="C1302" t="s">
        <v>4840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6545</v>
      </c>
      <c r="C1303" t="s">
        <v>6546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6547</v>
      </c>
      <c r="C1304" t="s">
        <v>4840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6548</v>
      </c>
      <c r="C1305" t="s">
        <v>6549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13001</v>
      </c>
      <c r="C1306" t="s">
        <v>4840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6550</v>
      </c>
      <c r="C1307" t="s">
        <v>6551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13002</v>
      </c>
      <c r="C1308" t="s">
        <v>4840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6552</v>
      </c>
      <c r="C1309" t="s">
        <v>6553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6554</v>
      </c>
      <c r="C1310" t="s">
        <v>4840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6555</v>
      </c>
      <c r="C1311" t="s">
        <v>14456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6556</v>
      </c>
      <c r="C1312" t="s">
        <v>6557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6558</v>
      </c>
      <c r="C1313" t="s">
        <v>6559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6560</v>
      </c>
      <c r="C1314" t="s">
        <v>6561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6562</v>
      </c>
      <c r="C1315" t="s">
        <v>6563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6564</v>
      </c>
      <c r="C1316" t="s">
        <v>6565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6566</v>
      </c>
      <c r="C1317" t="s">
        <v>6567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6568</v>
      </c>
      <c r="C1318" t="s">
        <v>6569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6570</v>
      </c>
      <c r="C1319" t="s">
        <v>6571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6572</v>
      </c>
      <c r="C1320" t="s">
        <v>6573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6574</v>
      </c>
      <c r="C1321" t="s">
        <v>6575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6576</v>
      </c>
      <c r="C1322" t="s">
        <v>6577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6578</v>
      </c>
      <c r="C1323" t="s">
        <v>6579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6580</v>
      </c>
      <c r="C1324" t="s">
        <v>6581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6582</v>
      </c>
      <c r="C1325" t="s">
        <v>6583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6584</v>
      </c>
      <c r="C1326" t="s">
        <v>6585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6586</v>
      </c>
      <c r="C1327" t="s">
        <v>6587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6588</v>
      </c>
      <c r="C1328" t="s">
        <v>6589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13003</v>
      </c>
      <c r="C1329" t="s">
        <v>4840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6590</v>
      </c>
      <c r="C1330" t="s">
        <v>6591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6592</v>
      </c>
      <c r="C1331" t="s">
        <v>6593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6594</v>
      </c>
      <c r="C1332" t="s">
        <v>6595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13004</v>
      </c>
      <c r="C1333" t="s">
        <v>4840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6596</v>
      </c>
      <c r="C1334" t="s">
        <v>6597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13005</v>
      </c>
      <c r="C1335" t="s">
        <v>4840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6598</v>
      </c>
      <c r="C1336" t="s">
        <v>6599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6600</v>
      </c>
      <c r="C1337" t="s">
        <v>6601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6602</v>
      </c>
      <c r="C1338" t="s">
        <v>6603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13006</v>
      </c>
      <c r="C1339" t="s">
        <v>4840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6604</v>
      </c>
      <c r="C1340" t="s">
        <v>6605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13007</v>
      </c>
      <c r="C1341" t="s">
        <v>4840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6606</v>
      </c>
      <c r="C1342" t="s">
        <v>6607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13008</v>
      </c>
      <c r="C1343" t="s">
        <v>4840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6608</v>
      </c>
      <c r="C1344" t="s">
        <v>6607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6609</v>
      </c>
      <c r="C1345" t="s">
        <v>6607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13009</v>
      </c>
      <c r="C1346" t="s">
        <v>4840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6610</v>
      </c>
      <c r="C1347" t="s">
        <v>6607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13010</v>
      </c>
      <c r="C1348" t="s">
        <v>4840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6611</v>
      </c>
      <c r="C1349" t="s">
        <v>6612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13011</v>
      </c>
      <c r="C1350" t="s">
        <v>4840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6613</v>
      </c>
      <c r="C1351" t="s">
        <v>6614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13012</v>
      </c>
      <c r="C1352" t="s">
        <v>4840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6615</v>
      </c>
      <c r="C1353" t="s">
        <v>6616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13013</v>
      </c>
      <c r="C1354" t="s">
        <v>4840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6617</v>
      </c>
      <c r="C1355" t="s">
        <v>6618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13014</v>
      </c>
      <c r="C1356" t="s">
        <v>4840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6619</v>
      </c>
      <c r="C1357" t="s">
        <v>6620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13015</v>
      </c>
      <c r="C1358" t="s">
        <v>4840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6621</v>
      </c>
      <c r="C1359" t="s">
        <v>6622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13016</v>
      </c>
      <c r="C1360" t="s">
        <v>4840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6623</v>
      </c>
      <c r="C1361" t="s">
        <v>6624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6625</v>
      </c>
      <c r="C1362" t="s">
        <v>6626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6627</v>
      </c>
      <c r="C1363" t="s">
        <v>6628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6629</v>
      </c>
      <c r="C1364" t="s">
        <v>6630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13017</v>
      </c>
      <c r="C1365" t="s">
        <v>4840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6631</v>
      </c>
      <c r="C1366" t="s">
        <v>6632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13018</v>
      </c>
      <c r="C1367" t="s">
        <v>4840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6633</v>
      </c>
      <c r="C1368" t="s">
        <v>6634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6635</v>
      </c>
      <c r="C1369" t="s">
        <v>4840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6636</v>
      </c>
      <c r="C1370" t="s">
        <v>6637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13019</v>
      </c>
      <c r="C1371" t="s">
        <v>4840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6638</v>
      </c>
      <c r="C1372" t="s">
        <v>6639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13020</v>
      </c>
      <c r="C1373" t="s">
        <v>4840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6640</v>
      </c>
      <c r="C1374" t="s">
        <v>6641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13021</v>
      </c>
      <c r="C1375" t="s">
        <v>4840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6642</v>
      </c>
      <c r="C1376" t="s">
        <v>6643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13022</v>
      </c>
      <c r="C1377" t="s">
        <v>4840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6644</v>
      </c>
      <c r="C1378" t="s">
        <v>6645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13023</v>
      </c>
      <c r="C1379" t="s">
        <v>4840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6646</v>
      </c>
      <c r="C1380" t="s">
        <v>6647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13024</v>
      </c>
      <c r="C1381" t="s">
        <v>4840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6648</v>
      </c>
      <c r="C1382" t="s">
        <v>6649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13025</v>
      </c>
      <c r="C1383" t="s">
        <v>4840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6650</v>
      </c>
      <c r="C1384" t="s">
        <v>6651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6652</v>
      </c>
      <c r="C1385" t="s">
        <v>6653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6654</v>
      </c>
      <c r="C1386" t="s">
        <v>6655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6656</v>
      </c>
      <c r="C1387" t="s">
        <v>6657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6658</v>
      </c>
      <c r="C1388" t="s">
        <v>6659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6660</v>
      </c>
      <c r="C1389" t="s">
        <v>6661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6662</v>
      </c>
      <c r="C1390" t="s">
        <v>6663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6664</v>
      </c>
      <c r="C1391" t="s">
        <v>6665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13026</v>
      </c>
      <c r="C1392" t="s">
        <v>4840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6666</v>
      </c>
      <c r="C1393" t="s">
        <v>6667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6668</v>
      </c>
      <c r="C1394" t="s">
        <v>6669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6670</v>
      </c>
      <c r="C1395" t="s">
        <v>6671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6672</v>
      </c>
      <c r="C1396" t="s">
        <v>6673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6674</v>
      </c>
      <c r="C1397" t="s">
        <v>6675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6676</v>
      </c>
      <c r="C1398" t="s">
        <v>6677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6678</v>
      </c>
      <c r="C1399" t="s">
        <v>6679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6680</v>
      </c>
      <c r="C1400" t="s">
        <v>6681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6682</v>
      </c>
      <c r="C1401" t="s">
        <v>6683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6684</v>
      </c>
      <c r="C1402" t="s">
        <v>6685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6686</v>
      </c>
      <c r="C1403" t="s">
        <v>6687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6688</v>
      </c>
      <c r="C1404" t="s">
        <v>6689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6690</v>
      </c>
      <c r="C1405" t="s">
        <v>6691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6692</v>
      </c>
      <c r="C1406" t="s">
        <v>6693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6694</v>
      </c>
      <c r="C1407" t="s">
        <v>6695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6696</v>
      </c>
      <c r="C1408" t="s">
        <v>6697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6698</v>
      </c>
      <c r="C1409" t="s">
        <v>6699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6700</v>
      </c>
      <c r="C1410" t="s">
        <v>6701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6702</v>
      </c>
      <c r="C1411" t="s">
        <v>6703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6704</v>
      </c>
      <c r="C1412" t="s">
        <v>6705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6706</v>
      </c>
      <c r="C1413" t="s">
        <v>6707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6708</v>
      </c>
      <c r="C1414" t="s">
        <v>6709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6710</v>
      </c>
      <c r="C1415" t="s">
        <v>6711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6712</v>
      </c>
      <c r="C1416" t="s">
        <v>6713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6714</v>
      </c>
      <c r="C1417" t="s">
        <v>6715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6716</v>
      </c>
      <c r="C1418" t="s">
        <v>6717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6718</v>
      </c>
      <c r="C1419" t="s">
        <v>6719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6720</v>
      </c>
      <c r="C1420" t="s">
        <v>6721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6722</v>
      </c>
      <c r="C1421" t="s">
        <v>6723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6724</v>
      </c>
      <c r="C1422" t="s">
        <v>6725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6726</v>
      </c>
      <c r="C1423" t="s">
        <v>4940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6727</v>
      </c>
      <c r="C1424" t="s">
        <v>4940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6728</v>
      </c>
      <c r="C1425" t="s">
        <v>4940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6729</v>
      </c>
      <c r="C1426" t="s">
        <v>6730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6731</v>
      </c>
      <c r="C1427" t="s">
        <v>6732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6733</v>
      </c>
      <c r="C1428" t="s">
        <v>6734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13027</v>
      </c>
      <c r="C1429" t="s">
        <v>4840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6735</v>
      </c>
      <c r="C1430" t="s">
        <v>6736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6737</v>
      </c>
      <c r="C1431" t="s">
        <v>6738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6739</v>
      </c>
      <c r="C1432" t="s">
        <v>6740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13028</v>
      </c>
      <c r="C1433" t="s">
        <v>4840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6741</v>
      </c>
      <c r="C1434" t="s">
        <v>6734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13029</v>
      </c>
      <c r="C1435" t="s">
        <v>4840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6742</v>
      </c>
      <c r="C1436" t="s">
        <v>6734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6743</v>
      </c>
      <c r="C1437" t="s">
        <v>6744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6745</v>
      </c>
      <c r="C1438" t="s">
        <v>6746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6747</v>
      </c>
      <c r="C1439" t="s">
        <v>6748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6749</v>
      </c>
      <c r="C1440" t="s">
        <v>6750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6751</v>
      </c>
      <c r="C1441" t="s">
        <v>6752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13030</v>
      </c>
      <c r="C1442" t="s">
        <v>4840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6753</v>
      </c>
      <c r="C1443" t="s">
        <v>6754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6755</v>
      </c>
      <c r="C1444" t="s">
        <v>6756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6757</v>
      </c>
      <c r="C1445" t="s">
        <v>6758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13031</v>
      </c>
      <c r="C1446" t="s">
        <v>4840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6759</v>
      </c>
      <c r="C1447" t="s">
        <v>6760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13032</v>
      </c>
      <c r="C1448" t="s">
        <v>4840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6761</v>
      </c>
      <c r="C1449" t="s">
        <v>6762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13033</v>
      </c>
      <c r="C1450" t="s">
        <v>4840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6763</v>
      </c>
      <c r="C1451" t="s">
        <v>6764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13034</v>
      </c>
      <c r="C1452" t="s">
        <v>4840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6765</v>
      </c>
      <c r="C1453" t="s">
        <v>6766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6767</v>
      </c>
      <c r="C1454" t="s">
        <v>6768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6769</v>
      </c>
      <c r="C1455" t="s">
        <v>6770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13035</v>
      </c>
      <c r="C1456" t="s">
        <v>13036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6771</v>
      </c>
      <c r="C1457" t="s">
        <v>6772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13037</v>
      </c>
      <c r="C1458" t="s">
        <v>4840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6773</v>
      </c>
      <c r="C1459" t="s">
        <v>6774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13038</v>
      </c>
      <c r="C1460" t="s">
        <v>4840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6775</v>
      </c>
      <c r="C1461" t="s">
        <v>6776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14457</v>
      </c>
      <c r="C1462" t="s">
        <v>14458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14459</v>
      </c>
      <c r="C1463" t="s">
        <v>14460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14461</v>
      </c>
      <c r="C1464" t="s">
        <v>14462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6777</v>
      </c>
      <c r="C1465" t="s">
        <v>6778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13039</v>
      </c>
      <c r="C1466" t="s">
        <v>4840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6779</v>
      </c>
      <c r="C1467" t="s">
        <v>6780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13040</v>
      </c>
      <c r="C1468" t="s">
        <v>4840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6781</v>
      </c>
      <c r="C1469" t="s">
        <v>6782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6783</v>
      </c>
      <c r="C1470" t="s">
        <v>6784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6785</v>
      </c>
      <c r="C1471" t="s">
        <v>6786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6787</v>
      </c>
      <c r="C1472" t="s">
        <v>4940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6788</v>
      </c>
      <c r="C1473" t="s">
        <v>4940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6789</v>
      </c>
      <c r="C1474" t="s">
        <v>4940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6790</v>
      </c>
      <c r="C1475" t="s">
        <v>6791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6792</v>
      </c>
      <c r="C1476" t="s">
        <v>6793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6794</v>
      </c>
      <c r="C1477" t="s">
        <v>6795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6796</v>
      </c>
      <c r="C1478" t="s">
        <v>6797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13041</v>
      </c>
      <c r="C1479" t="s">
        <v>4840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6798</v>
      </c>
      <c r="C1480" t="s">
        <v>6799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6800</v>
      </c>
      <c r="C1481" t="s">
        <v>6801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13042</v>
      </c>
      <c r="C1482" t="s">
        <v>4840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6802</v>
      </c>
      <c r="C1483" t="s">
        <v>6803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6804</v>
      </c>
      <c r="C1484" t="s">
        <v>6805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6806</v>
      </c>
      <c r="C1485" t="s">
        <v>6807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6808</v>
      </c>
      <c r="C1486" t="s">
        <v>6809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6810</v>
      </c>
      <c r="C1487" t="s">
        <v>6811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6812</v>
      </c>
      <c r="C1488" t="s">
        <v>6813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6814</v>
      </c>
      <c r="C1489" t="s">
        <v>6815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13043</v>
      </c>
      <c r="C1490" t="s">
        <v>4840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6816</v>
      </c>
      <c r="C1491" t="s">
        <v>6817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6818</v>
      </c>
      <c r="C1492" t="s">
        <v>6819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6820</v>
      </c>
      <c r="C1493" t="s">
        <v>6821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6822</v>
      </c>
      <c r="C1494" t="s">
        <v>6823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6824</v>
      </c>
      <c r="C1495" t="s">
        <v>6825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6826</v>
      </c>
      <c r="C1496" t="s">
        <v>6827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6828</v>
      </c>
      <c r="C1497" t="s">
        <v>6829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6830</v>
      </c>
      <c r="C1498" t="s">
        <v>6829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6831</v>
      </c>
      <c r="C1499" t="s">
        <v>6829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6832</v>
      </c>
      <c r="C1500" t="s">
        <v>6833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6834</v>
      </c>
      <c r="C1501" t="s">
        <v>6835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6836</v>
      </c>
      <c r="C1502" t="s">
        <v>6837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6838</v>
      </c>
      <c r="C1503" t="s">
        <v>6839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6840</v>
      </c>
      <c r="C1504" t="s">
        <v>6841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6842</v>
      </c>
      <c r="C1505" t="s">
        <v>6843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6844</v>
      </c>
      <c r="C1506" t="s">
        <v>6845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6846</v>
      </c>
      <c r="C1507" t="s">
        <v>6847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6848</v>
      </c>
      <c r="C1508" t="s">
        <v>6849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6850</v>
      </c>
      <c r="C1509" t="s">
        <v>6851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6852</v>
      </c>
      <c r="C1510" t="s">
        <v>6853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6854</v>
      </c>
      <c r="C1511" t="s">
        <v>6855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6856</v>
      </c>
      <c r="C1512" t="s">
        <v>6857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6858</v>
      </c>
      <c r="C1513" t="s">
        <v>6859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6860</v>
      </c>
      <c r="C1514" t="s">
        <v>6861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13044</v>
      </c>
      <c r="C1515" t="s">
        <v>4840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6862</v>
      </c>
      <c r="C1516" t="s">
        <v>6863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13045</v>
      </c>
      <c r="C1517" t="s">
        <v>4840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6864</v>
      </c>
      <c r="C1518" t="s">
        <v>6865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13046</v>
      </c>
      <c r="C1519" t="s">
        <v>4840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6866</v>
      </c>
      <c r="C1520" t="s">
        <v>6867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13047</v>
      </c>
      <c r="C1521" t="s">
        <v>4840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6868</v>
      </c>
      <c r="C1522" t="s">
        <v>6869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13048</v>
      </c>
      <c r="C1523" t="s">
        <v>4840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6870</v>
      </c>
      <c r="C1524" t="s">
        <v>6871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13049</v>
      </c>
      <c r="C1525" t="s">
        <v>4840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6872</v>
      </c>
      <c r="C1526" t="s">
        <v>6873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13050</v>
      </c>
      <c r="C1527" t="s">
        <v>4840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6874</v>
      </c>
      <c r="C1528" t="s">
        <v>6875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13051</v>
      </c>
      <c r="C1529" t="s">
        <v>4840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6876</v>
      </c>
      <c r="C1530" t="s">
        <v>6877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6878</v>
      </c>
      <c r="C1531" t="s">
        <v>6879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13052</v>
      </c>
      <c r="C1532" t="s">
        <v>4840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6880</v>
      </c>
      <c r="C1533" t="s">
        <v>6881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13053</v>
      </c>
      <c r="C1534" t="s">
        <v>4840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6882</v>
      </c>
      <c r="C1535" t="s">
        <v>6883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13054</v>
      </c>
      <c r="C1536" t="s">
        <v>4840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6884</v>
      </c>
      <c r="C1537" t="s">
        <v>6885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13055</v>
      </c>
      <c r="C1538" t="s">
        <v>4840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6886</v>
      </c>
      <c r="C1539" t="s">
        <v>6887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13056</v>
      </c>
      <c r="C1540" t="s">
        <v>4840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6888</v>
      </c>
      <c r="C1541" t="s">
        <v>6889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13057</v>
      </c>
      <c r="C1542" t="s">
        <v>4840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6890</v>
      </c>
      <c r="C1543" t="s">
        <v>6891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13058</v>
      </c>
      <c r="C1544" t="s">
        <v>4840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6892</v>
      </c>
      <c r="C1545" t="s">
        <v>6893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13059</v>
      </c>
      <c r="C1546" t="s">
        <v>4840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6894</v>
      </c>
      <c r="C1547" t="s">
        <v>6895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6896</v>
      </c>
      <c r="C1548" t="s">
        <v>6897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13060</v>
      </c>
      <c r="C1549" t="s">
        <v>4840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6898</v>
      </c>
      <c r="C1550" t="s">
        <v>6899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13061</v>
      </c>
      <c r="C1551" t="s">
        <v>4840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6900</v>
      </c>
      <c r="C1552" t="s">
        <v>6901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13062</v>
      </c>
      <c r="C1553" t="s">
        <v>4840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6902</v>
      </c>
      <c r="C1554" t="s">
        <v>6903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13063</v>
      </c>
      <c r="C1555" t="s">
        <v>4840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6904</v>
      </c>
      <c r="C1556" t="s">
        <v>6905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13064</v>
      </c>
      <c r="C1557" t="s">
        <v>4840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6906</v>
      </c>
      <c r="C1558" t="s">
        <v>6907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13065</v>
      </c>
      <c r="C1559" t="s">
        <v>4840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6908</v>
      </c>
      <c r="C1560" t="s">
        <v>6909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13066</v>
      </c>
      <c r="C1561" t="s">
        <v>4840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6910</v>
      </c>
      <c r="C1562" t="s">
        <v>6911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13067</v>
      </c>
      <c r="C1563" t="s">
        <v>4840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6912</v>
      </c>
      <c r="C1564" t="s">
        <v>6913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6914</v>
      </c>
      <c r="C1565" t="s">
        <v>6915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6916</v>
      </c>
      <c r="C1566" t="s">
        <v>6917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13068</v>
      </c>
      <c r="C1567" t="s">
        <v>4840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6918</v>
      </c>
      <c r="C1568" t="s">
        <v>6919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6920</v>
      </c>
      <c r="C1569" t="s">
        <v>4840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6921</v>
      </c>
      <c r="C1570" t="s">
        <v>6922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13069</v>
      </c>
      <c r="C1571" t="s">
        <v>4840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6923</v>
      </c>
      <c r="C1572" t="s">
        <v>6924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13070</v>
      </c>
      <c r="C1573" t="s">
        <v>4840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6925</v>
      </c>
      <c r="C1574" t="s">
        <v>6926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13071</v>
      </c>
      <c r="C1575" t="s">
        <v>4840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6927</v>
      </c>
      <c r="C1576" t="s">
        <v>6928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6929</v>
      </c>
      <c r="C1577" t="s">
        <v>6930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6931</v>
      </c>
      <c r="C1578" t="s">
        <v>6932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6933</v>
      </c>
      <c r="C1579" t="s">
        <v>6934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6935</v>
      </c>
      <c r="C1580" t="s">
        <v>6936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6937</v>
      </c>
      <c r="C1581" t="s">
        <v>6938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13072</v>
      </c>
      <c r="C1582" t="s">
        <v>4840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6939</v>
      </c>
      <c r="C1583" t="s">
        <v>6940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13073</v>
      </c>
      <c r="C1584" t="s">
        <v>4840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6941</v>
      </c>
      <c r="C1585" t="s">
        <v>6942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6943</v>
      </c>
      <c r="C1586" t="s">
        <v>6944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6945</v>
      </c>
      <c r="C1587" t="s">
        <v>6946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6947</v>
      </c>
      <c r="C1588" t="s">
        <v>6948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13074</v>
      </c>
      <c r="C1589" t="s">
        <v>4840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6949</v>
      </c>
      <c r="C1590" t="s">
        <v>6950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6951</v>
      </c>
      <c r="C1591" t="s">
        <v>6952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6953</v>
      </c>
      <c r="C1592" t="s">
        <v>6954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6955</v>
      </c>
      <c r="C1593" t="s">
        <v>6956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6957</v>
      </c>
      <c r="C1594" t="s">
        <v>6958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6959</v>
      </c>
      <c r="C1595" t="s">
        <v>6960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13075</v>
      </c>
      <c r="C1596" t="s">
        <v>4840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6961</v>
      </c>
      <c r="C1597" t="s">
        <v>6962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6963</v>
      </c>
      <c r="C1598" t="s">
        <v>6964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6965</v>
      </c>
      <c r="C1599" t="s">
        <v>6966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13076</v>
      </c>
      <c r="C1600" t="s">
        <v>4840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6967</v>
      </c>
      <c r="C1601" t="s">
        <v>6968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13077</v>
      </c>
      <c r="C1602" t="s">
        <v>4840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6969</v>
      </c>
      <c r="C1603" t="s">
        <v>6970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6971</v>
      </c>
      <c r="C1604" t="s">
        <v>6972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6973</v>
      </c>
      <c r="C1605" t="s">
        <v>6974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6975</v>
      </c>
      <c r="C1606" t="s">
        <v>6976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13078</v>
      </c>
      <c r="C1607" t="s">
        <v>4840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6977</v>
      </c>
      <c r="C1608" t="s">
        <v>6978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13079</v>
      </c>
      <c r="C1609" t="s">
        <v>4840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6979</v>
      </c>
      <c r="C1610" t="s">
        <v>6980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13080</v>
      </c>
      <c r="C1611" t="s">
        <v>4840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6981</v>
      </c>
      <c r="C1612" t="s">
        <v>6982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6983</v>
      </c>
      <c r="C1613" t="s">
        <v>6984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6985</v>
      </c>
      <c r="C1614" t="s">
        <v>6986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6987</v>
      </c>
      <c r="C1615" t="s">
        <v>6988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6989</v>
      </c>
      <c r="C1616" t="s">
        <v>6990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6991</v>
      </c>
      <c r="C1617" t="s">
        <v>6992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6993</v>
      </c>
      <c r="C1618" t="s">
        <v>6994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6995</v>
      </c>
      <c r="C1619" t="s">
        <v>6996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6997</v>
      </c>
      <c r="C1620" t="s">
        <v>6998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14463</v>
      </c>
      <c r="C1621" t="s">
        <v>14464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14465</v>
      </c>
      <c r="C1622" t="s">
        <v>14466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14467</v>
      </c>
      <c r="C1623" t="s">
        <v>14468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6999</v>
      </c>
      <c r="C1624" t="s">
        <v>7000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13081</v>
      </c>
      <c r="C1625" t="s">
        <v>4840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7001</v>
      </c>
      <c r="C1626" t="s">
        <v>6549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7002</v>
      </c>
      <c r="C1627" t="s">
        <v>7003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13082</v>
      </c>
      <c r="C1628" t="s">
        <v>4840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7004</v>
      </c>
      <c r="C1629" t="s">
        <v>7005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7006</v>
      </c>
      <c r="C1630" t="s">
        <v>7007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13083</v>
      </c>
      <c r="C1631" t="s">
        <v>4840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7008</v>
      </c>
      <c r="C1632" t="s">
        <v>7009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7010</v>
      </c>
      <c r="C1633" t="s">
        <v>7011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7012</v>
      </c>
      <c r="C1634" t="s">
        <v>7013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7014</v>
      </c>
      <c r="C1635" t="s">
        <v>7015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7016</v>
      </c>
      <c r="C1636" t="s">
        <v>7017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7018</v>
      </c>
      <c r="C1637" t="s">
        <v>7019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7020</v>
      </c>
      <c r="C1638" t="s">
        <v>7021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7022</v>
      </c>
      <c r="C1639" t="s">
        <v>7023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7024</v>
      </c>
      <c r="C1640" t="s">
        <v>7025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13084</v>
      </c>
      <c r="C1641" t="s">
        <v>4840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7026</v>
      </c>
      <c r="C1642" t="s">
        <v>7027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7028</v>
      </c>
      <c r="C1643" t="s">
        <v>7029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7030</v>
      </c>
      <c r="C1644" t="s">
        <v>7031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7032</v>
      </c>
      <c r="C1645" t="s">
        <v>7033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7034</v>
      </c>
      <c r="C1646" t="s">
        <v>7035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7036</v>
      </c>
      <c r="C1647" t="s">
        <v>7037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7038</v>
      </c>
      <c r="C1648" t="s">
        <v>7039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7040</v>
      </c>
      <c r="C1649" t="s">
        <v>7041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7042</v>
      </c>
      <c r="C1650" t="s">
        <v>7043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13085</v>
      </c>
      <c r="C1651" t="s">
        <v>4840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7044</v>
      </c>
      <c r="C1652" t="s">
        <v>7045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13086</v>
      </c>
      <c r="C1653" t="s">
        <v>4840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7046</v>
      </c>
      <c r="C1654" t="s">
        <v>7047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7048</v>
      </c>
      <c r="C1655" t="s">
        <v>7049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7050</v>
      </c>
      <c r="C1656" t="s">
        <v>7051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7052</v>
      </c>
      <c r="C1657" t="s">
        <v>7053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7054</v>
      </c>
      <c r="C1658" t="s">
        <v>7055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13087</v>
      </c>
      <c r="C1659" t="s">
        <v>4840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7056</v>
      </c>
      <c r="C1660" t="s">
        <v>7057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7058</v>
      </c>
      <c r="C1661" t="s">
        <v>7059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7060</v>
      </c>
      <c r="C1662" t="s">
        <v>7061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7062</v>
      </c>
      <c r="C1663" t="s">
        <v>7063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7064</v>
      </c>
      <c r="C1664" t="s">
        <v>7065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13088</v>
      </c>
      <c r="C1665" t="s">
        <v>4840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7066</v>
      </c>
      <c r="C1666" t="s">
        <v>7067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7068</v>
      </c>
      <c r="C1667" t="s">
        <v>7069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7070</v>
      </c>
      <c r="C1668" t="s">
        <v>7071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7072</v>
      </c>
      <c r="C1669" t="s">
        <v>7073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7074</v>
      </c>
      <c r="C1670" t="s">
        <v>7075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13089</v>
      </c>
      <c r="C1671" t="s">
        <v>4840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7076</v>
      </c>
      <c r="C1672" t="s">
        <v>7077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7078</v>
      </c>
      <c r="C1673" t="s">
        <v>7079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13090</v>
      </c>
      <c r="C1674" t="s">
        <v>4840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7080</v>
      </c>
      <c r="C1675" t="s">
        <v>7081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13091</v>
      </c>
      <c r="C1676" t="s">
        <v>4840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7082</v>
      </c>
      <c r="C1677" t="s">
        <v>7083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13092</v>
      </c>
      <c r="C1678" t="s">
        <v>4840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7084</v>
      </c>
      <c r="C1679" t="s">
        <v>7085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13093</v>
      </c>
      <c r="C1680" t="s">
        <v>4840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7086</v>
      </c>
      <c r="C1681" t="s">
        <v>7087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13094</v>
      </c>
      <c r="C1682" t="s">
        <v>4840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7088</v>
      </c>
      <c r="C1683" t="s">
        <v>7089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13095</v>
      </c>
      <c r="C1684" t="s">
        <v>4840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7090</v>
      </c>
      <c r="C1685" t="s">
        <v>7091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7092</v>
      </c>
      <c r="C1686" t="s">
        <v>7093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13096</v>
      </c>
      <c r="C1687" t="s">
        <v>4840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7094</v>
      </c>
      <c r="C1688" t="s">
        <v>7095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7096</v>
      </c>
      <c r="C1689" t="s">
        <v>7097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13097</v>
      </c>
      <c r="C1690" t="s">
        <v>4840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7098</v>
      </c>
      <c r="C1691" t="s">
        <v>7099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7100</v>
      </c>
      <c r="C1692" t="s">
        <v>7101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13098</v>
      </c>
      <c r="C1693" t="s">
        <v>4840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7102</v>
      </c>
      <c r="C1694" t="s">
        <v>7103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7104</v>
      </c>
      <c r="C1695" t="s">
        <v>7105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7106</v>
      </c>
      <c r="C1696" t="s">
        <v>7107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13099</v>
      </c>
      <c r="C1697" t="s">
        <v>4840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7108</v>
      </c>
      <c r="C1698" t="s">
        <v>7109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13100</v>
      </c>
      <c r="C1699" t="s">
        <v>4840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7110</v>
      </c>
      <c r="C1700" t="s">
        <v>6444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7111</v>
      </c>
      <c r="C1701" t="s">
        <v>7112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13101</v>
      </c>
      <c r="C1702" t="s">
        <v>4840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7113</v>
      </c>
      <c r="C1703" t="s">
        <v>7114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7115</v>
      </c>
      <c r="C1704" t="s">
        <v>7116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7117</v>
      </c>
      <c r="C1705" t="s">
        <v>7118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7119</v>
      </c>
      <c r="C1706" t="s">
        <v>7120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7121</v>
      </c>
      <c r="C1707" t="s">
        <v>7122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7123</v>
      </c>
      <c r="C1708" t="s">
        <v>7124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13102</v>
      </c>
      <c r="C1709" t="s">
        <v>4840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7125</v>
      </c>
      <c r="C1710" t="s">
        <v>7126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14469</v>
      </c>
      <c r="C1711" t="s">
        <v>14470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7127</v>
      </c>
      <c r="C1712" t="s">
        <v>7128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7129</v>
      </c>
      <c r="C1713" t="s">
        <v>7130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7131</v>
      </c>
      <c r="C1714" t="s">
        <v>7132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14471</v>
      </c>
      <c r="C1715" t="s">
        <v>14472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7133</v>
      </c>
      <c r="C1716" t="s">
        <v>7134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7135</v>
      </c>
      <c r="C1717" t="s">
        <v>7136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13103</v>
      </c>
      <c r="C1718" t="s">
        <v>4840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7137</v>
      </c>
      <c r="C1719" t="s">
        <v>7138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7139</v>
      </c>
      <c r="C1720" t="s">
        <v>7140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7141</v>
      </c>
      <c r="C1721" t="s">
        <v>4840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7142</v>
      </c>
      <c r="C1722" t="s">
        <v>7143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13104</v>
      </c>
      <c r="C1723" t="s">
        <v>4840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7144</v>
      </c>
      <c r="C1724" t="s">
        <v>7145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7146</v>
      </c>
      <c r="C1725" t="s">
        <v>7147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7148</v>
      </c>
      <c r="C1726" t="s">
        <v>7149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13105</v>
      </c>
      <c r="C1727" t="s">
        <v>4840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7150</v>
      </c>
      <c r="C1728" t="s">
        <v>7151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7152</v>
      </c>
      <c r="C1729" t="s">
        <v>7153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7154</v>
      </c>
      <c r="C1730" t="s">
        <v>7155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7156</v>
      </c>
      <c r="C1731" t="s">
        <v>7157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7158</v>
      </c>
      <c r="C1732" t="s">
        <v>7159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13106</v>
      </c>
      <c r="C1733" t="s">
        <v>4840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7160</v>
      </c>
      <c r="C1734" t="s">
        <v>7161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7162</v>
      </c>
      <c r="C1735" t="s">
        <v>7163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13107</v>
      </c>
      <c r="C1736" t="s">
        <v>5492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13108</v>
      </c>
      <c r="C1737" t="s">
        <v>5492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7164</v>
      </c>
      <c r="C1738" t="s">
        <v>7165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13109</v>
      </c>
      <c r="C1739" t="s">
        <v>13110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13111</v>
      </c>
      <c r="C1740" t="s">
        <v>4840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7166</v>
      </c>
      <c r="C1741" t="s">
        <v>7167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13112</v>
      </c>
      <c r="C1742" t="s">
        <v>4840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7168</v>
      </c>
      <c r="C1743" t="s">
        <v>7169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13113</v>
      </c>
      <c r="C1744" t="s">
        <v>4840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7170</v>
      </c>
      <c r="C1745" t="s">
        <v>7171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13114</v>
      </c>
      <c r="C1746" t="s">
        <v>4840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7172</v>
      </c>
      <c r="C1747" t="s">
        <v>7173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13115</v>
      </c>
      <c r="C1748" t="s">
        <v>4840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7174</v>
      </c>
      <c r="C1749" t="s">
        <v>7175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13116</v>
      </c>
      <c r="C1750" t="s">
        <v>4840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7176</v>
      </c>
      <c r="C1751" t="s">
        <v>7177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13117</v>
      </c>
      <c r="C1752" t="s">
        <v>4840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7178</v>
      </c>
      <c r="C1753" t="s">
        <v>7179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14473</v>
      </c>
      <c r="C1754" t="s">
        <v>14474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14475</v>
      </c>
      <c r="C1755" t="s">
        <v>14476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7180</v>
      </c>
      <c r="C1756" t="s">
        <v>7181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7182</v>
      </c>
      <c r="C1757" t="s">
        <v>7183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7184</v>
      </c>
      <c r="C1758" t="s">
        <v>7185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7186</v>
      </c>
      <c r="C1759" t="s">
        <v>7187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7188</v>
      </c>
      <c r="C1760" t="s">
        <v>7189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13118</v>
      </c>
      <c r="C1761" t="s">
        <v>4840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7190</v>
      </c>
      <c r="C1762" t="s">
        <v>7191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7192</v>
      </c>
      <c r="C1763" t="s">
        <v>7193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7194</v>
      </c>
      <c r="C1764" t="s">
        <v>7195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7196</v>
      </c>
      <c r="C1765" t="s">
        <v>7197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13119</v>
      </c>
      <c r="C1766" t="s">
        <v>13120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7198</v>
      </c>
      <c r="C1767" t="s">
        <v>7199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7200</v>
      </c>
      <c r="C1768" t="s">
        <v>7201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7202</v>
      </c>
      <c r="C1769" t="s">
        <v>7203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7204</v>
      </c>
      <c r="C1770" t="s">
        <v>7205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7206</v>
      </c>
      <c r="C1771" t="s">
        <v>7207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13121</v>
      </c>
      <c r="C1772" t="s">
        <v>4840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7208</v>
      </c>
      <c r="C1773" t="s">
        <v>7209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13122</v>
      </c>
      <c r="C1774" t="s">
        <v>4840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7210</v>
      </c>
      <c r="C1775" t="s">
        <v>7211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7212</v>
      </c>
      <c r="C1776" t="s">
        <v>7213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7214</v>
      </c>
      <c r="C1777" t="s">
        <v>7215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7216</v>
      </c>
      <c r="C1778" t="s">
        <v>7217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7218</v>
      </c>
      <c r="C1779" t="s">
        <v>7219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7220</v>
      </c>
      <c r="C1780" t="s">
        <v>7221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7222</v>
      </c>
      <c r="C1781" t="s">
        <v>7223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7224</v>
      </c>
      <c r="C1782" t="s">
        <v>7225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7226</v>
      </c>
      <c r="C1783" t="s">
        <v>7227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13123</v>
      </c>
      <c r="C1784" t="s">
        <v>4840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7228</v>
      </c>
      <c r="C1785" t="s">
        <v>7229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7230</v>
      </c>
      <c r="C1786" t="s">
        <v>7231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7232</v>
      </c>
      <c r="C1787" t="s">
        <v>7233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13124</v>
      </c>
      <c r="C1788" t="s">
        <v>4840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7234</v>
      </c>
      <c r="C1789" t="s">
        <v>7235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13125</v>
      </c>
      <c r="C1790" t="s">
        <v>4840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7236</v>
      </c>
      <c r="C1791" t="s">
        <v>7237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7238</v>
      </c>
      <c r="C1792" t="s">
        <v>7239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7240</v>
      </c>
      <c r="C1793" t="s">
        <v>7241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13126</v>
      </c>
      <c r="C1794" t="s">
        <v>4840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7242</v>
      </c>
      <c r="C1795" t="s">
        <v>7243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13127</v>
      </c>
      <c r="C1796" t="s">
        <v>4840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7244</v>
      </c>
      <c r="C1797" t="s">
        <v>7245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7246</v>
      </c>
      <c r="C1798" t="s">
        <v>7247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7248</v>
      </c>
      <c r="C1799" t="s">
        <v>7249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7250</v>
      </c>
      <c r="C1800" t="s">
        <v>7251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7252</v>
      </c>
      <c r="C1801" t="s">
        <v>7253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7254</v>
      </c>
      <c r="C1802" t="s">
        <v>7255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13128</v>
      </c>
      <c r="C1803" t="s">
        <v>4840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7256</v>
      </c>
      <c r="C1804" t="s">
        <v>7257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13129</v>
      </c>
      <c r="C1805" t="s">
        <v>4840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7258</v>
      </c>
      <c r="C1806" t="s">
        <v>7259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13130</v>
      </c>
      <c r="C1807" t="s">
        <v>4840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7260</v>
      </c>
      <c r="C1808" t="s">
        <v>7261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7262</v>
      </c>
      <c r="C1809" t="s">
        <v>7263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7264</v>
      </c>
      <c r="C1810" t="s">
        <v>7265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7266</v>
      </c>
      <c r="C1811" t="s">
        <v>14477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13131</v>
      </c>
      <c r="C1812" t="s">
        <v>4840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7267</v>
      </c>
      <c r="C1813" t="s">
        <v>7268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13132</v>
      </c>
      <c r="C1814" t="s">
        <v>4840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7269</v>
      </c>
      <c r="C1815" t="s">
        <v>7270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13133</v>
      </c>
      <c r="C1816" t="s">
        <v>4840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7271</v>
      </c>
      <c r="C1817" t="s">
        <v>7272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7273</v>
      </c>
      <c r="C1818" t="s">
        <v>7274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13134</v>
      </c>
      <c r="C1819" t="s">
        <v>4840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7275</v>
      </c>
      <c r="C1820" t="s">
        <v>7276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7277</v>
      </c>
      <c r="C1821" t="s">
        <v>7278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7279</v>
      </c>
      <c r="C1822" t="s">
        <v>7280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7281</v>
      </c>
      <c r="C1823" t="s">
        <v>7282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7283</v>
      </c>
      <c r="C1824" t="s">
        <v>7284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7285</v>
      </c>
      <c r="C1825" t="s">
        <v>7286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7287</v>
      </c>
      <c r="C1826" t="s">
        <v>7288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7289</v>
      </c>
      <c r="C1827" t="s">
        <v>7290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7291</v>
      </c>
      <c r="C1828" t="s">
        <v>7292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7293</v>
      </c>
      <c r="C1829" t="s">
        <v>7294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7295</v>
      </c>
      <c r="C1830" t="s">
        <v>7296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7297</v>
      </c>
      <c r="C1831" t="s">
        <v>7298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7299</v>
      </c>
      <c r="C1832" t="s">
        <v>7300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7301</v>
      </c>
      <c r="C1833" t="s">
        <v>7302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7303</v>
      </c>
      <c r="C1834" t="s">
        <v>7304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7305</v>
      </c>
      <c r="C1835" t="s">
        <v>7306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7307</v>
      </c>
      <c r="C1836" t="s">
        <v>7308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13135</v>
      </c>
      <c r="C1837" t="s">
        <v>4840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7309</v>
      </c>
      <c r="C1838" t="s">
        <v>7310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13136</v>
      </c>
      <c r="C1839" t="s">
        <v>4840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7311</v>
      </c>
      <c r="C1840" t="s">
        <v>7312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7313</v>
      </c>
      <c r="C1841" t="s">
        <v>7314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7315</v>
      </c>
      <c r="C1842" t="s">
        <v>7316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13137</v>
      </c>
      <c r="C1843" t="s">
        <v>4840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7317</v>
      </c>
      <c r="C1844" t="s">
        <v>7318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7319</v>
      </c>
      <c r="C1845" t="s">
        <v>7320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7321</v>
      </c>
      <c r="C1846" t="s">
        <v>7322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7323</v>
      </c>
      <c r="C1847" t="s">
        <v>7324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7325</v>
      </c>
      <c r="C1848" t="s">
        <v>7326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7327</v>
      </c>
      <c r="C1849" t="s">
        <v>7328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7329</v>
      </c>
      <c r="C1850" t="s">
        <v>7330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7331</v>
      </c>
      <c r="C1851" t="s">
        <v>7332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13138</v>
      </c>
      <c r="C1852" t="s">
        <v>4840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7333</v>
      </c>
      <c r="C1853" t="s">
        <v>7334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7335</v>
      </c>
      <c r="C1854" t="s">
        <v>7336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7337</v>
      </c>
      <c r="C1855" t="s">
        <v>7338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13139</v>
      </c>
      <c r="C1856" t="s">
        <v>4840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7339</v>
      </c>
      <c r="C1857" t="s">
        <v>7340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13140</v>
      </c>
      <c r="C1858" t="s">
        <v>4840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7341</v>
      </c>
      <c r="C1859" t="s">
        <v>7342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13141</v>
      </c>
      <c r="C1860" t="s">
        <v>4840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7343</v>
      </c>
      <c r="C1861" t="s">
        <v>7344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13142</v>
      </c>
      <c r="C1862" t="s">
        <v>4840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7345</v>
      </c>
      <c r="C1863" t="s">
        <v>7346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13143</v>
      </c>
      <c r="C1864" t="s">
        <v>4840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7347</v>
      </c>
      <c r="C1865" t="s">
        <v>7348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7349</v>
      </c>
      <c r="C1866" t="s">
        <v>7350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7351</v>
      </c>
      <c r="C1867" t="s">
        <v>7352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13144</v>
      </c>
      <c r="C1868" t="s">
        <v>4840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7353</v>
      </c>
      <c r="C1869" t="s">
        <v>7354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13145</v>
      </c>
      <c r="C1870" t="s">
        <v>4840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7355</v>
      </c>
      <c r="C1871" t="s">
        <v>7356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7357</v>
      </c>
      <c r="C1872" t="s">
        <v>7358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13146</v>
      </c>
      <c r="C1873" t="s">
        <v>4840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7359</v>
      </c>
      <c r="C1874" t="s">
        <v>7360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13147</v>
      </c>
      <c r="C1875" t="s">
        <v>4840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7361</v>
      </c>
      <c r="C1876" t="s">
        <v>7362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13148</v>
      </c>
      <c r="C1877" t="s">
        <v>4840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7363</v>
      </c>
      <c r="C1878" t="s">
        <v>7364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7365</v>
      </c>
      <c r="C1879" t="s">
        <v>7366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13149</v>
      </c>
      <c r="C1880" t="s">
        <v>4840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7367</v>
      </c>
      <c r="C1881" t="s">
        <v>7368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7369</v>
      </c>
      <c r="C1882" t="s">
        <v>7370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13150</v>
      </c>
      <c r="C1883" t="s">
        <v>4840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7371</v>
      </c>
      <c r="C1884" t="s">
        <v>7372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13151</v>
      </c>
      <c r="C1885" t="s">
        <v>4840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7373</v>
      </c>
      <c r="C1886" t="s">
        <v>7374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13152</v>
      </c>
      <c r="C1887" t="s">
        <v>4840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7375</v>
      </c>
      <c r="C1888" t="s">
        <v>7376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13153</v>
      </c>
      <c r="C1889" t="s">
        <v>4840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7377</v>
      </c>
      <c r="C1890" t="s">
        <v>7378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13154</v>
      </c>
      <c r="C1891" t="s">
        <v>4840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7379</v>
      </c>
      <c r="C1892" t="s">
        <v>7380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7381</v>
      </c>
      <c r="C1893" t="s">
        <v>7382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7383</v>
      </c>
      <c r="C1894" t="s">
        <v>7384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13155</v>
      </c>
      <c r="C1895" t="s">
        <v>4840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7385</v>
      </c>
      <c r="C1896" t="s">
        <v>7386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13156</v>
      </c>
      <c r="C1897" t="s">
        <v>4840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7387</v>
      </c>
      <c r="C1898" t="s">
        <v>7388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13157</v>
      </c>
      <c r="C1899" t="s">
        <v>4840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7389</v>
      </c>
      <c r="C1900" t="s">
        <v>7390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13158</v>
      </c>
      <c r="C1901" t="s">
        <v>4840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7391</v>
      </c>
      <c r="C1902" t="s">
        <v>7392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13159</v>
      </c>
      <c r="C1903" t="s">
        <v>4840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7393</v>
      </c>
      <c r="C1904" t="s">
        <v>7394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7395</v>
      </c>
      <c r="C1905" t="s">
        <v>7396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13160</v>
      </c>
      <c r="C1906" t="s">
        <v>4840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7397</v>
      </c>
      <c r="C1907" t="s">
        <v>7398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7399</v>
      </c>
      <c r="C1908" t="s">
        <v>7400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7401</v>
      </c>
      <c r="C1909" t="s">
        <v>7402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13161</v>
      </c>
      <c r="C1910" t="s">
        <v>4840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7403</v>
      </c>
      <c r="C1911" t="s">
        <v>7404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13162</v>
      </c>
      <c r="C1912" t="s">
        <v>4840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7405</v>
      </c>
      <c r="C1913" t="s">
        <v>7406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13163</v>
      </c>
      <c r="C1914" t="s">
        <v>4840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7407</v>
      </c>
      <c r="C1915" t="s">
        <v>7408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13164</v>
      </c>
      <c r="C1916" t="s">
        <v>4840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7409</v>
      </c>
      <c r="C1917" t="s">
        <v>7410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13165</v>
      </c>
      <c r="C1918" t="s">
        <v>4840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7411</v>
      </c>
      <c r="C1919" t="s">
        <v>7412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7413</v>
      </c>
      <c r="C1920" t="s">
        <v>7414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7415</v>
      </c>
      <c r="C1921" t="s">
        <v>7416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13166</v>
      </c>
      <c r="C1922" t="s">
        <v>4840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7417</v>
      </c>
      <c r="C1923" t="s">
        <v>7418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7419</v>
      </c>
      <c r="C1924" t="s">
        <v>7420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7421</v>
      </c>
      <c r="C1925" t="s">
        <v>7422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13167</v>
      </c>
      <c r="C1926" t="s">
        <v>4840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7423</v>
      </c>
      <c r="C1927" t="s">
        <v>7424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13168</v>
      </c>
      <c r="C1928" t="s">
        <v>4840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7425</v>
      </c>
      <c r="C1929" t="s">
        <v>7426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13169</v>
      </c>
      <c r="C1930" t="s">
        <v>4840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7427</v>
      </c>
      <c r="C1931" t="s">
        <v>7428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13170</v>
      </c>
      <c r="C1932" t="s">
        <v>4840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7429</v>
      </c>
      <c r="C1933" t="s">
        <v>7430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13171</v>
      </c>
      <c r="C1934" t="s">
        <v>4840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7431</v>
      </c>
      <c r="C1935" t="s">
        <v>7432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13172</v>
      </c>
      <c r="C1936" t="s">
        <v>4840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7433</v>
      </c>
      <c r="C1937" t="s">
        <v>7434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13173</v>
      </c>
      <c r="C1938" t="s">
        <v>4840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7435</v>
      </c>
      <c r="C1939" t="s">
        <v>7436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13174</v>
      </c>
      <c r="C1940" t="s">
        <v>4840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7437</v>
      </c>
      <c r="C1941" t="s">
        <v>7438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13175</v>
      </c>
      <c r="C1942" t="s">
        <v>4840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7439</v>
      </c>
      <c r="C1943" t="s">
        <v>7440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13176</v>
      </c>
      <c r="C1944" t="s">
        <v>4840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7441</v>
      </c>
      <c r="C1945" t="s">
        <v>7442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7443</v>
      </c>
      <c r="C1946" t="s">
        <v>7444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7445</v>
      </c>
      <c r="C1947" t="s">
        <v>7446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7447</v>
      </c>
      <c r="C1948" t="s">
        <v>7448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7449</v>
      </c>
      <c r="C1949" t="s">
        <v>7450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7451</v>
      </c>
      <c r="C1950" t="s">
        <v>7452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13177</v>
      </c>
      <c r="C1951" t="s">
        <v>4840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7453</v>
      </c>
      <c r="C1952" t="s">
        <v>7454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7455</v>
      </c>
      <c r="C1953" t="s">
        <v>7456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13178</v>
      </c>
      <c r="C1954" t="s">
        <v>4840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7457</v>
      </c>
      <c r="C1955" t="s">
        <v>7458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7459</v>
      </c>
      <c r="C1956" t="s">
        <v>7460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7461</v>
      </c>
      <c r="C1957" t="s">
        <v>7462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7463</v>
      </c>
      <c r="C1958" t="s">
        <v>7464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7465</v>
      </c>
      <c r="C1959" t="s">
        <v>7466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7467</v>
      </c>
      <c r="C1960" t="s">
        <v>7468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13179</v>
      </c>
      <c r="C1961" t="s">
        <v>4840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7469</v>
      </c>
      <c r="C1962" t="s">
        <v>7470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7471</v>
      </c>
      <c r="C1963" t="s">
        <v>7472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7473</v>
      </c>
      <c r="C1964" t="s">
        <v>7474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7475</v>
      </c>
      <c r="C1965" t="s">
        <v>7476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7477</v>
      </c>
      <c r="C1966" t="s">
        <v>7478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7479</v>
      </c>
      <c r="C1967" t="s">
        <v>7480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13180</v>
      </c>
      <c r="C1968" t="s">
        <v>4840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7481</v>
      </c>
      <c r="C1969" t="s">
        <v>7482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7483</v>
      </c>
      <c r="C1970" t="s">
        <v>4940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7484</v>
      </c>
      <c r="C1971" t="s">
        <v>7485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13181</v>
      </c>
      <c r="C1972" t="s">
        <v>4840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7486</v>
      </c>
      <c r="C1973" t="s">
        <v>7487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7488</v>
      </c>
      <c r="C1974" t="s">
        <v>7489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13182</v>
      </c>
      <c r="C1975" t="s">
        <v>4840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7490</v>
      </c>
      <c r="C1976" t="s">
        <v>7491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13183</v>
      </c>
      <c r="C1977" t="s">
        <v>4840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7492</v>
      </c>
      <c r="C1978" t="s">
        <v>7493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13184</v>
      </c>
      <c r="C1979" t="s">
        <v>13185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7494</v>
      </c>
      <c r="C1980" t="s">
        <v>7495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7496</v>
      </c>
      <c r="C1981" t="s">
        <v>7497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7498</v>
      </c>
      <c r="C1982" t="s">
        <v>7499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7500</v>
      </c>
      <c r="C1983" t="s">
        <v>7501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13186</v>
      </c>
      <c r="C1984" t="s">
        <v>4840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7502</v>
      </c>
      <c r="C1985" t="s">
        <v>7503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7504</v>
      </c>
      <c r="C1986" t="s">
        <v>7505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13187</v>
      </c>
      <c r="C1987" t="s">
        <v>13188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7506</v>
      </c>
      <c r="C1988" t="s">
        <v>7507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13189</v>
      </c>
      <c r="C1989" t="s">
        <v>4840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7508</v>
      </c>
      <c r="C1990" t="s">
        <v>7509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13190</v>
      </c>
      <c r="C1991" t="s">
        <v>4840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7510</v>
      </c>
      <c r="C1992" t="s">
        <v>7511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7512</v>
      </c>
      <c r="C1993" t="s">
        <v>7513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7514</v>
      </c>
      <c r="C1994" t="s">
        <v>7515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7516</v>
      </c>
      <c r="C1995" t="s">
        <v>7517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7518</v>
      </c>
      <c r="C1996" t="s">
        <v>7519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7520</v>
      </c>
      <c r="C1997" t="s">
        <v>7521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7522</v>
      </c>
      <c r="C1998" t="s">
        <v>7523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7524</v>
      </c>
      <c r="C1999" t="s">
        <v>7525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7526</v>
      </c>
      <c r="C2000" t="s">
        <v>7527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7528</v>
      </c>
      <c r="C2001" t="s">
        <v>7529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13191</v>
      </c>
      <c r="C2002" t="s">
        <v>4840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7530</v>
      </c>
      <c r="C2003" t="s">
        <v>7531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13192</v>
      </c>
      <c r="C2004" t="s">
        <v>4840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7532</v>
      </c>
      <c r="C2005" t="s">
        <v>7533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7534</v>
      </c>
      <c r="C2006" t="s">
        <v>7535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7536</v>
      </c>
      <c r="C2007" t="s">
        <v>7537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7538</v>
      </c>
      <c r="C2008" t="s">
        <v>7539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7540</v>
      </c>
      <c r="C2009" t="s">
        <v>7541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7542</v>
      </c>
      <c r="C2010" t="s">
        <v>7543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7544</v>
      </c>
      <c r="C2011" t="s">
        <v>7545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13193</v>
      </c>
      <c r="C2012" t="s">
        <v>4840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7546</v>
      </c>
      <c r="C2013" t="s">
        <v>7547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7548</v>
      </c>
      <c r="C2014" t="s">
        <v>7549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7550</v>
      </c>
      <c r="C2015" t="s">
        <v>7551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13194</v>
      </c>
      <c r="C2016" t="s">
        <v>4840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7552</v>
      </c>
      <c r="C2017" t="s">
        <v>7553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7554</v>
      </c>
      <c r="C2018" t="s">
        <v>7555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13195</v>
      </c>
      <c r="C2019" t="s">
        <v>4840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7556</v>
      </c>
      <c r="C2020" t="s">
        <v>7557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7558</v>
      </c>
      <c r="C2021" t="s">
        <v>7559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7560</v>
      </c>
      <c r="C2022" t="s">
        <v>7561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13196</v>
      </c>
      <c r="C2023" t="s">
        <v>4840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7562</v>
      </c>
      <c r="C2024" t="s">
        <v>7563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7564</v>
      </c>
      <c r="C2025" t="s">
        <v>7565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13197</v>
      </c>
      <c r="C2026" t="s">
        <v>13198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7566</v>
      </c>
      <c r="C2027" t="s">
        <v>7567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7568</v>
      </c>
      <c r="C2028" t="s">
        <v>7569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7570</v>
      </c>
      <c r="C2029" t="s">
        <v>7571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7572</v>
      </c>
      <c r="C2030" t="s">
        <v>7573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7574</v>
      </c>
      <c r="C2031" t="s">
        <v>7575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7576</v>
      </c>
      <c r="C2032" t="s">
        <v>7577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7578</v>
      </c>
      <c r="C2033" t="s">
        <v>7579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7580</v>
      </c>
      <c r="C2034" t="s">
        <v>7581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13199</v>
      </c>
      <c r="C2035" t="s">
        <v>4840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7582</v>
      </c>
      <c r="C2036" t="s">
        <v>7583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7584</v>
      </c>
      <c r="C2037" t="s">
        <v>7585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7586</v>
      </c>
      <c r="C2038" t="s">
        <v>7587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13200</v>
      </c>
      <c r="C2039" t="s">
        <v>4840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7588</v>
      </c>
      <c r="C2040" t="s">
        <v>7589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7590</v>
      </c>
      <c r="C2041" t="s">
        <v>7591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7592</v>
      </c>
      <c r="C2042" t="s">
        <v>7593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7594</v>
      </c>
      <c r="C2043" t="s">
        <v>7595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7596</v>
      </c>
      <c r="C2044" t="s">
        <v>7597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13201</v>
      </c>
      <c r="C2045" t="s">
        <v>4840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7598</v>
      </c>
      <c r="C2046" t="s">
        <v>7599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7600</v>
      </c>
      <c r="C2047" t="s">
        <v>7601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7602</v>
      </c>
      <c r="C2048" t="s">
        <v>7603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7604</v>
      </c>
      <c r="C2049" t="s">
        <v>7605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7606</v>
      </c>
      <c r="C2050" t="s">
        <v>7607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13202</v>
      </c>
      <c r="C2051" t="s">
        <v>4840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7608</v>
      </c>
      <c r="C2052" t="s">
        <v>7609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7610</v>
      </c>
      <c r="C2053" t="s">
        <v>7611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13203</v>
      </c>
      <c r="C2054" t="s">
        <v>4840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7612</v>
      </c>
      <c r="C2055" t="s">
        <v>7613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13204</v>
      </c>
      <c r="C2056" t="s">
        <v>4840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7614</v>
      </c>
      <c r="C2057" t="s">
        <v>7615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13205</v>
      </c>
      <c r="C2058" t="s">
        <v>4840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7616</v>
      </c>
      <c r="C2059" t="s">
        <v>7617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13206</v>
      </c>
      <c r="C2060" t="s">
        <v>4840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7618</v>
      </c>
      <c r="C2061" t="s">
        <v>7619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13207</v>
      </c>
      <c r="C2062" t="s">
        <v>4840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7620</v>
      </c>
      <c r="C2063" t="s">
        <v>7621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14478</v>
      </c>
      <c r="C2064" t="s">
        <v>14479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7622</v>
      </c>
      <c r="C2065" t="s">
        <v>7623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7624</v>
      </c>
      <c r="C2066" t="s">
        <v>7625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14480</v>
      </c>
      <c r="C2067" t="s">
        <v>14481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13208</v>
      </c>
      <c r="C2068" t="s">
        <v>4840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7626</v>
      </c>
      <c r="C2069" t="s">
        <v>7627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13209</v>
      </c>
      <c r="C2070" t="s">
        <v>4840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7628</v>
      </c>
      <c r="C2071" t="s">
        <v>7629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7630</v>
      </c>
      <c r="C2072" t="s">
        <v>7631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7632</v>
      </c>
      <c r="C2073" t="s">
        <v>7633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13210</v>
      </c>
      <c r="C2074" t="s">
        <v>13211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14482</v>
      </c>
      <c r="C2075" t="s">
        <v>14483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7634</v>
      </c>
      <c r="C2076" t="s">
        <v>7635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7636</v>
      </c>
      <c r="C2077" t="s">
        <v>7637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7638</v>
      </c>
      <c r="C2078" t="s">
        <v>7639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13212</v>
      </c>
      <c r="C2079" t="s">
        <v>4840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7640</v>
      </c>
      <c r="C2080" t="s">
        <v>7641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13213</v>
      </c>
      <c r="C2081" t="s">
        <v>4840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7642</v>
      </c>
      <c r="C2082" t="s">
        <v>7643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13214</v>
      </c>
      <c r="C2083" t="s">
        <v>4840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7644</v>
      </c>
      <c r="C2084" t="s">
        <v>7645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7646</v>
      </c>
      <c r="C2085" t="s">
        <v>4840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13215</v>
      </c>
      <c r="C2086" t="s">
        <v>4840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7647</v>
      </c>
      <c r="C2087" t="s">
        <v>7648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13216</v>
      </c>
      <c r="C2088" t="s">
        <v>4840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7649</v>
      </c>
      <c r="C2089" t="s">
        <v>7650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13217</v>
      </c>
      <c r="C2090" t="s">
        <v>4840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7651</v>
      </c>
      <c r="C2091" t="s">
        <v>7652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7653</v>
      </c>
      <c r="C2092" t="s">
        <v>7654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13218</v>
      </c>
      <c r="C2093" t="s">
        <v>4840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7655</v>
      </c>
      <c r="C2094" t="s">
        <v>7656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7657</v>
      </c>
      <c r="C2095" t="s">
        <v>7658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13219</v>
      </c>
      <c r="C2096" t="s">
        <v>4840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7659</v>
      </c>
      <c r="C2097" t="s">
        <v>7660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7661</v>
      </c>
      <c r="C2098" t="s">
        <v>7662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7663</v>
      </c>
      <c r="C2099" t="s">
        <v>4840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7664</v>
      </c>
      <c r="C2100" t="s">
        <v>7665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7666</v>
      </c>
      <c r="C2101" t="s">
        <v>7667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13220</v>
      </c>
      <c r="C2102" t="s">
        <v>4840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7668</v>
      </c>
      <c r="C2103" t="s">
        <v>7669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13221</v>
      </c>
      <c r="C2104" t="s">
        <v>4840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7670</v>
      </c>
      <c r="C2105" t="s">
        <v>7671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13222</v>
      </c>
      <c r="C2106" t="s">
        <v>4840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7672</v>
      </c>
      <c r="C2107" t="s">
        <v>7673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7674</v>
      </c>
      <c r="C2108" t="s">
        <v>7675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7676</v>
      </c>
      <c r="C2109" t="s">
        <v>4840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13223</v>
      </c>
      <c r="C2110" t="s">
        <v>4840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7677</v>
      </c>
      <c r="C2111" t="s">
        <v>7678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13224</v>
      </c>
      <c r="C2112" t="s">
        <v>4840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7679</v>
      </c>
      <c r="C2113" t="s">
        <v>7680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13225</v>
      </c>
      <c r="C2114" t="s">
        <v>4840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7681</v>
      </c>
      <c r="C2115" t="s">
        <v>7682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7683</v>
      </c>
      <c r="C2116" t="s">
        <v>14484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7684</v>
      </c>
      <c r="C2117" t="s">
        <v>14485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7685</v>
      </c>
      <c r="C2118" t="s">
        <v>14486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7686</v>
      </c>
      <c r="C2119" t="s">
        <v>14487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7687</v>
      </c>
      <c r="C2120" t="s">
        <v>14488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7688</v>
      </c>
      <c r="C2121" t="s">
        <v>14489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7689</v>
      </c>
      <c r="C2122" t="s">
        <v>14490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7690</v>
      </c>
      <c r="C2123" t="s">
        <v>14491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7691</v>
      </c>
      <c r="C2124" t="s">
        <v>14492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7692</v>
      </c>
      <c r="C2125" t="s">
        <v>14493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7693</v>
      </c>
      <c r="C2126" t="s">
        <v>14494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7694</v>
      </c>
      <c r="C2127" t="s">
        <v>7695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7696</v>
      </c>
      <c r="C2128" t="s">
        <v>7697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7698</v>
      </c>
      <c r="C2129" t="s">
        <v>7699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7700</v>
      </c>
      <c r="C2130" t="s">
        <v>14495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7701</v>
      </c>
      <c r="C2131" t="s">
        <v>14495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7702</v>
      </c>
      <c r="C2132" t="s">
        <v>14496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7703</v>
      </c>
      <c r="C2133" t="s">
        <v>14497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7704</v>
      </c>
      <c r="C2134" t="s">
        <v>14498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7705</v>
      </c>
      <c r="C2135" t="s">
        <v>7706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14499</v>
      </c>
      <c r="C2136" t="s">
        <v>14500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14501</v>
      </c>
      <c r="C2137" t="s">
        <v>14502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14503</v>
      </c>
      <c r="C2138" t="s">
        <v>14500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14504</v>
      </c>
      <c r="C2139" t="s">
        <v>14505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14506</v>
      </c>
      <c r="C2140" t="s">
        <v>14507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7707</v>
      </c>
      <c r="C2141" t="s">
        <v>7708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13226</v>
      </c>
      <c r="C2142" t="s">
        <v>4840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7709</v>
      </c>
      <c r="C2143" t="s">
        <v>7710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13227</v>
      </c>
      <c r="C2144" t="s">
        <v>4840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7711</v>
      </c>
      <c r="C2145" t="s">
        <v>7712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13228</v>
      </c>
      <c r="C2146" t="s">
        <v>4840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7713</v>
      </c>
      <c r="C2147" t="s">
        <v>7714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13229</v>
      </c>
      <c r="C2148" t="s">
        <v>4840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7715</v>
      </c>
      <c r="C2149" t="s">
        <v>7716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13230</v>
      </c>
      <c r="C2150" t="s">
        <v>4840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7717</v>
      </c>
      <c r="C2151" t="s">
        <v>7718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13231</v>
      </c>
      <c r="C2152" t="s">
        <v>4840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7719</v>
      </c>
      <c r="C2153" t="s">
        <v>7720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13232</v>
      </c>
      <c r="C2154" t="s">
        <v>4840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7721</v>
      </c>
      <c r="C2155" t="s">
        <v>7722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13233</v>
      </c>
      <c r="C2156" t="s">
        <v>4840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7723</v>
      </c>
      <c r="C2157" t="s">
        <v>7724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13234</v>
      </c>
      <c r="C2158" t="s">
        <v>4840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7725</v>
      </c>
      <c r="C2159" t="s">
        <v>14508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13235</v>
      </c>
      <c r="C2160" t="s">
        <v>4840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7726</v>
      </c>
      <c r="C2161" t="s">
        <v>7727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13236</v>
      </c>
      <c r="C2162" t="s">
        <v>4840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7728</v>
      </c>
      <c r="C2163" t="s">
        <v>7729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13237</v>
      </c>
      <c r="C2164" t="s">
        <v>4840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7730</v>
      </c>
      <c r="C2165" t="s">
        <v>7731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13238</v>
      </c>
      <c r="C2166" t="s">
        <v>4840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7732</v>
      </c>
      <c r="C2167" t="s">
        <v>7733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13239</v>
      </c>
      <c r="C2168" t="s">
        <v>4840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7734</v>
      </c>
      <c r="C2169" t="s">
        <v>7735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7736</v>
      </c>
      <c r="C2170" t="s">
        <v>7737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7738</v>
      </c>
      <c r="C2171" t="s">
        <v>7739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7740</v>
      </c>
      <c r="C2172" t="s">
        <v>14509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7741</v>
      </c>
      <c r="C2173" t="s">
        <v>14510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14511</v>
      </c>
      <c r="C2174" t="s">
        <v>14512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13240</v>
      </c>
      <c r="C2175" t="s">
        <v>4840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7742</v>
      </c>
      <c r="C2176" t="s">
        <v>7743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13241</v>
      </c>
      <c r="C2177" t="s">
        <v>4840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7744</v>
      </c>
      <c r="C2178" t="s">
        <v>7745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7746</v>
      </c>
      <c r="C2179" t="s">
        <v>7747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7748</v>
      </c>
      <c r="C2180" t="s">
        <v>7749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13242</v>
      </c>
      <c r="C2181" t="s">
        <v>4840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7750</v>
      </c>
      <c r="C2182" t="s">
        <v>7751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13243</v>
      </c>
      <c r="C2183" t="s">
        <v>4840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7752</v>
      </c>
      <c r="C2184" t="s">
        <v>7753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7754</v>
      </c>
      <c r="C2185" t="s">
        <v>7755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7756</v>
      </c>
      <c r="C2186" t="s">
        <v>7757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7758</v>
      </c>
      <c r="C2187" t="s">
        <v>7759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7760</v>
      </c>
      <c r="C2188" t="s">
        <v>7761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7762</v>
      </c>
      <c r="C2189" t="s">
        <v>7763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13244</v>
      </c>
      <c r="C2190" t="s">
        <v>4840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7764</v>
      </c>
      <c r="C2191" t="s">
        <v>7765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13245</v>
      </c>
      <c r="C2192" t="s">
        <v>4840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7766</v>
      </c>
      <c r="C2193" t="s">
        <v>7767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7768</v>
      </c>
      <c r="C2194" t="s">
        <v>4840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7769</v>
      </c>
      <c r="C2195" t="s">
        <v>7770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13246</v>
      </c>
      <c r="C2196" t="s">
        <v>4840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7771</v>
      </c>
      <c r="C2197" t="s">
        <v>7772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7773</v>
      </c>
      <c r="C2198" t="s">
        <v>7774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13247</v>
      </c>
      <c r="C2199" t="s">
        <v>4840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7775</v>
      </c>
      <c r="C2200" t="s">
        <v>7776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13248</v>
      </c>
      <c r="C2201" t="s">
        <v>4840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7777</v>
      </c>
      <c r="C2202" t="s">
        <v>7778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13249</v>
      </c>
      <c r="C2203" t="s">
        <v>4840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7779</v>
      </c>
      <c r="C2204" t="s">
        <v>7780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13250</v>
      </c>
      <c r="C2205" t="s">
        <v>4840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7781</v>
      </c>
      <c r="C2206" t="s">
        <v>7782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7783</v>
      </c>
      <c r="C2207" t="s">
        <v>7784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7785</v>
      </c>
      <c r="C2208" t="s">
        <v>7786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13251</v>
      </c>
      <c r="C2209" t="s">
        <v>4840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7787</v>
      </c>
      <c r="C2210" t="s">
        <v>7788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7789</v>
      </c>
      <c r="C2211" t="s">
        <v>7790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7791</v>
      </c>
      <c r="C2212" t="s">
        <v>7792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7793</v>
      </c>
      <c r="C2213" t="s">
        <v>7794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7795</v>
      </c>
      <c r="C2214" t="s">
        <v>7796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7797</v>
      </c>
      <c r="C2215" t="s">
        <v>7798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7799</v>
      </c>
      <c r="C2216" t="s">
        <v>7800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7801</v>
      </c>
      <c r="C2217" t="s">
        <v>7802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7803</v>
      </c>
      <c r="C2218" t="s">
        <v>7804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7805</v>
      </c>
      <c r="C2219" t="s">
        <v>7806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7807</v>
      </c>
      <c r="C2220" t="s">
        <v>7808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7809</v>
      </c>
      <c r="C2221" t="s">
        <v>7810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7811</v>
      </c>
      <c r="C2222" t="s">
        <v>7812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7813</v>
      </c>
      <c r="C2223" t="s">
        <v>7814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7815</v>
      </c>
      <c r="C2224" t="s">
        <v>7816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7817</v>
      </c>
      <c r="C2225" t="s">
        <v>7818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13252</v>
      </c>
      <c r="C2226" t="s">
        <v>4840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7819</v>
      </c>
      <c r="C2227" t="s">
        <v>7820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7821</v>
      </c>
      <c r="C2228" t="s">
        <v>4840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7822</v>
      </c>
      <c r="C2229" t="s">
        <v>7823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13253</v>
      </c>
      <c r="C2230" t="s">
        <v>4840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7824</v>
      </c>
      <c r="C2231" t="s">
        <v>7825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7826</v>
      </c>
      <c r="C2232" t="s">
        <v>7827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7828</v>
      </c>
      <c r="C2233" t="s">
        <v>7829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7830</v>
      </c>
      <c r="C2234" t="s">
        <v>7831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7832</v>
      </c>
      <c r="C2235" t="s">
        <v>7833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7834</v>
      </c>
      <c r="C2236" t="s">
        <v>7835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7836</v>
      </c>
      <c r="C2237" t="s">
        <v>7837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7838</v>
      </c>
      <c r="C2238" t="s">
        <v>7839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7840</v>
      </c>
      <c r="C2239" t="s">
        <v>14513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7841</v>
      </c>
      <c r="C2240" t="s">
        <v>14514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7842</v>
      </c>
      <c r="C2241" t="s">
        <v>7843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7844</v>
      </c>
      <c r="C2242" t="s">
        <v>7845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7846</v>
      </c>
      <c r="C2243" t="s">
        <v>7847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7848</v>
      </c>
      <c r="C2244" t="s">
        <v>7849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7850</v>
      </c>
      <c r="C2245" t="s">
        <v>7851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13254</v>
      </c>
      <c r="C2246" t="s">
        <v>4840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7852</v>
      </c>
      <c r="C2247" t="s">
        <v>7853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7854</v>
      </c>
      <c r="C2248" t="s">
        <v>7855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7856</v>
      </c>
      <c r="C2249" t="s">
        <v>7857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7858</v>
      </c>
      <c r="C2250" t="s">
        <v>7859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7860</v>
      </c>
      <c r="C2251" t="s">
        <v>7861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7862</v>
      </c>
      <c r="C2252" t="s">
        <v>7863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7864</v>
      </c>
      <c r="C2253" t="s">
        <v>7865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7866</v>
      </c>
      <c r="C2254" t="s">
        <v>7867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7868</v>
      </c>
      <c r="C2255" t="s">
        <v>7869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13255</v>
      </c>
      <c r="C2256" t="s">
        <v>4840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7870</v>
      </c>
      <c r="C2257" t="s">
        <v>7871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14515</v>
      </c>
      <c r="C2258" t="s">
        <v>14516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14517</v>
      </c>
      <c r="C2259" t="s">
        <v>14518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14519</v>
      </c>
      <c r="C2260" t="s">
        <v>14520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14521</v>
      </c>
      <c r="C2261" t="s">
        <v>14522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13256</v>
      </c>
      <c r="C2262" t="s">
        <v>4840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7872</v>
      </c>
      <c r="C2263" t="s">
        <v>7873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7874</v>
      </c>
      <c r="C2264" t="s">
        <v>7875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7876</v>
      </c>
      <c r="C2265" t="s">
        <v>7877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7878</v>
      </c>
      <c r="C2266" t="s">
        <v>7879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7880</v>
      </c>
      <c r="C2267" t="s">
        <v>7881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7882</v>
      </c>
      <c r="C2268" t="s">
        <v>7883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7884</v>
      </c>
      <c r="C2269" t="s">
        <v>7885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13257</v>
      </c>
      <c r="C2270" t="s">
        <v>4840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7886</v>
      </c>
      <c r="C2271" t="s">
        <v>7887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13258</v>
      </c>
      <c r="C2272" t="s">
        <v>4840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7888</v>
      </c>
      <c r="C2273" t="s">
        <v>7889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13259</v>
      </c>
      <c r="C2274" t="s">
        <v>4840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7890</v>
      </c>
      <c r="C2275" t="s">
        <v>7891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13260</v>
      </c>
      <c r="C2276" t="s">
        <v>4840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7892</v>
      </c>
      <c r="C2277" t="s">
        <v>7893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13261</v>
      </c>
      <c r="C2278" t="s">
        <v>4840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7894</v>
      </c>
      <c r="C2279" t="s">
        <v>7895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13262</v>
      </c>
      <c r="C2280" t="s">
        <v>4840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7896</v>
      </c>
      <c r="C2281" t="s">
        <v>7897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7898</v>
      </c>
      <c r="C2282" t="s">
        <v>7899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13263</v>
      </c>
      <c r="C2283" t="s">
        <v>4840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7900</v>
      </c>
      <c r="C2284" t="s">
        <v>7901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13264</v>
      </c>
      <c r="C2285" t="s">
        <v>4840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7902</v>
      </c>
      <c r="C2286" t="s">
        <v>7903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13265</v>
      </c>
      <c r="C2287" t="s">
        <v>4840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7904</v>
      </c>
      <c r="C2288" t="s">
        <v>7905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13266</v>
      </c>
      <c r="C2289" t="s">
        <v>4840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7906</v>
      </c>
      <c r="C2290" t="s">
        <v>7907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13267</v>
      </c>
      <c r="C2291" t="s">
        <v>13268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14523</v>
      </c>
      <c r="C2292" t="s">
        <v>14524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14525</v>
      </c>
      <c r="C2293" t="s">
        <v>14526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14527</v>
      </c>
      <c r="C2294" t="s">
        <v>14528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14529</v>
      </c>
      <c r="C2295" t="s">
        <v>14530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7908</v>
      </c>
      <c r="C2296" t="s">
        <v>7909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13269</v>
      </c>
      <c r="C2297" t="s">
        <v>4840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7910</v>
      </c>
      <c r="C2298" t="s">
        <v>7911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13270</v>
      </c>
      <c r="C2299" t="s">
        <v>4840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7912</v>
      </c>
      <c r="C2300" t="s">
        <v>7913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13271</v>
      </c>
      <c r="C2301" t="s">
        <v>4840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7914</v>
      </c>
      <c r="C2302" t="s">
        <v>7915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13272</v>
      </c>
      <c r="C2303" t="s">
        <v>4840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7916</v>
      </c>
      <c r="C2304" t="s">
        <v>7917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13273</v>
      </c>
      <c r="C2305" t="s">
        <v>4840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7918</v>
      </c>
      <c r="C2306" t="s">
        <v>7919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13274</v>
      </c>
      <c r="C2307" t="s">
        <v>4840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7920</v>
      </c>
      <c r="C2308" t="s">
        <v>7921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7922</v>
      </c>
      <c r="C2309" t="s">
        <v>7923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7924</v>
      </c>
      <c r="C2310" t="s">
        <v>7925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13275</v>
      </c>
      <c r="C2311" t="s">
        <v>4840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7926</v>
      </c>
      <c r="C2312" t="s">
        <v>7927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7928</v>
      </c>
      <c r="C2313" t="s">
        <v>7929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7930</v>
      </c>
      <c r="C2314" t="s">
        <v>7931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13276</v>
      </c>
      <c r="C2315" t="s">
        <v>4840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7932</v>
      </c>
      <c r="C2316" t="s">
        <v>7933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13277</v>
      </c>
      <c r="C2317" t="s">
        <v>4840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7934</v>
      </c>
      <c r="C2318" t="s">
        <v>7935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13278</v>
      </c>
      <c r="C2319" t="s">
        <v>4840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7936</v>
      </c>
      <c r="C2320" t="s">
        <v>7937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13279</v>
      </c>
      <c r="C2321" t="s">
        <v>4840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7938</v>
      </c>
      <c r="C2322" t="s">
        <v>7939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7940</v>
      </c>
      <c r="C2323" t="s">
        <v>7941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13280</v>
      </c>
      <c r="C2324" t="s">
        <v>4840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7942</v>
      </c>
      <c r="C2325" t="s">
        <v>7943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7944</v>
      </c>
      <c r="C2326" t="s">
        <v>7945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7946</v>
      </c>
      <c r="C2327" t="s">
        <v>7947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13281</v>
      </c>
      <c r="C2328" t="s">
        <v>4840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7948</v>
      </c>
      <c r="C2329" t="s">
        <v>7949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13282</v>
      </c>
      <c r="C2330" t="s">
        <v>4840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7950</v>
      </c>
      <c r="C2331" t="s">
        <v>7951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13283</v>
      </c>
      <c r="C2332" t="s">
        <v>4840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7952</v>
      </c>
      <c r="C2333" t="s">
        <v>7953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13284</v>
      </c>
      <c r="C2334" t="s">
        <v>4840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7954</v>
      </c>
      <c r="C2335" t="s">
        <v>7955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13285</v>
      </c>
      <c r="C2336" t="s">
        <v>13286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7956</v>
      </c>
      <c r="C2337" t="s">
        <v>7957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13287</v>
      </c>
      <c r="C2338" t="s">
        <v>4840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7958</v>
      </c>
      <c r="C2339" t="s">
        <v>7959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13288</v>
      </c>
      <c r="C2340" t="s">
        <v>4840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7960</v>
      </c>
      <c r="C2341" t="s">
        <v>7961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7962</v>
      </c>
      <c r="C2342" t="s">
        <v>7963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7964</v>
      </c>
      <c r="C2343" t="s">
        <v>7965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13289</v>
      </c>
      <c r="C2344" t="s">
        <v>4840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7966</v>
      </c>
      <c r="C2345" t="s">
        <v>7967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13290</v>
      </c>
      <c r="C2346" t="s">
        <v>4840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7968</v>
      </c>
      <c r="C2347" t="s">
        <v>7969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13291</v>
      </c>
      <c r="C2348" t="s">
        <v>4840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7970</v>
      </c>
      <c r="C2349" t="s">
        <v>7971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7972</v>
      </c>
      <c r="C2350" t="s">
        <v>7973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7974</v>
      </c>
      <c r="C2351" t="s">
        <v>7975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7976</v>
      </c>
      <c r="C2352" t="s">
        <v>7977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7978</v>
      </c>
      <c r="C2353" t="s">
        <v>7979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7980</v>
      </c>
      <c r="C2354" t="s">
        <v>7981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7982</v>
      </c>
      <c r="C2355" t="s">
        <v>7983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13292</v>
      </c>
      <c r="C2356" t="s">
        <v>4840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7984</v>
      </c>
      <c r="C2357" t="s">
        <v>7985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13293</v>
      </c>
      <c r="C2358" t="s">
        <v>4840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7986</v>
      </c>
      <c r="C2359" t="s">
        <v>7987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13294</v>
      </c>
      <c r="C2360" t="s">
        <v>4840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7988</v>
      </c>
      <c r="C2361" t="s">
        <v>7989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7990</v>
      </c>
      <c r="C2362" t="s">
        <v>7991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7992</v>
      </c>
      <c r="C2363" t="s">
        <v>7993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13295</v>
      </c>
      <c r="C2364" t="s">
        <v>4840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7994</v>
      </c>
      <c r="C2365" t="s">
        <v>7995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7996</v>
      </c>
      <c r="C2366" t="s">
        <v>7997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7998</v>
      </c>
      <c r="C2367" t="s">
        <v>7999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8000</v>
      </c>
      <c r="C2368" t="s">
        <v>8001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8002</v>
      </c>
      <c r="C2369" t="s">
        <v>8003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8004</v>
      </c>
      <c r="C2370" t="s">
        <v>8005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8006</v>
      </c>
      <c r="C2371" t="s">
        <v>8007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8008</v>
      </c>
      <c r="C2372" t="s">
        <v>8009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13296</v>
      </c>
      <c r="C2373" t="s">
        <v>4840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8010</v>
      </c>
      <c r="C2374" t="s">
        <v>8011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8012</v>
      </c>
      <c r="C2375" t="s">
        <v>8013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8014</v>
      </c>
      <c r="C2376" t="s">
        <v>8015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8016</v>
      </c>
      <c r="C2377" t="s">
        <v>8017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13297</v>
      </c>
      <c r="C2378" t="s">
        <v>4840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8018</v>
      </c>
      <c r="C2379" t="s">
        <v>14531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8019</v>
      </c>
      <c r="C2380" t="s">
        <v>8020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8021</v>
      </c>
      <c r="C2381" t="s">
        <v>8022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8023</v>
      </c>
      <c r="C2382" t="s">
        <v>8024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8025</v>
      </c>
      <c r="C2383" t="s">
        <v>8026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8027</v>
      </c>
      <c r="C2384" t="s">
        <v>14532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8028</v>
      </c>
      <c r="C2385" t="s">
        <v>8029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8030</v>
      </c>
      <c r="C2386" t="s">
        <v>8031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8032</v>
      </c>
      <c r="C2387" t="s">
        <v>8033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8034</v>
      </c>
      <c r="C2388" t="s">
        <v>8035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8036</v>
      </c>
      <c r="C2389" t="s">
        <v>8037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13298</v>
      </c>
      <c r="C2390" t="s">
        <v>4840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8038</v>
      </c>
      <c r="C2391" t="s">
        <v>8039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8040</v>
      </c>
      <c r="C2392" t="s">
        <v>4840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8041</v>
      </c>
      <c r="C2393" t="s">
        <v>8042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8043</v>
      </c>
      <c r="C2394" t="s">
        <v>8044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8045</v>
      </c>
      <c r="C2395" t="s">
        <v>8046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13299</v>
      </c>
      <c r="C2396" t="s">
        <v>4840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8047</v>
      </c>
      <c r="C2397" t="s">
        <v>8048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8049</v>
      </c>
      <c r="C2398" t="s">
        <v>8050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8051</v>
      </c>
      <c r="C2399" t="s">
        <v>8052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8053</v>
      </c>
      <c r="C2400" t="s">
        <v>8054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8055</v>
      </c>
      <c r="C2401" t="s">
        <v>8056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8057</v>
      </c>
      <c r="C2402" t="s">
        <v>8058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8059</v>
      </c>
      <c r="C2403" t="s">
        <v>8060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8061</v>
      </c>
      <c r="C2404" t="s">
        <v>8062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8063</v>
      </c>
      <c r="C2405" t="s">
        <v>8064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8065</v>
      </c>
      <c r="C2406" t="s">
        <v>8066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8067</v>
      </c>
      <c r="C2407" t="s">
        <v>8068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8069</v>
      </c>
      <c r="C2408" t="s">
        <v>8070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8071</v>
      </c>
      <c r="C2409" t="s">
        <v>8072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8073</v>
      </c>
      <c r="C2410" t="s">
        <v>8074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8075</v>
      </c>
      <c r="C2411" t="s">
        <v>8076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8077</v>
      </c>
      <c r="C2412" t="s">
        <v>8078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8079</v>
      </c>
      <c r="C2413" t="s">
        <v>8080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8081</v>
      </c>
      <c r="C2414" t="s">
        <v>8082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13300</v>
      </c>
      <c r="C2415" t="s">
        <v>4840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8083</v>
      </c>
      <c r="C2416" t="s">
        <v>8084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8085</v>
      </c>
      <c r="C2417" t="s">
        <v>8086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8087</v>
      </c>
      <c r="C2418" t="s">
        <v>8088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8089</v>
      </c>
      <c r="C2419" t="s">
        <v>8090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8091</v>
      </c>
      <c r="C2420" t="s">
        <v>8092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13301</v>
      </c>
      <c r="C2421" t="s">
        <v>4840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8093</v>
      </c>
      <c r="C2422" t="s">
        <v>8094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14533</v>
      </c>
      <c r="C2423" t="s">
        <v>14534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14535</v>
      </c>
      <c r="C2424" t="s">
        <v>14536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14537</v>
      </c>
      <c r="C2425" t="s">
        <v>14538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14539</v>
      </c>
      <c r="C2426" t="s">
        <v>14540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14541</v>
      </c>
      <c r="C2427" t="s">
        <v>14542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14543</v>
      </c>
      <c r="C2428" t="s">
        <v>14544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14545</v>
      </c>
      <c r="C2429" t="s">
        <v>14546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8095</v>
      </c>
      <c r="C2430" t="s">
        <v>8096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8097</v>
      </c>
      <c r="C2431" t="s">
        <v>8098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8099</v>
      </c>
      <c r="C2432" t="s">
        <v>8100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8101</v>
      </c>
      <c r="C2433" t="s">
        <v>8102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8103</v>
      </c>
      <c r="C2434" t="s">
        <v>8104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8105</v>
      </c>
      <c r="C2435" t="s">
        <v>8106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8107</v>
      </c>
      <c r="C2436" t="s">
        <v>8108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8109</v>
      </c>
      <c r="C2437" t="s">
        <v>8110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8111</v>
      </c>
      <c r="C2438" t="s">
        <v>8112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8113</v>
      </c>
      <c r="C2439" t="s">
        <v>8114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8115</v>
      </c>
      <c r="C2440" t="s">
        <v>8116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8117</v>
      </c>
      <c r="C2441" t="s">
        <v>8118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8119</v>
      </c>
      <c r="C2442" t="s">
        <v>8120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8121</v>
      </c>
      <c r="C2443" t="s">
        <v>8122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8123</v>
      </c>
      <c r="C2444" t="s">
        <v>8124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8125</v>
      </c>
      <c r="C2445" t="s">
        <v>8126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8127</v>
      </c>
      <c r="C2446" t="s">
        <v>8128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8129</v>
      </c>
      <c r="C2447" t="s">
        <v>8130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8131</v>
      </c>
      <c r="C2448" t="s">
        <v>8132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8133</v>
      </c>
      <c r="C2449" t="s">
        <v>8134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8135</v>
      </c>
      <c r="C2450" t="s">
        <v>8136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8137</v>
      </c>
      <c r="C2451" t="s">
        <v>8138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8139</v>
      </c>
      <c r="C2452" t="s">
        <v>8140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8141</v>
      </c>
      <c r="C2453" t="s">
        <v>8142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8143</v>
      </c>
      <c r="C2454" t="s">
        <v>8144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8145</v>
      </c>
      <c r="C2455" t="s">
        <v>8146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13302</v>
      </c>
      <c r="C2456" t="s">
        <v>4840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8147</v>
      </c>
      <c r="C2457" t="s">
        <v>8148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8149</v>
      </c>
      <c r="C2458" t="s">
        <v>8150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8151</v>
      </c>
      <c r="C2459" t="s">
        <v>8152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8153</v>
      </c>
      <c r="C2460" t="s">
        <v>8154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8155</v>
      </c>
      <c r="C2461" t="s">
        <v>8156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8157</v>
      </c>
      <c r="C2462" t="s">
        <v>8158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8159</v>
      </c>
      <c r="C2463" t="s">
        <v>8160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13303</v>
      </c>
      <c r="C2464" t="s">
        <v>4840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8161</v>
      </c>
      <c r="C2465" t="s">
        <v>8162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8163</v>
      </c>
      <c r="C2466" t="s">
        <v>8164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13304</v>
      </c>
      <c r="C2467" t="s">
        <v>4840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8165</v>
      </c>
      <c r="C2468" t="s">
        <v>8166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8167</v>
      </c>
      <c r="C2469" t="s">
        <v>8168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13305</v>
      </c>
      <c r="C2470" t="s">
        <v>4840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8169</v>
      </c>
      <c r="C2471" t="s">
        <v>8170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13306</v>
      </c>
      <c r="C2472" t="s">
        <v>4840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8171</v>
      </c>
      <c r="C2473" t="s">
        <v>8172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13307</v>
      </c>
      <c r="C2474" t="s">
        <v>4840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8173</v>
      </c>
      <c r="C2475" t="s">
        <v>8174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13308</v>
      </c>
      <c r="C2476" t="s">
        <v>4840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8175</v>
      </c>
      <c r="C2477" t="s">
        <v>8176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8177</v>
      </c>
      <c r="C2478" t="s">
        <v>8178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13309</v>
      </c>
      <c r="C2479" t="s">
        <v>4840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8179</v>
      </c>
      <c r="C2480" t="s">
        <v>8180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8181</v>
      </c>
      <c r="C2481" t="s">
        <v>8182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8183</v>
      </c>
      <c r="C2482" t="s">
        <v>8184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8185</v>
      </c>
      <c r="C2483" t="s">
        <v>8186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8187</v>
      </c>
      <c r="C2484" t="s">
        <v>8188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8189</v>
      </c>
      <c r="C2485" t="s">
        <v>8190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13310</v>
      </c>
      <c r="C2486" t="s">
        <v>4840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8191</v>
      </c>
      <c r="C2487" t="s">
        <v>8192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13311</v>
      </c>
      <c r="C2488" t="s">
        <v>4840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8193</v>
      </c>
      <c r="C2489" t="s">
        <v>8194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13312</v>
      </c>
      <c r="C2490" t="s">
        <v>4840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8195</v>
      </c>
      <c r="C2491" t="s">
        <v>8196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13313</v>
      </c>
      <c r="C2492" t="s">
        <v>4840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8197</v>
      </c>
      <c r="C2493" t="s">
        <v>8198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8199</v>
      </c>
      <c r="C2494" t="s">
        <v>8200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13314</v>
      </c>
      <c r="C2495" t="s">
        <v>4840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8201</v>
      </c>
      <c r="C2496" t="s">
        <v>8202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8203</v>
      </c>
      <c r="C2497" t="s">
        <v>8204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8205</v>
      </c>
      <c r="C2498" t="s">
        <v>8206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13315</v>
      </c>
      <c r="C2499" t="s">
        <v>4840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8207</v>
      </c>
      <c r="C2500" t="s">
        <v>8208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8209</v>
      </c>
      <c r="C2501" t="s">
        <v>8210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13316</v>
      </c>
      <c r="C2502" t="s">
        <v>4840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8211</v>
      </c>
      <c r="C2503" t="s">
        <v>8212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8213</v>
      </c>
      <c r="C2504" t="s">
        <v>8214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13317</v>
      </c>
      <c r="C2505" t="s">
        <v>4840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8215</v>
      </c>
      <c r="C2506" t="s">
        <v>8216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8217</v>
      </c>
      <c r="C2507" t="s">
        <v>8218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8219</v>
      </c>
      <c r="C2508" t="s">
        <v>8220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13318</v>
      </c>
      <c r="C2509" t="s">
        <v>4840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8221</v>
      </c>
      <c r="C2510" t="s">
        <v>8222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13319</v>
      </c>
      <c r="C2511" t="s">
        <v>4840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8223</v>
      </c>
      <c r="C2512" t="s">
        <v>8224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13320</v>
      </c>
      <c r="C2513" t="s">
        <v>4840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8225</v>
      </c>
      <c r="C2514" t="s">
        <v>8226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13321</v>
      </c>
      <c r="C2515" t="s">
        <v>4840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8227</v>
      </c>
      <c r="C2516" t="s">
        <v>8228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8229</v>
      </c>
      <c r="C2517" t="s">
        <v>8230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8231</v>
      </c>
      <c r="C2518" t="s">
        <v>8232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13322</v>
      </c>
      <c r="C2519" t="s">
        <v>4840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8233</v>
      </c>
      <c r="C2520" t="s">
        <v>8234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13323</v>
      </c>
      <c r="C2521" t="s">
        <v>4840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8235</v>
      </c>
      <c r="C2522" t="s">
        <v>8236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8237</v>
      </c>
      <c r="C2523" t="s">
        <v>8238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8239</v>
      </c>
      <c r="C2524" t="s">
        <v>8240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8241</v>
      </c>
      <c r="C2525" t="s">
        <v>8242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13324</v>
      </c>
      <c r="C2526" t="s">
        <v>4840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8243</v>
      </c>
      <c r="C2527" t="s">
        <v>8244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13325</v>
      </c>
      <c r="C2528" t="s">
        <v>4840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8245</v>
      </c>
      <c r="C2529" t="s">
        <v>8246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13326</v>
      </c>
      <c r="C2530" t="s">
        <v>4840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8247</v>
      </c>
      <c r="C2531" t="s">
        <v>8248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8249</v>
      </c>
      <c r="C2532" t="s">
        <v>8250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13327</v>
      </c>
      <c r="C2533" t="s">
        <v>4840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8251</v>
      </c>
      <c r="C2534" t="s">
        <v>8252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13328</v>
      </c>
      <c r="C2535" t="s">
        <v>4840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8253</v>
      </c>
      <c r="C2536" t="s">
        <v>8254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13329</v>
      </c>
      <c r="C2537" t="s">
        <v>4840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8255</v>
      </c>
      <c r="C2538" t="s">
        <v>8256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8257</v>
      </c>
      <c r="C2539" t="s">
        <v>8258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14547</v>
      </c>
      <c r="C2540" t="s">
        <v>14548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8259</v>
      </c>
      <c r="C2541" t="s">
        <v>8260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8261</v>
      </c>
      <c r="C2542" t="s">
        <v>8262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13330</v>
      </c>
      <c r="C2543" t="s">
        <v>4840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8263</v>
      </c>
      <c r="C2544" t="s">
        <v>8264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8265</v>
      </c>
      <c r="C2545" t="s">
        <v>8266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8267</v>
      </c>
      <c r="C2546" t="s">
        <v>8268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13331</v>
      </c>
      <c r="C2547" t="s">
        <v>4840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8269</v>
      </c>
      <c r="C2548" t="s">
        <v>8270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13332</v>
      </c>
      <c r="C2549" t="s">
        <v>4840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8271</v>
      </c>
      <c r="C2550" t="s">
        <v>8272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13333</v>
      </c>
      <c r="C2551" t="s">
        <v>4840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8273</v>
      </c>
      <c r="C2552" t="s">
        <v>8274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8275</v>
      </c>
      <c r="C2553" t="s">
        <v>8276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8277</v>
      </c>
      <c r="C2554" t="s">
        <v>8278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8279</v>
      </c>
      <c r="C2555" t="s">
        <v>8280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13334</v>
      </c>
      <c r="C2556" t="s">
        <v>4840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8281</v>
      </c>
      <c r="C2557" t="s">
        <v>8282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8283</v>
      </c>
      <c r="C2558" t="s">
        <v>8284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8285</v>
      </c>
      <c r="C2559" t="s">
        <v>8286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13335</v>
      </c>
      <c r="C2560" t="s">
        <v>4840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8287</v>
      </c>
      <c r="C2561" t="s">
        <v>8288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8289</v>
      </c>
      <c r="C2562" t="s">
        <v>8290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8291</v>
      </c>
      <c r="C2563" t="s">
        <v>8292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8293</v>
      </c>
      <c r="C2564" t="s">
        <v>8294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8295</v>
      </c>
      <c r="C2565" t="s">
        <v>8296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8297</v>
      </c>
      <c r="C2566" t="s">
        <v>8298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8299</v>
      </c>
      <c r="C2567" t="s">
        <v>8300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8301</v>
      </c>
      <c r="C2568" t="s">
        <v>8302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8303</v>
      </c>
      <c r="C2569" t="s">
        <v>8304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8305</v>
      </c>
      <c r="C2570" t="s">
        <v>8306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8307</v>
      </c>
      <c r="C2571" t="s">
        <v>8308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8309</v>
      </c>
      <c r="C2572" t="s">
        <v>8310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13336</v>
      </c>
      <c r="C2573" t="s">
        <v>4840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8311</v>
      </c>
      <c r="C2574" t="s">
        <v>8312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8313</v>
      </c>
      <c r="C2575" t="s">
        <v>8314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13337</v>
      </c>
      <c r="C2576" t="s">
        <v>4840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8315</v>
      </c>
      <c r="C2577" t="s">
        <v>8316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8317</v>
      </c>
      <c r="C2578" t="s">
        <v>8318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13338</v>
      </c>
      <c r="C2579" t="s">
        <v>4840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8319</v>
      </c>
      <c r="C2580" t="s">
        <v>8320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8321</v>
      </c>
      <c r="C2581" t="s">
        <v>8322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8323</v>
      </c>
      <c r="C2582" t="s">
        <v>8324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8325</v>
      </c>
      <c r="C2583" t="s">
        <v>8326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8327</v>
      </c>
      <c r="C2584" t="s">
        <v>8328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8329</v>
      </c>
      <c r="C2585" t="s">
        <v>8330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8331</v>
      </c>
      <c r="C2586" t="s">
        <v>8332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8333</v>
      </c>
      <c r="C2587" t="s">
        <v>8334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8335</v>
      </c>
      <c r="C2588" t="s">
        <v>8336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8337</v>
      </c>
      <c r="C2589" t="s">
        <v>8338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8339</v>
      </c>
      <c r="C2590" t="s">
        <v>8340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8341</v>
      </c>
      <c r="C2591" t="s">
        <v>8342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8343</v>
      </c>
      <c r="C2592" t="s">
        <v>8344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13339</v>
      </c>
      <c r="C2593" t="s">
        <v>4840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8345</v>
      </c>
      <c r="C2594" t="s">
        <v>8346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8347</v>
      </c>
      <c r="C2595" t="s">
        <v>8348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14549</v>
      </c>
      <c r="C2596" t="s">
        <v>14550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13340</v>
      </c>
      <c r="C2597" t="s">
        <v>4840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8349</v>
      </c>
      <c r="C2598" t="s">
        <v>14551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8350</v>
      </c>
      <c r="C2599" t="s">
        <v>14552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8351</v>
      </c>
      <c r="C2600" t="s">
        <v>8352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8353</v>
      </c>
      <c r="C2601" t="s">
        <v>8354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8355</v>
      </c>
      <c r="C2602" t="s">
        <v>8356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8357</v>
      </c>
      <c r="C2603" t="s">
        <v>8358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13341</v>
      </c>
      <c r="C2604" t="s">
        <v>4840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8359</v>
      </c>
      <c r="C2605" t="s">
        <v>8360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8361</v>
      </c>
      <c r="C2606" t="s">
        <v>8362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8363</v>
      </c>
      <c r="C2607" t="s">
        <v>8364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8365</v>
      </c>
      <c r="C2608" t="s">
        <v>8366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8367</v>
      </c>
      <c r="C2609" t="s">
        <v>8368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8369</v>
      </c>
      <c r="C2610" t="s">
        <v>8370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8371</v>
      </c>
      <c r="C2611" t="s">
        <v>8372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8373</v>
      </c>
      <c r="C2612" t="s">
        <v>8372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8374</v>
      </c>
      <c r="C2613" t="s">
        <v>8375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8376</v>
      </c>
      <c r="C2614" t="s">
        <v>8377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8378</v>
      </c>
      <c r="C2615" t="s">
        <v>8379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8380</v>
      </c>
      <c r="C2616" t="s">
        <v>8381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8382</v>
      </c>
      <c r="C2617" t="s">
        <v>8383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8384</v>
      </c>
      <c r="C2618" t="s">
        <v>8385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13342</v>
      </c>
      <c r="C2619" t="s">
        <v>4840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8386</v>
      </c>
      <c r="C2620" t="s">
        <v>8387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13343</v>
      </c>
      <c r="C2621" t="s">
        <v>4840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8388</v>
      </c>
      <c r="C2622" t="s">
        <v>8389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8390</v>
      </c>
      <c r="C2623" t="s">
        <v>8391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8392</v>
      </c>
      <c r="C2624" t="s">
        <v>8393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8394</v>
      </c>
      <c r="C2625" t="s">
        <v>8395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13344</v>
      </c>
      <c r="C2626" t="s">
        <v>4840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8396</v>
      </c>
      <c r="C2627" t="s">
        <v>8397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8398</v>
      </c>
      <c r="C2628" t="s">
        <v>8399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13345</v>
      </c>
      <c r="C2629" t="s">
        <v>13346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8400</v>
      </c>
      <c r="C2630" t="s">
        <v>8401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8402</v>
      </c>
      <c r="C2631" t="s">
        <v>8403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8404</v>
      </c>
      <c r="C2632" t="s">
        <v>8405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13347</v>
      </c>
      <c r="C2633" t="s">
        <v>4840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8406</v>
      </c>
      <c r="C2634" t="s">
        <v>8407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8408</v>
      </c>
      <c r="C2635" t="s">
        <v>8409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8410</v>
      </c>
      <c r="C2636" t="s">
        <v>8411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8412</v>
      </c>
      <c r="C2637" t="s">
        <v>14553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8413</v>
      </c>
      <c r="C2638" t="s">
        <v>8414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8415</v>
      </c>
      <c r="C2639" t="s">
        <v>8416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8417</v>
      </c>
      <c r="C2640" t="s">
        <v>8418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8419</v>
      </c>
      <c r="C2641" t="s">
        <v>8420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8421</v>
      </c>
      <c r="C2642" t="s">
        <v>8422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13348</v>
      </c>
      <c r="C2643" t="s">
        <v>4840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8423</v>
      </c>
      <c r="C2644" t="s">
        <v>8424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8425</v>
      </c>
      <c r="C2645" t="s">
        <v>8426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13349</v>
      </c>
      <c r="C2646" t="s">
        <v>4840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8427</v>
      </c>
      <c r="C2647" t="s">
        <v>8428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13350</v>
      </c>
      <c r="C2648" t="s">
        <v>4840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8429</v>
      </c>
      <c r="C2649" t="s">
        <v>8430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8431</v>
      </c>
      <c r="C2650" t="s">
        <v>8432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8433</v>
      </c>
      <c r="C2651" t="s">
        <v>8434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8435</v>
      </c>
      <c r="C2652" t="s">
        <v>8436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8437</v>
      </c>
      <c r="C2653" t="s">
        <v>8438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13351</v>
      </c>
      <c r="C2654" t="s">
        <v>4840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8439</v>
      </c>
      <c r="C2655" t="s">
        <v>8440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8441</v>
      </c>
      <c r="C2656" t="s">
        <v>8442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8443</v>
      </c>
      <c r="C2657" t="s">
        <v>8444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8445</v>
      </c>
      <c r="C2658" t="s">
        <v>8446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8447</v>
      </c>
      <c r="C2659" t="s">
        <v>8448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8449</v>
      </c>
      <c r="C2660" t="s">
        <v>8450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13352</v>
      </c>
      <c r="C2661" t="s">
        <v>4840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8451</v>
      </c>
      <c r="C2662" t="s">
        <v>8452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8453</v>
      </c>
      <c r="C2663" t="s">
        <v>8454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8455</v>
      </c>
      <c r="C2664" t="s">
        <v>8456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8457</v>
      </c>
      <c r="C2665" t="s">
        <v>8458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8459</v>
      </c>
      <c r="C2666" t="s">
        <v>8460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8461</v>
      </c>
      <c r="C2667" t="s">
        <v>8462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8463</v>
      </c>
      <c r="C2668" t="s">
        <v>8464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8465</v>
      </c>
      <c r="C2669" t="s">
        <v>8466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8467</v>
      </c>
      <c r="C2670" t="s">
        <v>8468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8469</v>
      </c>
      <c r="C2671" t="s">
        <v>8470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8471</v>
      </c>
      <c r="C2672" t="s">
        <v>8472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8473</v>
      </c>
      <c r="C2673" t="s">
        <v>8474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8475</v>
      </c>
      <c r="C2674" t="s">
        <v>8476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8477</v>
      </c>
      <c r="C2675" t="s">
        <v>8478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13353</v>
      </c>
      <c r="C2676" t="s">
        <v>4840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8479</v>
      </c>
      <c r="C2677" t="s">
        <v>8480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13354</v>
      </c>
      <c r="C2678" t="s">
        <v>4840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8481</v>
      </c>
      <c r="C2679" t="s">
        <v>8482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8483</v>
      </c>
      <c r="C2680" t="s">
        <v>8484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13355</v>
      </c>
      <c r="C2681" t="s">
        <v>4840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8485</v>
      </c>
      <c r="C2682" t="s">
        <v>8486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8487</v>
      </c>
      <c r="C2683" t="s">
        <v>8488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13356</v>
      </c>
      <c r="C2684" t="s">
        <v>4840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8489</v>
      </c>
      <c r="C2685" t="s">
        <v>8490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13357</v>
      </c>
      <c r="C2686" t="s">
        <v>4840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8491</v>
      </c>
      <c r="C2687" t="s">
        <v>8492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13358</v>
      </c>
      <c r="C2688" t="s">
        <v>4840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8493</v>
      </c>
      <c r="C2689" t="s">
        <v>8494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8495</v>
      </c>
      <c r="C2690" t="s">
        <v>8496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8497</v>
      </c>
      <c r="C2691" t="s">
        <v>8498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13359</v>
      </c>
      <c r="C2692" t="s">
        <v>4840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8499</v>
      </c>
      <c r="C2693" t="s">
        <v>8500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8501</v>
      </c>
      <c r="C2694" t="s">
        <v>8502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13360</v>
      </c>
      <c r="C2695" t="s">
        <v>4840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8503</v>
      </c>
      <c r="C2696" t="s">
        <v>8504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8505</v>
      </c>
      <c r="C2697" t="s">
        <v>8506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14554</v>
      </c>
      <c r="C2698" t="s">
        <v>14555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8507</v>
      </c>
      <c r="C2699" t="s">
        <v>4840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8508</v>
      </c>
      <c r="C2700" t="s">
        <v>8509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13361</v>
      </c>
      <c r="C2701" t="s">
        <v>4840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8510</v>
      </c>
      <c r="C2702" t="s">
        <v>8511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13362</v>
      </c>
      <c r="C2703" t="s">
        <v>4840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8512</v>
      </c>
      <c r="C2704" t="s">
        <v>8513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13363</v>
      </c>
      <c r="C2705" t="s">
        <v>4840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8514</v>
      </c>
      <c r="C2706" t="s">
        <v>8515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8516</v>
      </c>
      <c r="C2707" t="s">
        <v>8517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8518</v>
      </c>
      <c r="C2708" t="s">
        <v>8519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13364</v>
      </c>
      <c r="C2709" t="s">
        <v>4840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8520</v>
      </c>
      <c r="C2710" t="s">
        <v>8521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13365</v>
      </c>
      <c r="C2711" t="s">
        <v>4840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8522</v>
      </c>
      <c r="C2712" t="s">
        <v>8523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14556</v>
      </c>
      <c r="C2713" t="s">
        <v>14557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14558</v>
      </c>
      <c r="C2714" t="s">
        <v>14559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8524</v>
      </c>
      <c r="C2715" t="s">
        <v>8525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13366</v>
      </c>
      <c r="C2716" t="s">
        <v>4840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8526</v>
      </c>
      <c r="C2717" t="s">
        <v>8527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8528</v>
      </c>
      <c r="C2718" t="s">
        <v>8529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8530</v>
      </c>
      <c r="C2719" t="s">
        <v>8531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8532</v>
      </c>
      <c r="C2720" t="s">
        <v>8533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13367</v>
      </c>
      <c r="C2721" t="s">
        <v>4840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8534</v>
      </c>
      <c r="C2722" t="s">
        <v>8535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8536</v>
      </c>
      <c r="C2723" t="s">
        <v>8537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8538</v>
      </c>
      <c r="C2724" t="s">
        <v>8539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8540</v>
      </c>
      <c r="C2725" t="s">
        <v>8541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8542</v>
      </c>
      <c r="C2726" t="s">
        <v>8543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8544</v>
      </c>
      <c r="C2727" t="s">
        <v>8545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8546</v>
      </c>
      <c r="C2728" t="s">
        <v>8547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8548</v>
      </c>
      <c r="C2729" t="s">
        <v>8549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13368</v>
      </c>
      <c r="C2730" t="s">
        <v>4840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8550</v>
      </c>
      <c r="C2731" t="s">
        <v>8551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8552</v>
      </c>
      <c r="C2732" t="s">
        <v>8553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13369</v>
      </c>
      <c r="C2733" t="s">
        <v>4840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8554</v>
      </c>
      <c r="C2734" t="s">
        <v>8555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13370</v>
      </c>
      <c r="C2735" t="s">
        <v>4840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8556</v>
      </c>
      <c r="C2736" t="s">
        <v>8557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13371</v>
      </c>
      <c r="C2737" t="s">
        <v>4840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8558</v>
      </c>
      <c r="C2738" t="s">
        <v>8559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13372</v>
      </c>
      <c r="C2739" t="s">
        <v>4840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8560</v>
      </c>
      <c r="C2740" t="s">
        <v>8561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13373</v>
      </c>
      <c r="C2741" t="s">
        <v>4840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8562</v>
      </c>
      <c r="C2742" t="s">
        <v>8563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8564</v>
      </c>
      <c r="C2743" t="s">
        <v>4840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8565</v>
      </c>
      <c r="C2744" t="s">
        <v>8566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8567</v>
      </c>
      <c r="C2745" t="s">
        <v>4840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8568</v>
      </c>
      <c r="C2746" t="s">
        <v>8569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8570</v>
      </c>
      <c r="C2747" t="s">
        <v>8571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13374</v>
      </c>
      <c r="C2748" t="s">
        <v>4840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8572</v>
      </c>
      <c r="C2749" t="s">
        <v>8573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8574</v>
      </c>
      <c r="C2750" t="s">
        <v>8575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13375</v>
      </c>
      <c r="C2751" t="s">
        <v>4840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8576</v>
      </c>
      <c r="C2752" t="s">
        <v>8577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8578</v>
      </c>
      <c r="C2753" t="s">
        <v>8579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8580</v>
      </c>
      <c r="C2754" t="s">
        <v>8581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8582</v>
      </c>
      <c r="C2755" t="s">
        <v>8583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8584</v>
      </c>
      <c r="C2756" t="s">
        <v>8585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8586</v>
      </c>
      <c r="C2757" t="s">
        <v>8587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13376</v>
      </c>
      <c r="C2758" t="s">
        <v>4840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8588</v>
      </c>
      <c r="C2759" t="s">
        <v>8589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13377</v>
      </c>
      <c r="C2760" t="s">
        <v>4840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8590</v>
      </c>
      <c r="C2761" t="s">
        <v>8591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13378</v>
      </c>
      <c r="C2762" t="s">
        <v>4840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8592</v>
      </c>
      <c r="C2763" t="s">
        <v>8593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8594</v>
      </c>
      <c r="C2764" t="s">
        <v>8595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13379</v>
      </c>
      <c r="C2765" t="s">
        <v>4840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8596</v>
      </c>
      <c r="C2766" t="s">
        <v>8597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13380</v>
      </c>
      <c r="C2767" t="s">
        <v>4840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8598</v>
      </c>
      <c r="C2768" t="s">
        <v>8599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13381</v>
      </c>
      <c r="C2769" t="s">
        <v>4840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8600</v>
      </c>
      <c r="C2770" t="s">
        <v>8601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13382</v>
      </c>
      <c r="C2771" t="s">
        <v>4840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8602</v>
      </c>
      <c r="C2772" t="s">
        <v>8603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8604</v>
      </c>
      <c r="C2773" t="s">
        <v>8605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8606</v>
      </c>
      <c r="C2774" t="s">
        <v>4840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8607</v>
      </c>
      <c r="C2775" t="s">
        <v>8608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8609</v>
      </c>
      <c r="C2776" t="s">
        <v>8610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8611</v>
      </c>
      <c r="C2777" t="s">
        <v>8612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8613</v>
      </c>
      <c r="C2778" t="s">
        <v>8614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8615</v>
      </c>
      <c r="C2779" t="s">
        <v>8616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13383</v>
      </c>
      <c r="C2780" t="s">
        <v>4840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8617</v>
      </c>
      <c r="C2781" t="s">
        <v>8618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8619</v>
      </c>
      <c r="C2782" t="s">
        <v>8620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8621</v>
      </c>
      <c r="C2783" t="s">
        <v>8622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13384</v>
      </c>
      <c r="C2784" t="s">
        <v>4840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8623</v>
      </c>
      <c r="C2785" t="s">
        <v>8624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8625</v>
      </c>
      <c r="C2786" t="s">
        <v>8626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8627</v>
      </c>
      <c r="C2787" t="s">
        <v>8628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8629</v>
      </c>
      <c r="C2788" t="s">
        <v>8630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8631</v>
      </c>
      <c r="C2789" t="s">
        <v>8632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8633</v>
      </c>
      <c r="C2790" t="s">
        <v>8634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8635</v>
      </c>
      <c r="C2791" t="s">
        <v>8636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8637</v>
      </c>
      <c r="C2792" t="s">
        <v>8638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8639</v>
      </c>
      <c r="C2793" t="s">
        <v>8640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8641</v>
      </c>
      <c r="C2794" t="s">
        <v>8642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8643</v>
      </c>
      <c r="C2795" t="s">
        <v>8644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8645</v>
      </c>
      <c r="C2796" t="s">
        <v>8646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13385</v>
      </c>
      <c r="C2797" t="s">
        <v>4840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8647</v>
      </c>
      <c r="C2798" t="s">
        <v>4840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8648</v>
      </c>
      <c r="C2799" t="s">
        <v>8649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8650</v>
      </c>
      <c r="C2800" t="s">
        <v>8651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8652</v>
      </c>
      <c r="C2801" t="s">
        <v>8653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13386</v>
      </c>
      <c r="C2802" t="s">
        <v>4840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8654</v>
      </c>
      <c r="C2803" t="s">
        <v>8655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13387</v>
      </c>
      <c r="C2804" t="s">
        <v>4840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8656</v>
      </c>
      <c r="C2805" t="s">
        <v>8657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8658</v>
      </c>
      <c r="C2806" t="s">
        <v>8659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8660</v>
      </c>
      <c r="C2807" t="s">
        <v>4840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8661</v>
      </c>
      <c r="C2808" t="s">
        <v>8662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13388</v>
      </c>
      <c r="C2809" t="s">
        <v>4840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8663</v>
      </c>
      <c r="C2810" t="s">
        <v>8664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8665</v>
      </c>
      <c r="C2811" t="s">
        <v>4840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8666</v>
      </c>
      <c r="C2812" t="s">
        <v>8667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8668</v>
      </c>
      <c r="C2813" t="s">
        <v>4840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8669</v>
      </c>
      <c r="C2814" t="s">
        <v>14560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8670</v>
      </c>
      <c r="C2815" t="s">
        <v>8671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8672</v>
      </c>
      <c r="C2816" t="s">
        <v>8673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8674</v>
      </c>
      <c r="C2817" t="s">
        <v>8675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8676</v>
      </c>
      <c r="C2818" t="s">
        <v>8677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8678</v>
      </c>
      <c r="C2819" t="s">
        <v>8679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13389</v>
      </c>
      <c r="C2820" t="s">
        <v>4840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8680</v>
      </c>
      <c r="C2821" t="s">
        <v>8681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8682</v>
      </c>
      <c r="C2822" t="s">
        <v>8683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8684</v>
      </c>
      <c r="C2823" t="s">
        <v>4840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8685</v>
      </c>
      <c r="C2824" t="s">
        <v>8686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8687</v>
      </c>
      <c r="C2825" t="s">
        <v>8688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14561</v>
      </c>
      <c r="C2826" t="s">
        <v>14562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8689</v>
      </c>
      <c r="C2827" t="s">
        <v>4840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8690</v>
      </c>
      <c r="C2828" t="s">
        <v>8691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8692</v>
      </c>
      <c r="C2829" t="s">
        <v>8693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13390</v>
      </c>
      <c r="C2830" t="s">
        <v>4840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8694</v>
      </c>
      <c r="C2831" t="s">
        <v>8695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13391</v>
      </c>
      <c r="C2832" t="s">
        <v>4840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8696</v>
      </c>
      <c r="C2833" t="s">
        <v>8697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13392</v>
      </c>
      <c r="C2834" t="s">
        <v>4840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8698</v>
      </c>
      <c r="C2835" t="s">
        <v>8699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8700</v>
      </c>
      <c r="C2836" t="s">
        <v>8701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13393</v>
      </c>
      <c r="C2837" t="s">
        <v>4840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8702</v>
      </c>
      <c r="C2838" t="s">
        <v>8703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8704</v>
      </c>
      <c r="C2839" t="s">
        <v>8705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8706</v>
      </c>
      <c r="C2840" t="s">
        <v>8707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8708</v>
      </c>
      <c r="C2841" t="s">
        <v>8709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8710</v>
      </c>
      <c r="C2842" t="s">
        <v>8711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8712</v>
      </c>
      <c r="C2843" t="s">
        <v>8713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13394</v>
      </c>
      <c r="C2844" t="s">
        <v>4840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8714</v>
      </c>
      <c r="C2845" t="s">
        <v>8715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8716</v>
      </c>
      <c r="C2846" t="s">
        <v>8717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13395</v>
      </c>
      <c r="C2847" t="s">
        <v>4840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8718</v>
      </c>
      <c r="C2848" t="s">
        <v>8719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8720</v>
      </c>
      <c r="C2849" t="s">
        <v>8721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8722</v>
      </c>
      <c r="C2850" t="s">
        <v>8723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8724</v>
      </c>
      <c r="C2851" t="s">
        <v>8725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8726</v>
      </c>
      <c r="C2852" t="s">
        <v>4840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8727</v>
      </c>
      <c r="C2853" t="s">
        <v>8728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13396</v>
      </c>
      <c r="C2854" t="s">
        <v>4840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8729</v>
      </c>
      <c r="C2855" t="s">
        <v>8730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13397</v>
      </c>
      <c r="C2856" t="s">
        <v>4840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8731</v>
      </c>
      <c r="C2857" t="s">
        <v>8732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13398</v>
      </c>
      <c r="C2858" t="s">
        <v>4840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8733</v>
      </c>
      <c r="C2859" t="s">
        <v>8734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8735</v>
      </c>
      <c r="C2860" t="s">
        <v>8736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8737</v>
      </c>
      <c r="C2861" t="s">
        <v>8738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13399</v>
      </c>
      <c r="C2862" t="s">
        <v>4840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8739</v>
      </c>
      <c r="C2863" t="s">
        <v>8740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13400</v>
      </c>
      <c r="C2864" t="s">
        <v>4840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8741</v>
      </c>
      <c r="C2865" t="s">
        <v>8742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8743</v>
      </c>
      <c r="C2866" t="s">
        <v>8744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8745</v>
      </c>
      <c r="C2867" t="s">
        <v>8746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8747</v>
      </c>
      <c r="C2868" t="s">
        <v>8748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8749</v>
      </c>
      <c r="C2869" t="s">
        <v>8750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8751</v>
      </c>
      <c r="C2870" t="s">
        <v>8752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13401</v>
      </c>
      <c r="C2871" t="s">
        <v>4840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8753</v>
      </c>
      <c r="C2872" t="s">
        <v>8754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13402</v>
      </c>
      <c r="C2873" t="s">
        <v>4840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8755</v>
      </c>
      <c r="C2874" t="s">
        <v>8756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8757</v>
      </c>
      <c r="C2875" t="s">
        <v>8758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14563</v>
      </c>
      <c r="C2876" t="s">
        <v>14564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8759</v>
      </c>
      <c r="C2877" t="s">
        <v>8760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8761</v>
      </c>
      <c r="C2878" t="s">
        <v>4840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8762</v>
      </c>
      <c r="C2879" t="s">
        <v>8763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13403</v>
      </c>
      <c r="C2880" t="s">
        <v>4840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8764</v>
      </c>
      <c r="C2881" t="s">
        <v>8765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8766</v>
      </c>
      <c r="C2882" t="s">
        <v>8767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8768</v>
      </c>
      <c r="C2883" t="s">
        <v>8769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8770</v>
      </c>
      <c r="C2884" t="s">
        <v>4840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8771</v>
      </c>
      <c r="C2885" t="s">
        <v>8772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13404</v>
      </c>
      <c r="C2886" t="s">
        <v>4840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8773</v>
      </c>
      <c r="C2887" t="s">
        <v>8774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8775</v>
      </c>
      <c r="C2888" t="s">
        <v>8776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8777</v>
      </c>
      <c r="C2889" t="s">
        <v>8778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8779</v>
      </c>
      <c r="C2890" t="s">
        <v>8780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13405</v>
      </c>
      <c r="C2891" t="s">
        <v>4840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8781</v>
      </c>
      <c r="C2892" t="s">
        <v>8782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8783</v>
      </c>
      <c r="C2893" t="s">
        <v>8784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8785</v>
      </c>
      <c r="C2894" t="s">
        <v>8786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8787</v>
      </c>
      <c r="C2895" t="s">
        <v>8788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8789</v>
      </c>
      <c r="C2896" t="s">
        <v>8790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13406</v>
      </c>
      <c r="C2897" t="s">
        <v>4840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8791</v>
      </c>
      <c r="C2898" t="s">
        <v>8792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8793</v>
      </c>
      <c r="C2899" t="s">
        <v>8794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13407</v>
      </c>
      <c r="C2900" t="s">
        <v>4840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8795</v>
      </c>
      <c r="C2901" t="s">
        <v>8796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13408</v>
      </c>
      <c r="C2902" t="s">
        <v>4840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8797</v>
      </c>
      <c r="C2903" t="s">
        <v>8798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8799</v>
      </c>
      <c r="C2904" t="s">
        <v>8800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8801</v>
      </c>
      <c r="C2905" t="s">
        <v>8802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13409</v>
      </c>
      <c r="C2906" t="s">
        <v>4840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8803</v>
      </c>
      <c r="C2907" t="s">
        <v>8804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8805</v>
      </c>
      <c r="C2908" t="s">
        <v>8806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8807</v>
      </c>
      <c r="C2909" t="s">
        <v>8808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13410</v>
      </c>
      <c r="C2910" t="s">
        <v>4840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8809</v>
      </c>
      <c r="C2911" t="s">
        <v>8810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13411</v>
      </c>
      <c r="C2912" t="s">
        <v>4840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8811</v>
      </c>
      <c r="C2913" t="s">
        <v>8812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8813</v>
      </c>
      <c r="C2914" t="s">
        <v>8814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8815</v>
      </c>
      <c r="C2915" t="s">
        <v>8816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8817</v>
      </c>
      <c r="C2916" t="s">
        <v>8818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13412</v>
      </c>
      <c r="C2917" t="s">
        <v>4840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8819</v>
      </c>
      <c r="C2918" t="s">
        <v>8820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8821</v>
      </c>
      <c r="C2919" t="s">
        <v>8822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8823</v>
      </c>
      <c r="C2920" t="s">
        <v>8824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8825</v>
      </c>
      <c r="C2921" t="s">
        <v>8826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8827</v>
      </c>
      <c r="C2922" t="s">
        <v>8828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8829</v>
      </c>
      <c r="C2923" t="s">
        <v>8830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8831</v>
      </c>
      <c r="C2924" t="s">
        <v>8832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8833</v>
      </c>
      <c r="C2925" t="s">
        <v>8834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8835</v>
      </c>
      <c r="C2926" t="s">
        <v>8836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13413</v>
      </c>
      <c r="C2927" t="s">
        <v>4840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8837</v>
      </c>
      <c r="C2928" t="s">
        <v>8838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8839</v>
      </c>
      <c r="C2929" t="s">
        <v>8840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8841</v>
      </c>
      <c r="C2930" t="s">
        <v>8842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13414</v>
      </c>
      <c r="C2931" t="s">
        <v>4840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8843</v>
      </c>
      <c r="C2932" t="s">
        <v>8844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8845</v>
      </c>
      <c r="C2933" t="s">
        <v>8846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8847</v>
      </c>
      <c r="C2934" t="s">
        <v>8848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8849</v>
      </c>
      <c r="C2935" t="s">
        <v>8850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13415</v>
      </c>
      <c r="C2936" t="s">
        <v>4840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8851</v>
      </c>
      <c r="C2937" t="s">
        <v>8852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8853</v>
      </c>
      <c r="C2938" t="s">
        <v>8854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8855</v>
      </c>
      <c r="C2939" t="s">
        <v>8856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8857</v>
      </c>
      <c r="C2940" t="s">
        <v>8858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8859</v>
      </c>
      <c r="C2941" t="s">
        <v>8860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8861</v>
      </c>
      <c r="C2942" t="s">
        <v>8862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8863</v>
      </c>
      <c r="C2943" t="s">
        <v>8864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8865</v>
      </c>
      <c r="C2944" t="s">
        <v>8866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8867</v>
      </c>
      <c r="C2945" t="s">
        <v>8868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8869</v>
      </c>
      <c r="C2946" t="s">
        <v>8870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8871</v>
      </c>
      <c r="C2947" t="s">
        <v>8872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13416</v>
      </c>
      <c r="C2948" t="s">
        <v>4840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8873</v>
      </c>
      <c r="C2949" t="s">
        <v>8874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13417</v>
      </c>
      <c r="C2950" t="s">
        <v>4840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8875</v>
      </c>
      <c r="C2951" t="s">
        <v>8876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8877</v>
      </c>
      <c r="C2952" t="s">
        <v>4840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8878</v>
      </c>
      <c r="C2953" t="s">
        <v>8879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8880</v>
      </c>
      <c r="C2954" t="s">
        <v>8881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13418</v>
      </c>
      <c r="C2955" t="s">
        <v>4840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8882</v>
      </c>
      <c r="C2956" t="s">
        <v>8883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8884</v>
      </c>
      <c r="C2957" t="s">
        <v>8885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8886</v>
      </c>
      <c r="C2958" t="s">
        <v>8887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8888</v>
      </c>
      <c r="C2959" t="s">
        <v>8889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8890</v>
      </c>
      <c r="C2960" t="s">
        <v>8891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8892</v>
      </c>
      <c r="C2961" t="s">
        <v>8893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8894</v>
      </c>
      <c r="C2962" t="s">
        <v>8895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8896</v>
      </c>
      <c r="C2963" t="s">
        <v>8897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8898</v>
      </c>
      <c r="C2964" t="s">
        <v>8899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8900</v>
      </c>
      <c r="C2965" t="s">
        <v>8901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13419</v>
      </c>
      <c r="C2966" t="s">
        <v>4840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8902</v>
      </c>
      <c r="C2967" t="s">
        <v>8903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13420</v>
      </c>
      <c r="C2968" t="s">
        <v>4840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8904</v>
      </c>
      <c r="C2969" t="s">
        <v>8905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8906</v>
      </c>
      <c r="C2970" t="s">
        <v>8907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8908</v>
      </c>
      <c r="C2971" t="s">
        <v>8909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13421</v>
      </c>
      <c r="C2972" t="s">
        <v>4840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8910</v>
      </c>
      <c r="C2973" t="s">
        <v>8911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13422</v>
      </c>
      <c r="C2974" t="s">
        <v>4840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8912</v>
      </c>
      <c r="C2975" t="s">
        <v>8913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13423</v>
      </c>
      <c r="C2976" t="s">
        <v>4840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8914</v>
      </c>
      <c r="C2977" t="s">
        <v>8915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13424</v>
      </c>
      <c r="C2978" t="s">
        <v>4840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8916</v>
      </c>
      <c r="C2979" t="s">
        <v>8917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8918</v>
      </c>
      <c r="C2980" t="s">
        <v>8919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8920</v>
      </c>
      <c r="C2981" t="s">
        <v>8921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8922</v>
      </c>
      <c r="C2982" t="s">
        <v>8923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8924</v>
      </c>
      <c r="C2983" t="s">
        <v>8925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8926</v>
      </c>
      <c r="C2984" t="s">
        <v>8927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13425</v>
      </c>
      <c r="C2985" t="s">
        <v>4840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8928</v>
      </c>
      <c r="C2986" t="s">
        <v>8929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13426</v>
      </c>
      <c r="C2987" t="s">
        <v>4840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8930</v>
      </c>
      <c r="C2988" t="s">
        <v>8931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8932</v>
      </c>
      <c r="C2989" t="s">
        <v>8933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8934</v>
      </c>
      <c r="C2990" t="s">
        <v>8935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8936</v>
      </c>
      <c r="C2991" t="s">
        <v>8937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8938</v>
      </c>
      <c r="C2992" t="s">
        <v>8939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8940</v>
      </c>
      <c r="C2993" t="s">
        <v>8941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8942</v>
      </c>
      <c r="C2994" t="s">
        <v>8943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8944</v>
      </c>
      <c r="C2995" t="s">
        <v>8945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13427</v>
      </c>
      <c r="C2996" t="s">
        <v>4840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8946</v>
      </c>
      <c r="C2997" t="s">
        <v>8947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8948</v>
      </c>
      <c r="C2998" t="s">
        <v>8949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8950</v>
      </c>
      <c r="C2999" t="s">
        <v>8951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13428</v>
      </c>
      <c r="C3000" t="s">
        <v>4840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8952</v>
      </c>
      <c r="C3001" t="s">
        <v>8953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8954</v>
      </c>
      <c r="C3002" t="s">
        <v>8955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8956</v>
      </c>
      <c r="C3003" t="s">
        <v>8957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8958</v>
      </c>
      <c r="C3004" t="s">
        <v>8959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8960</v>
      </c>
      <c r="C3005" t="s">
        <v>8961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8962</v>
      </c>
      <c r="C3006" t="s">
        <v>8963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8964</v>
      </c>
      <c r="C3007" t="s">
        <v>8965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8966</v>
      </c>
      <c r="C3008" t="s">
        <v>8967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8968</v>
      </c>
      <c r="C3009" t="s">
        <v>8969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8970</v>
      </c>
      <c r="C3010" t="s">
        <v>8971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13429</v>
      </c>
      <c r="C3011" t="s">
        <v>4840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8972</v>
      </c>
      <c r="C3012" t="s">
        <v>8973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13430</v>
      </c>
      <c r="C3013" t="s">
        <v>4840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8974</v>
      </c>
      <c r="C3014" t="s">
        <v>8975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8976</v>
      </c>
      <c r="C3015" t="s">
        <v>8977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8978</v>
      </c>
      <c r="C3016" t="s">
        <v>8979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13431</v>
      </c>
      <c r="C3017" t="s">
        <v>4840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8980</v>
      </c>
      <c r="C3018" t="s">
        <v>8981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8982</v>
      </c>
      <c r="C3019" t="s">
        <v>8983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13432</v>
      </c>
      <c r="C3020" t="s">
        <v>4840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8984</v>
      </c>
      <c r="C3021" t="s">
        <v>8985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8986</v>
      </c>
      <c r="C3022" t="s">
        <v>8987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8988</v>
      </c>
      <c r="C3023" t="s">
        <v>8989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13433</v>
      </c>
      <c r="C3024" t="s">
        <v>4840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8990</v>
      </c>
      <c r="C3025" t="s">
        <v>8991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13434</v>
      </c>
      <c r="C3026" t="s">
        <v>4840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8992</v>
      </c>
      <c r="C3027" t="s">
        <v>8993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13435</v>
      </c>
      <c r="C3028" t="s">
        <v>4840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8994</v>
      </c>
      <c r="C3029" t="s">
        <v>8995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13436</v>
      </c>
      <c r="C3030" t="s">
        <v>4840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8996</v>
      </c>
      <c r="C3031" t="s">
        <v>8997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13437</v>
      </c>
      <c r="C3032" t="s">
        <v>4840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8998</v>
      </c>
      <c r="C3033" t="s">
        <v>8999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13438</v>
      </c>
      <c r="C3034" t="s">
        <v>4840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9000</v>
      </c>
      <c r="C3035" t="s">
        <v>9001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13439</v>
      </c>
      <c r="C3036" t="s">
        <v>4840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9002</v>
      </c>
      <c r="C3037" t="s">
        <v>9003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13440</v>
      </c>
      <c r="C3038" t="s">
        <v>4840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9004</v>
      </c>
      <c r="C3039" t="s">
        <v>9005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9006</v>
      </c>
      <c r="C3040" t="s">
        <v>4840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9007</v>
      </c>
      <c r="C3041" t="s">
        <v>9008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13441</v>
      </c>
      <c r="C3042" t="s">
        <v>4840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9009</v>
      </c>
      <c r="C3043" t="s">
        <v>9010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13442</v>
      </c>
      <c r="C3044" t="s">
        <v>4840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9011</v>
      </c>
      <c r="C3045" t="s">
        <v>9012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13443</v>
      </c>
      <c r="C3046" t="s">
        <v>4840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9013</v>
      </c>
      <c r="C3047" t="s">
        <v>9014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13444</v>
      </c>
      <c r="C3048" t="s">
        <v>4840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9015</v>
      </c>
      <c r="C3049" t="s">
        <v>9016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13445</v>
      </c>
      <c r="C3050" t="s">
        <v>4840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9017</v>
      </c>
      <c r="C3051" t="s">
        <v>9018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13446</v>
      </c>
      <c r="C3052" t="s">
        <v>4840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9019</v>
      </c>
      <c r="C3053" t="s">
        <v>9020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13447</v>
      </c>
      <c r="C3054" t="s">
        <v>4840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9021</v>
      </c>
      <c r="C3055" t="s">
        <v>9022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13448</v>
      </c>
      <c r="C3056" t="s">
        <v>4840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9023</v>
      </c>
      <c r="C3057" t="s">
        <v>9024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13449</v>
      </c>
      <c r="C3058" t="s">
        <v>4840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9025</v>
      </c>
      <c r="C3059" t="s">
        <v>9026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13450</v>
      </c>
      <c r="C3060" t="s">
        <v>4840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9027</v>
      </c>
      <c r="C3061" t="s">
        <v>9028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13451</v>
      </c>
      <c r="C3062" t="s">
        <v>4840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9029</v>
      </c>
      <c r="C3063" t="s">
        <v>9030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9031</v>
      </c>
      <c r="C3064" t="s">
        <v>9032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13452</v>
      </c>
      <c r="C3065" t="s">
        <v>4840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9033</v>
      </c>
      <c r="C3066" t="s">
        <v>9034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13453</v>
      </c>
      <c r="C3067" t="s">
        <v>4840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9035</v>
      </c>
      <c r="C3068" t="s">
        <v>9036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13454</v>
      </c>
      <c r="C3069" t="s">
        <v>4840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9037</v>
      </c>
      <c r="C3070" t="s">
        <v>9038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13455</v>
      </c>
      <c r="C3071" t="s">
        <v>4840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9039</v>
      </c>
      <c r="C3072" t="s">
        <v>9040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13456</v>
      </c>
      <c r="C3073" t="s">
        <v>4840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9041</v>
      </c>
      <c r="C3074" t="s">
        <v>9042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13457</v>
      </c>
      <c r="C3075" t="s">
        <v>4840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9043</v>
      </c>
      <c r="C3076" t="s">
        <v>9044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9045</v>
      </c>
      <c r="C3077" t="s">
        <v>9046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9047</v>
      </c>
      <c r="C3078" t="s">
        <v>9048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9049</v>
      </c>
      <c r="C3079" t="s">
        <v>9050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9051</v>
      </c>
      <c r="C3080" t="s">
        <v>9052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9053</v>
      </c>
      <c r="C3081" t="s">
        <v>9054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9055</v>
      </c>
      <c r="C3082" t="s">
        <v>9056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9057</v>
      </c>
      <c r="C3083" t="s">
        <v>9058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9059</v>
      </c>
      <c r="C3084" t="s">
        <v>9060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13458</v>
      </c>
      <c r="C3085" t="s">
        <v>4840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9061</v>
      </c>
      <c r="C3086" t="s">
        <v>9062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9063</v>
      </c>
      <c r="C3087" t="s">
        <v>9064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9065</v>
      </c>
      <c r="C3088" t="s">
        <v>9066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9067</v>
      </c>
      <c r="C3089" t="s">
        <v>9068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9069</v>
      </c>
      <c r="C3090" t="s">
        <v>9070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13459</v>
      </c>
      <c r="C3091" t="s">
        <v>4840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9071</v>
      </c>
      <c r="C3092" t="s">
        <v>9072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9073</v>
      </c>
      <c r="C3093" t="s">
        <v>4840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9074</v>
      </c>
      <c r="C3094" t="s">
        <v>9012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13460</v>
      </c>
      <c r="C3095" t="s">
        <v>4840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9075</v>
      </c>
      <c r="C3096" t="s">
        <v>9076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13461</v>
      </c>
      <c r="C3097" t="s">
        <v>4840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9077</v>
      </c>
      <c r="C3098" t="s">
        <v>9078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13462</v>
      </c>
      <c r="C3099" t="s">
        <v>4840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9079</v>
      </c>
      <c r="C3100" t="s">
        <v>9080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9081</v>
      </c>
      <c r="C3101" t="s">
        <v>9082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13463</v>
      </c>
      <c r="C3102" t="s">
        <v>4840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9083</v>
      </c>
      <c r="C3103" t="s">
        <v>9084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9085</v>
      </c>
      <c r="C3104" t="s">
        <v>9086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13464</v>
      </c>
      <c r="C3105" t="s">
        <v>4840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9087</v>
      </c>
      <c r="C3106" t="s">
        <v>9088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9089</v>
      </c>
      <c r="C3107" t="s">
        <v>9090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9091</v>
      </c>
      <c r="C3108" t="s">
        <v>4840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9092</v>
      </c>
      <c r="C3109" t="s">
        <v>9093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9094</v>
      </c>
      <c r="C3110" t="s">
        <v>9095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9096</v>
      </c>
      <c r="C3111" t="s">
        <v>9097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13465</v>
      </c>
      <c r="C3112" t="s">
        <v>4840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9098</v>
      </c>
      <c r="C3113" t="s">
        <v>9099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9100</v>
      </c>
      <c r="C3114" t="s">
        <v>9101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13466</v>
      </c>
      <c r="C3115" t="s">
        <v>4840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9102</v>
      </c>
      <c r="C3116" t="s">
        <v>9103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9104</v>
      </c>
      <c r="C3117" t="s">
        <v>9105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9106</v>
      </c>
      <c r="C3118" t="s">
        <v>9107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9108</v>
      </c>
      <c r="C3119" t="s">
        <v>9109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9110</v>
      </c>
      <c r="C3120" t="s">
        <v>9111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13467</v>
      </c>
      <c r="C3121" t="s">
        <v>4840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9112</v>
      </c>
      <c r="C3122" t="s">
        <v>9113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9114</v>
      </c>
      <c r="C3123" t="s">
        <v>9115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13468</v>
      </c>
      <c r="C3124" t="s">
        <v>4840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9116</v>
      </c>
      <c r="C3125" t="s">
        <v>9117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13469</v>
      </c>
      <c r="C3126" t="s">
        <v>4840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9118</v>
      </c>
      <c r="C3127" t="s">
        <v>9119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13470</v>
      </c>
      <c r="C3128" t="s">
        <v>4840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9120</v>
      </c>
      <c r="C3129" t="s">
        <v>9121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9122</v>
      </c>
      <c r="C3130" t="s">
        <v>9123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9124</v>
      </c>
      <c r="C3131" t="s">
        <v>9125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13471</v>
      </c>
      <c r="C3132" t="s">
        <v>4840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9126</v>
      </c>
      <c r="C3133" t="s">
        <v>9127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13472</v>
      </c>
      <c r="C3134" t="s">
        <v>4840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9128</v>
      </c>
      <c r="C3135" t="s">
        <v>9129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13473</v>
      </c>
      <c r="C3136" t="s">
        <v>4840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9130</v>
      </c>
      <c r="C3137" t="s">
        <v>9131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9132</v>
      </c>
      <c r="C3138" t="s">
        <v>9133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13474</v>
      </c>
      <c r="C3139" t="s">
        <v>4840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9134</v>
      </c>
      <c r="C3140" t="s">
        <v>9135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13475</v>
      </c>
      <c r="C3141" t="s">
        <v>4840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9136</v>
      </c>
      <c r="C3142" t="s">
        <v>9137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9138</v>
      </c>
      <c r="C3143" t="s">
        <v>9139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13476</v>
      </c>
      <c r="C3144" t="s">
        <v>4840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9140</v>
      </c>
      <c r="C3145" t="s">
        <v>9141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13477</v>
      </c>
      <c r="C3146" t="s">
        <v>4840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9142</v>
      </c>
      <c r="C3147" t="s">
        <v>9143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9144</v>
      </c>
      <c r="C3148" t="s">
        <v>9145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13478</v>
      </c>
      <c r="C3149" t="s">
        <v>4840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9146</v>
      </c>
      <c r="C3150" t="s">
        <v>9147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9148</v>
      </c>
      <c r="C3151" t="s">
        <v>9149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13479</v>
      </c>
      <c r="C3152" t="s">
        <v>4840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9150</v>
      </c>
      <c r="C3153" t="s">
        <v>9151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9152</v>
      </c>
      <c r="C3154" t="s">
        <v>9153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9154</v>
      </c>
      <c r="C3155" t="s">
        <v>9155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9156</v>
      </c>
      <c r="C3156" t="s">
        <v>9157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13480</v>
      </c>
      <c r="C3157" t="s">
        <v>4840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9158</v>
      </c>
      <c r="C3158" t="s">
        <v>9159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13481</v>
      </c>
      <c r="C3159" t="s">
        <v>4840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9160</v>
      </c>
      <c r="C3160" t="s">
        <v>9161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9162</v>
      </c>
      <c r="C3161" t="s">
        <v>9163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13482</v>
      </c>
      <c r="C3162" t="s">
        <v>4840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9164</v>
      </c>
      <c r="C3163" t="s">
        <v>9165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9166</v>
      </c>
      <c r="C3164" t="s">
        <v>9167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13483</v>
      </c>
      <c r="C3165" t="s">
        <v>4840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9168</v>
      </c>
      <c r="C3166" t="s">
        <v>9169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9170</v>
      </c>
      <c r="C3167" t="s">
        <v>9171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9172</v>
      </c>
      <c r="C3168" t="s">
        <v>9173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9174</v>
      </c>
      <c r="C3169" t="s">
        <v>9175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13484</v>
      </c>
      <c r="C3170" t="s">
        <v>4840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9176</v>
      </c>
      <c r="C3171" t="s">
        <v>9177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13485</v>
      </c>
      <c r="C3172" t="s">
        <v>4840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9178</v>
      </c>
      <c r="C3173" t="s">
        <v>9179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9180</v>
      </c>
      <c r="C3174" t="s">
        <v>9181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9182</v>
      </c>
      <c r="C3175" t="s">
        <v>9183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9184</v>
      </c>
      <c r="C3176" t="s">
        <v>4840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9185</v>
      </c>
      <c r="C3177" t="s">
        <v>9186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13486</v>
      </c>
      <c r="C3178" t="s">
        <v>4840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9187</v>
      </c>
      <c r="C3179" t="s">
        <v>9188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9189</v>
      </c>
      <c r="C3180" t="s">
        <v>9190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9191</v>
      </c>
      <c r="C3181" t="s">
        <v>9192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9193</v>
      </c>
      <c r="C3182" t="s">
        <v>9194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13487</v>
      </c>
      <c r="C3183" t="s">
        <v>4840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9195</v>
      </c>
      <c r="C3184" t="s">
        <v>9196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13488</v>
      </c>
      <c r="C3185" t="s">
        <v>4840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9197</v>
      </c>
      <c r="C3186" t="s">
        <v>9198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13489</v>
      </c>
      <c r="C3187" t="s">
        <v>4840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9199</v>
      </c>
      <c r="C3188" t="s">
        <v>9200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9201</v>
      </c>
      <c r="C3189" t="s">
        <v>9202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9203</v>
      </c>
      <c r="C3190" t="s">
        <v>9204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9205</v>
      </c>
      <c r="C3191" t="s">
        <v>9206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9207</v>
      </c>
      <c r="C3192" t="s">
        <v>9208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9209</v>
      </c>
      <c r="C3193" t="s">
        <v>9210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9211</v>
      </c>
      <c r="C3194" t="s">
        <v>9212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9213</v>
      </c>
      <c r="C3195" t="s">
        <v>9214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9215</v>
      </c>
      <c r="C3196" t="s">
        <v>9216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9217</v>
      </c>
      <c r="C3197" t="s">
        <v>9218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9219</v>
      </c>
      <c r="C3198" t="s">
        <v>9220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9221</v>
      </c>
      <c r="C3199" t="s">
        <v>9222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9223</v>
      </c>
      <c r="C3200" t="s">
        <v>9224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9225</v>
      </c>
      <c r="C3201" t="s">
        <v>9226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9227</v>
      </c>
      <c r="C3202" t="s">
        <v>9228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14565</v>
      </c>
      <c r="C3203" t="s">
        <v>14566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9229</v>
      </c>
      <c r="C3204" t="s">
        <v>9230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13490</v>
      </c>
      <c r="C3205" t="s">
        <v>4840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9231</v>
      </c>
      <c r="C3206" t="s">
        <v>9232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9233</v>
      </c>
      <c r="C3207" t="s">
        <v>9234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9235</v>
      </c>
      <c r="C3208" t="s">
        <v>9236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13491</v>
      </c>
      <c r="C3209" t="s">
        <v>13492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9237</v>
      </c>
      <c r="C3210" t="s">
        <v>9238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9239</v>
      </c>
      <c r="C3211" t="s">
        <v>9240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13493</v>
      </c>
      <c r="C3212" t="s">
        <v>13494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13495</v>
      </c>
      <c r="C3213" t="s">
        <v>13496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13497</v>
      </c>
      <c r="C3214" t="s">
        <v>13498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13499</v>
      </c>
      <c r="C3215" t="s">
        <v>4840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9241</v>
      </c>
      <c r="C3216" t="s">
        <v>9242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14567</v>
      </c>
      <c r="C3217" t="s">
        <v>14568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13500</v>
      </c>
      <c r="C3218" t="s">
        <v>4840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9243</v>
      </c>
      <c r="C3219" t="s">
        <v>9244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9245</v>
      </c>
      <c r="C3220" t="s">
        <v>9246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9247</v>
      </c>
      <c r="C3221" t="s">
        <v>9248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13501</v>
      </c>
      <c r="C3222" t="s">
        <v>4840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9249</v>
      </c>
      <c r="C3223" t="s">
        <v>9250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13502</v>
      </c>
      <c r="C3224" t="s">
        <v>4840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9251</v>
      </c>
      <c r="C3225" t="s">
        <v>9252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9253</v>
      </c>
      <c r="C3226" t="s">
        <v>9254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9255</v>
      </c>
      <c r="C3227" t="s">
        <v>9256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9257</v>
      </c>
      <c r="C3228" t="s">
        <v>9258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9259</v>
      </c>
      <c r="C3229" t="s">
        <v>9260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13503</v>
      </c>
      <c r="C3230" t="s">
        <v>13504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13505</v>
      </c>
      <c r="C3231" t="s">
        <v>13506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13507</v>
      </c>
      <c r="C3232" t="s">
        <v>13508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13509</v>
      </c>
      <c r="C3233" t="s">
        <v>13510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9261</v>
      </c>
      <c r="C3234" t="s">
        <v>9262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13511</v>
      </c>
      <c r="C3235" t="s">
        <v>13512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13513</v>
      </c>
      <c r="C3236" t="s">
        <v>13514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13515</v>
      </c>
      <c r="C3237" t="s">
        <v>13516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13517</v>
      </c>
      <c r="C3238" t="s">
        <v>4840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9263</v>
      </c>
      <c r="C3239" t="s">
        <v>9264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13518</v>
      </c>
      <c r="C3240" t="s">
        <v>4840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9265</v>
      </c>
      <c r="C3241" t="s">
        <v>9266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13519</v>
      </c>
      <c r="C3242" t="s">
        <v>4840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9267</v>
      </c>
      <c r="C3243" t="s">
        <v>9268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9269</v>
      </c>
      <c r="C3244" t="s">
        <v>9270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9271</v>
      </c>
      <c r="C3245" t="s">
        <v>9272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9273</v>
      </c>
      <c r="C3246" t="s">
        <v>9274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9275</v>
      </c>
      <c r="C3247" t="s">
        <v>9276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9277</v>
      </c>
      <c r="C3248" t="s">
        <v>9278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9279</v>
      </c>
      <c r="C3249" t="s">
        <v>9280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13520</v>
      </c>
      <c r="C3250" t="s">
        <v>4840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9281</v>
      </c>
      <c r="C3251" t="s">
        <v>9282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13521</v>
      </c>
      <c r="C3252" t="s">
        <v>4840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9283</v>
      </c>
      <c r="C3253" t="s">
        <v>9284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13522</v>
      </c>
      <c r="C3254" t="s">
        <v>4840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9286</v>
      </c>
      <c r="C3255" t="s">
        <v>9276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9287</v>
      </c>
      <c r="C3256" t="s">
        <v>9288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13523</v>
      </c>
      <c r="C3257" t="s">
        <v>4840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9289</v>
      </c>
      <c r="C3258" t="s">
        <v>9290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13524</v>
      </c>
      <c r="C3259" t="s">
        <v>4840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9291</v>
      </c>
      <c r="C3260" t="s">
        <v>9292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9293</v>
      </c>
      <c r="C3261" t="s">
        <v>9294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13525</v>
      </c>
      <c r="C3262" t="s">
        <v>4840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9295</v>
      </c>
      <c r="C3263" t="s">
        <v>9296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13526</v>
      </c>
      <c r="C3264" t="s">
        <v>4840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9297</v>
      </c>
      <c r="C3265" t="s">
        <v>9298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13527</v>
      </c>
      <c r="C3266" t="s">
        <v>4840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9299</v>
      </c>
      <c r="C3267" t="s">
        <v>9300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13528</v>
      </c>
      <c r="C3268" t="s">
        <v>4840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9301</v>
      </c>
      <c r="C3269" t="s">
        <v>9302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13529</v>
      </c>
      <c r="C3270" t="s">
        <v>4840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9303</v>
      </c>
      <c r="C3271" t="s">
        <v>9304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13530</v>
      </c>
      <c r="C3272" t="s">
        <v>4840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9305</v>
      </c>
      <c r="C3273" t="s">
        <v>9306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13531</v>
      </c>
      <c r="C3274" t="s">
        <v>4840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9307</v>
      </c>
      <c r="C3275" t="s">
        <v>9308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9309</v>
      </c>
      <c r="C3276" t="s">
        <v>9310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9311</v>
      </c>
      <c r="C3277" t="s">
        <v>9312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9313</v>
      </c>
      <c r="C3278" t="s">
        <v>9314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9315</v>
      </c>
      <c r="C3279" t="s">
        <v>9316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9317</v>
      </c>
      <c r="C3280" t="s">
        <v>9318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9319</v>
      </c>
      <c r="C3281" t="s">
        <v>9320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9321</v>
      </c>
      <c r="C3282" t="s">
        <v>9322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9323</v>
      </c>
      <c r="C3283" t="s">
        <v>9324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9325</v>
      </c>
      <c r="C3284" t="s">
        <v>9326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13532</v>
      </c>
      <c r="C3285" t="s">
        <v>4840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9327</v>
      </c>
      <c r="C3286" t="s">
        <v>9328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9329</v>
      </c>
      <c r="C3287" t="s">
        <v>9330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13533</v>
      </c>
      <c r="C3288" t="s">
        <v>4840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9331</v>
      </c>
      <c r="C3289" t="s">
        <v>9332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9333</v>
      </c>
      <c r="C3290" t="s">
        <v>9334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9335</v>
      </c>
      <c r="C3291" t="s">
        <v>9336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9337</v>
      </c>
      <c r="C3292" t="s">
        <v>9338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9339</v>
      </c>
      <c r="C3293" t="s">
        <v>9340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13534</v>
      </c>
      <c r="C3294" t="s">
        <v>4840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9341</v>
      </c>
      <c r="C3295" t="s">
        <v>9342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13535</v>
      </c>
      <c r="C3296" t="s">
        <v>4840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9343</v>
      </c>
      <c r="C3297" t="s">
        <v>9344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13536</v>
      </c>
      <c r="C3298" t="s">
        <v>4840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9345</v>
      </c>
      <c r="C3299" t="s">
        <v>9346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9347</v>
      </c>
      <c r="C3300" t="s">
        <v>9348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9349</v>
      </c>
      <c r="C3301" t="s">
        <v>9350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9351</v>
      </c>
      <c r="C3302" t="s">
        <v>9352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9353</v>
      </c>
      <c r="C3303" t="s">
        <v>9354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9355</v>
      </c>
      <c r="C3304" t="s">
        <v>9356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9357</v>
      </c>
      <c r="C3305" t="s">
        <v>9358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9359</v>
      </c>
      <c r="C3306" t="s">
        <v>9270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13537</v>
      </c>
      <c r="C3307" t="s">
        <v>4840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9360</v>
      </c>
      <c r="C3308" t="s">
        <v>9361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9362</v>
      </c>
      <c r="C3309" t="s">
        <v>9363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9364</v>
      </c>
      <c r="C3310" t="s">
        <v>9365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9366</v>
      </c>
      <c r="C3311" t="s">
        <v>9367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9368</v>
      </c>
      <c r="C3312" t="s">
        <v>9369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9370</v>
      </c>
      <c r="C3313" t="s">
        <v>9371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9372</v>
      </c>
      <c r="C3314" t="s">
        <v>9373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9374</v>
      </c>
      <c r="C3315" t="s">
        <v>9375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13538</v>
      </c>
      <c r="C3316" t="s">
        <v>4840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9376</v>
      </c>
      <c r="C3317" t="s">
        <v>9377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9378</v>
      </c>
      <c r="C3318" t="s">
        <v>9379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9380</v>
      </c>
      <c r="C3319" t="s">
        <v>9381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9382</v>
      </c>
      <c r="C3320" t="s">
        <v>9383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9384</v>
      </c>
      <c r="C3321" t="s">
        <v>9385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9386</v>
      </c>
      <c r="C3322" t="s">
        <v>9387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13539</v>
      </c>
      <c r="C3323" t="s">
        <v>4840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9388</v>
      </c>
      <c r="C3324" t="s">
        <v>9389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9390</v>
      </c>
      <c r="C3325" t="s">
        <v>9391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9392</v>
      </c>
      <c r="C3326" t="s">
        <v>9393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9394</v>
      </c>
      <c r="C3327" t="s">
        <v>9395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13540</v>
      </c>
      <c r="C3328" t="s">
        <v>4840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9396</v>
      </c>
      <c r="C3329" t="s">
        <v>9397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13541</v>
      </c>
      <c r="C3330" t="s">
        <v>4840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9398</v>
      </c>
      <c r="C3331" t="s">
        <v>9399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9400</v>
      </c>
      <c r="C3332" t="s">
        <v>9401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9402</v>
      </c>
      <c r="C3333" t="s">
        <v>9403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9404</v>
      </c>
      <c r="C3334" t="s">
        <v>9405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14569</v>
      </c>
      <c r="C3335" t="s">
        <v>14570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9406</v>
      </c>
      <c r="C3336" t="s">
        <v>9407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9408</v>
      </c>
      <c r="C3337" t="s">
        <v>9409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9410</v>
      </c>
      <c r="C3338" t="s">
        <v>9411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9412</v>
      </c>
      <c r="C3339" t="s">
        <v>4840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9413</v>
      </c>
      <c r="C3340" t="s">
        <v>9414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9415</v>
      </c>
      <c r="C3341" t="s">
        <v>9416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9417</v>
      </c>
      <c r="C3342" t="s">
        <v>9418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9419</v>
      </c>
      <c r="C3343" t="s">
        <v>9420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13542</v>
      </c>
      <c r="C3344" t="s">
        <v>4840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9421</v>
      </c>
      <c r="C3345" t="s">
        <v>9422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9423</v>
      </c>
      <c r="C3346" t="s">
        <v>9424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13543</v>
      </c>
      <c r="C3347" t="s">
        <v>4840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9425</v>
      </c>
      <c r="C3348" t="s">
        <v>9426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13544</v>
      </c>
      <c r="C3349" t="s">
        <v>4840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9427</v>
      </c>
      <c r="C3350" t="s">
        <v>9428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13545</v>
      </c>
      <c r="C3351" t="s">
        <v>4840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9429</v>
      </c>
      <c r="C3352" t="s">
        <v>9430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13546</v>
      </c>
      <c r="C3353" t="s">
        <v>4840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9431</v>
      </c>
      <c r="C3354" t="s">
        <v>9432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9433</v>
      </c>
      <c r="C3355" t="s">
        <v>9434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9435</v>
      </c>
      <c r="C3356" t="s">
        <v>9436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9437</v>
      </c>
      <c r="C3357" t="s">
        <v>9438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9439</v>
      </c>
      <c r="C3358" t="s">
        <v>14571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14572</v>
      </c>
      <c r="C3359" t="s">
        <v>14573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9440</v>
      </c>
      <c r="C3360" t="s">
        <v>9441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13547</v>
      </c>
      <c r="C3361" t="s">
        <v>4840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9442</v>
      </c>
      <c r="C3362" t="s">
        <v>9443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9444</v>
      </c>
      <c r="C3363" t="s">
        <v>9445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13548</v>
      </c>
      <c r="C3364" t="s">
        <v>4840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9446</v>
      </c>
      <c r="C3365" t="s">
        <v>9447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13549</v>
      </c>
      <c r="C3366" t="s">
        <v>4840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9448</v>
      </c>
      <c r="C3367" t="s">
        <v>9449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9450</v>
      </c>
      <c r="C3368" t="s">
        <v>9451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13550</v>
      </c>
      <c r="C3369" t="s">
        <v>4840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9452</v>
      </c>
      <c r="C3370" t="s">
        <v>9453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9454</v>
      </c>
      <c r="C3371" t="s">
        <v>9455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9456</v>
      </c>
      <c r="C3372" t="s">
        <v>9457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13551</v>
      </c>
      <c r="C3373" t="s">
        <v>4840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9458</v>
      </c>
      <c r="C3374" t="s">
        <v>9459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13552</v>
      </c>
      <c r="C3375" t="s">
        <v>4840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9460</v>
      </c>
      <c r="C3376" t="s">
        <v>9461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13553</v>
      </c>
      <c r="C3377" t="s">
        <v>4840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9462</v>
      </c>
      <c r="C3378" t="s">
        <v>9463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9464</v>
      </c>
      <c r="C3379" t="s">
        <v>9465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9466</v>
      </c>
      <c r="C3380" t="s">
        <v>9467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9468</v>
      </c>
      <c r="C3381" t="s">
        <v>9469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9470</v>
      </c>
      <c r="C3382" t="s">
        <v>9471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9472</v>
      </c>
      <c r="C3383" t="s">
        <v>9473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9474</v>
      </c>
      <c r="C3384" t="s">
        <v>9475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9476</v>
      </c>
      <c r="C3385" t="s">
        <v>9477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13554</v>
      </c>
      <c r="C3386" t="s">
        <v>4840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9478</v>
      </c>
      <c r="C3387" t="s">
        <v>9479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13555</v>
      </c>
      <c r="C3388" t="s">
        <v>4840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9480</v>
      </c>
      <c r="C3389" t="s">
        <v>9481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13556</v>
      </c>
      <c r="C3390" t="s">
        <v>4840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9482</v>
      </c>
      <c r="C3391" t="s">
        <v>9483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13557</v>
      </c>
      <c r="C3392" t="s">
        <v>4840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9484</v>
      </c>
      <c r="C3393" t="s">
        <v>9485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13558</v>
      </c>
      <c r="C3394" t="s">
        <v>4840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9486</v>
      </c>
      <c r="C3395" t="s">
        <v>9487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13559</v>
      </c>
      <c r="C3396" t="s">
        <v>4840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9488</v>
      </c>
      <c r="C3397" t="s">
        <v>9489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14574</v>
      </c>
      <c r="C3398" t="s">
        <v>14575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9490</v>
      </c>
      <c r="C3399" t="s">
        <v>9491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13560</v>
      </c>
      <c r="C3400" t="s">
        <v>4840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9492</v>
      </c>
      <c r="C3401" t="s">
        <v>9493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14576</v>
      </c>
      <c r="C3402" t="s">
        <v>14577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9494</v>
      </c>
      <c r="C3403" t="s">
        <v>9495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9496</v>
      </c>
      <c r="C3404" t="s">
        <v>9497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9498</v>
      </c>
      <c r="C3405" t="s">
        <v>9499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13561</v>
      </c>
      <c r="C3406" t="s">
        <v>4840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9500</v>
      </c>
      <c r="C3407" t="s">
        <v>9501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13562</v>
      </c>
      <c r="C3408" t="s">
        <v>4840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9502</v>
      </c>
      <c r="C3409" t="s">
        <v>9503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9504</v>
      </c>
      <c r="C3410" t="s">
        <v>9505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13563</v>
      </c>
      <c r="C3411" t="s">
        <v>4840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9506</v>
      </c>
      <c r="C3412" t="s">
        <v>9507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9508</v>
      </c>
      <c r="C3413" t="s">
        <v>9509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9510</v>
      </c>
      <c r="C3414" t="s">
        <v>9511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9512</v>
      </c>
      <c r="C3415" t="s">
        <v>9513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9514</v>
      </c>
      <c r="C3416" t="s">
        <v>9515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9516</v>
      </c>
      <c r="C3417" t="s">
        <v>9517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9518</v>
      </c>
      <c r="C3418" t="s">
        <v>9519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13564</v>
      </c>
      <c r="C3419" t="s">
        <v>4840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9520</v>
      </c>
      <c r="C3420" t="s">
        <v>9521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13565</v>
      </c>
      <c r="C3421" t="s">
        <v>4840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9522</v>
      </c>
      <c r="C3422" t="s">
        <v>9523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9524</v>
      </c>
      <c r="C3423" t="s">
        <v>9525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9526</v>
      </c>
      <c r="C3424" t="s">
        <v>9527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9528</v>
      </c>
      <c r="C3425" t="s">
        <v>9529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13566</v>
      </c>
      <c r="C3426" t="s">
        <v>4840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9530</v>
      </c>
      <c r="C3427" t="s">
        <v>9531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9532</v>
      </c>
      <c r="C3428" t="s">
        <v>9533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13567</v>
      </c>
      <c r="C3429" t="s">
        <v>4840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9534</v>
      </c>
      <c r="C3430" t="s">
        <v>9535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9536</v>
      </c>
      <c r="C3431" t="s">
        <v>9537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9538</v>
      </c>
      <c r="C3432" t="s">
        <v>9539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13568</v>
      </c>
      <c r="C3433" t="s">
        <v>4840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9540</v>
      </c>
      <c r="C3434" t="s">
        <v>9541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9542</v>
      </c>
      <c r="C3435" t="s">
        <v>9543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13569</v>
      </c>
      <c r="C3436" t="s">
        <v>4840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9544</v>
      </c>
      <c r="C3437" t="s">
        <v>9545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13570</v>
      </c>
      <c r="C3438" t="s">
        <v>4840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9546</v>
      </c>
      <c r="C3439" t="s">
        <v>9547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13571</v>
      </c>
      <c r="C3440" t="s">
        <v>4840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9548</v>
      </c>
      <c r="C3441" t="s">
        <v>9549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13572</v>
      </c>
      <c r="C3442" t="s">
        <v>4840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9550</v>
      </c>
      <c r="C3443" t="s">
        <v>9551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9552</v>
      </c>
      <c r="C3444" t="s">
        <v>9553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13573</v>
      </c>
      <c r="C3445" t="s">
        <v>4840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9554</v>
      </c>
      <c r="C3446" t="s">
        <v>9555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13574</v>
      </c>
      <c r="C3447" t="s">
        <v>4840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9556</v>
      </c>
      <c r="C3448" t="s">
        <v>9557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9558</v>
      </c>
      <c r="C3449" t="s">
        <v>9559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13575</v>
      </c>
      <c r="C3450" t="s">
        <v>4840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9560</v>
      </c>
      <c r="C3451" t="s">
        <v>9561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14578</v>
      </c>
      <c r="C3452" t="s">
        <v>14579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13576</v>
      </c>
      <c r="C3453" t="s">
        <v>4840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9562</v>
      </c>
      <c r="C3454" t="s">
        <v>9563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13577</v>
      </c>
      <c r="C3455" t="s">
        <v>4840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9564</v>
      </c>
      <c r="C3456" t="s">
        <v>9565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13578</v>
      </c>
      <c r="C3457" t="s">
        <v>4840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9566</v>
      </c>
      <c r="C3458" t="s">
        <v>9567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13579</v>
      </c>
      <c r="C3459" t="s">
        <v>4840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9568</v>
      </c>
      <c r="C3460" t="s">
        <v>9569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9570</v>
      </c>
      <c r="C3461" t="s">
        <v>9571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9572</v>
      </c>
      <c r="C3462" t="s">
        <v>9573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9574</v>
      </c>
      <c r="C3463" t="s">
        <v>9575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13580</v>
      </c>
      <c r="C3464" t="s">
        <v>4840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9576</v>
      </c>
      <c r="C3465" t="s">
        <v>9577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14580</v>
      </c>
      <c r="C3466" t="s">
        <v>14581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13581</v>
      </c>
      <c r="C3467" t="s">
        <v>4840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9578</v>
      </c>
      <c r="C3468" t="s">
        <v>9579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9580</v>
      </c>
      <c r="C3469" t="s">
        <v>9581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13582</v>
      </c>
      <c r="C3470" t="s">
        <v>4840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9582</v>
      </c>
      <c r="C3471" t="s">
        <v>9583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9584</v>
      </c>
      <c r="C3472" t="s">
        <v>9585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9586</v>
      </c>
      <c r="C3473" t="s">
        <v>9587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13583</v>
      </c>
      <c r="C3474" t="s">
        <v>4840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9588</v>
      </c>
      <c r="C3475" t="s">
        <v>9589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9590</v>
      </c>
      <c r="C3476" t="s">
        <v>9591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13584</v>
      </c>
      <c r="C3477" t="s">
        <v>4840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9592</v>
      </c>
      <c r="C3478" t="s">
        <v>9593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13585</v>
      </c>
      <c r="C3479" t="s">
        <v>4840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9594</v>
      </c>
      <c r="C3480" t="s">
        <v>9595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13586</v>
      </c>
      <c r="C3481" t="s">
        <v>4840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9596</v>
      </c>
      <c r="C3482" t="s">
        <v>9597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9598</v>
      </c>
      <c r="C3483" t="s">
        <v>9599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9600</v>
      </c>
      <c r="C3484" t="s">
        <v>9601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9602</v>
      </c>
      <c r="C3485" t="s">
        <v>9603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9604</v>
      </c>
      <c r="C3486" t="s">
        <v>9605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9606</v>
      </c>
      <c r="C3487" t="s">
        <v>9607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9608</v>
      </c>
      <c r="C3488" t="s">
        <v>9609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13587</v>
      </c>
      <c r="C3489" t="s">
        <v>4840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9610</v>
      </c>
      <c r="C3490" t="s">
        <v>9611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9612</v>
      </c>
      <c r="C3491" t="s">
        <v>9613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9614</v>
      </c>
      <c r="C3492" t="s">
        <v>9615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9616</v>
      </c>
      <c r="C3493" t="s">
        <v>9617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13588</v>
      </c>
      <c r="C3494" t="s">
        <v>4840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9618</v>
      </c>
      <c r="C3495" t="s">
        <v>9619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9620</v>
      </c>
      <c r="C3496" t="s">
        <v>9621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13589</v>
      </c>
      <c r="C3497" t="s">
        <v>4840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9622</v>
      </c>
      <c r="C3498" t="s">
        <v>9623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13590</v>
      </c>
      <c r="C3499" t="s">
        <v>4840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9624</v>
      </c>
      <c r="C3500" t="s">
        <v>9625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13591</v>
      </c>
      <c r="C3501" t="s">
        <v>4840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9626</v>
      </c>
      <c r="C3502" t="s">
        <v>9627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9628</v>
      </c>
      <c r="C3503" t="s">
        <v>9629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13592</v>
      </c>
      <c r="C3504" t="s">
        <v>4840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9630</v>
      </c>
      <c r="C3505" t="s">
        <v>9631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9632</v>
      </c>
      <c r="C3506" t="s">
        <v>9633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9634</v>
      </c>
      <c r="C3507" t="s">
        <v>9635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9636</v>
      </c>
      <c r="C3508" t="s">
        <v>9637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13593</v>
      </c>
      <c r="C3509" t="s">
        <v>4840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9638</v>
      </c>
      <c r="C3510" t="s">
        <v>9639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9640</v>
      </c>
      <c r="C3511" t="s">
        <v>9641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9642</v>
      </c>
      <c r="C3512" t="s">
        <v>9643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9644</v>
      </c>
      <c r="C3513" t="s">
        <v>9645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13594</v>
      </c>
      <c r="C3514" t="s">
        <v>4840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9646</v>
      </c>
      <c r="C3515" t="s">
        <v>9647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9648</v>
      </c>
      <c r="C3516" t="s">
        <v>9649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9650</v>
      </c>
      <c r="C3517" t="s">
        <v>9651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9652</v>
      </c>
      <c r="C3518" t="s">
        <v>9653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13595</v>
      </c>
      <c r="C3519" t="s">
        <v>4840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9654</v>
      </c>
      <c r="C3520" t="s">
        <v>9655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9656</v>
      </c>
      <c r="C3521" t="s">
        <v>9657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9658</v>
      </c>
      <c r="C3522" t="s">
        <v>14582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9659</v>
      </c>
      <c r="C3523" t="s">
        <v>9660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9661</v>
      </c>
      <c r="C3524" t="s">
        <v>9662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9663</v>
      </c>
      <c r="C3525" t="s">
        <v>9664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9665</v>
      </c>
      <c r="C3526" t="s">
        <v>9666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9667</v>
      </c>
      <c r="C3527" t="s">
        <v>9668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9669</v>
      </c>
      <c r="C3528" t="s">
        <v>9670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9671</v>
      </c>
      <c r="C3529" t="s">
        <v>9672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9673</v>
      </c>
      <c r="C3530" t="s">
        <v>9674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9675</v>
      </c>
      <c r="C3531" t="s">
        <v>9676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9677</v>
      </c>
      <c r="C3532" t="s">
        <v>9678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14583</v>
      </c>
      <c r="C3533" t="s">
        <v>14584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9679</v>
      </c>
      <c r="C3534" t="s">
        <v>9680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9681</v>
      </c>
      <c r="C3535" t="s">
        <v>9682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13596</v>
      </c>
      <c r="C3536" t="s">
        <v>4840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9683</v>
      </c>
      <c r="C3537" t="s">
        <v>9684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9685</v>
      </c>
      <c r="C3538" t="s">
        <v>9686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13597</v>
      </c>
      <c r="C3539" t="s">
        <v>4840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9687</v>
      </c>
      <c r="C3540" t="s">
        <v>9688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9689</v>
      </c>
      <c r="C3541" t="s">
        <v>9690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9691</v>
      </c>
      <c r="C3542" t="s">
        <v>9692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9693</v>
      </c>
      <c r="C3543" t="s">
        <v>9694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9695</v>
      </c>
      <c r="C3544" t="s">
        <v>9696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9697</v>
      </c>
      <c r="C3545" t="s">
        <v>9698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9699</v>
      </c>
      <c r="C3546" t="s">
        <v>9700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9701</v>
      </c>
      <c r="C3547" t="s">
        <v>9702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13598</v>
      </c>
      <c r="C3548" t="s">
        <v>4840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9703</v>
      </c>
      <c r="C3549" t="s">
        <v>9704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13599</v>
      </c>
      <c r="C3550" t="s">
        <v>4840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9705</v>
      </c>
      <c r="C3551" t="s">
        <v>9706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9707</v>
      </c>
      <c r="C3552" t="s">
        <v>9708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13600</v>
      </c>
      <c r="C3553" t="s">
        <v>4840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9709</v>
      </c>
      <c r="C3554" t="s">
        <v>9710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13601</v>
      </c>
      <c r="C3555" t="s">
        <v>4840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9711</v>
      </c>
      <c r="C3556" t="s">
        <v>9712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9713</v>
      </c>
      <c r="C3557" t="s">
        <v>9714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13602</v>
      </c>
      <c r="C3558" t="s">
        <v>4840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9715</v>
      </c>
      <c r="C3559" t="s">
        <v>9716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13603</v>
      </c>
      <c r="C3560" t="s">
        <v>4840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9717</v>
      </c>
      <c r="C3561" t="s">
        <v>9718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9719</v>
      </c>
      <c r="C3562" t="s">
        <v>14585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9720</v>
      </c>
      <c r="C3563" t="s">
        <v>9721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9722</v>
      </c>
      <c r="C3564" t="s">
        <v>9723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9724</v>
      </c>
      <c r="C3565" t="s">
        <v>9725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13604</v>
      </c>
      <c r="C3566" t="s">
        <v>4840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9726</v>
      </c>
      <c r="C3567" t="s">
        <v>9727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9728</v>
      </c>
      <c r="C3568" t="s">
        <v>9729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13605</v>
      </c>
      <c r="C3569" t="s">
        <v>4840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9730</v>
      </c>
      <c r="C3570" t="s">
        <v>9731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9732</v>
      </c>
      <c r="C3571" t="s">
        <v>9733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9734</v>
      </c>
      <c r="C3572" t="s">
        <v>9735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13606</v>
      </c>
      <c r="C3573" t="s">
        <v>4840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9736</v>
      </c>
      <c r="C3574" t="s">
        <v>9737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13607</v>
      </c>
      <c r="C3575" t="s">
        <v>4840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9738</v>
      </c>
      <c r="C3576" t="s">
        <v>9739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9740</v>
      </c>
      <c r="C3577" t="s">
        <v>9741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9742</v>
      </c>
      <c r="C3578" t="s">
        <v>9743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9744</v>
      </c>
      <c r="C3579" t="s">
        <v>9745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9746</v>
      </c>
      <c r="C3580" t="s">
        <v>9747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9748</v>
      </c>
      <c r="C3581" t="s">
        <v>4840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9749</v>
      </c>
      <c r="C3582" t="s">
        <v>9750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9751</v>
      </c>
      <c r="C3583" t="s">
        <v>9752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9753</v>
      </c>
      <c r="C3584" t="s">
        <v>9754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9755</v>
      </c>
      <c r="C3585" t="s">
        <v>9756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9757</v>
      </c>
      <c r="C3586" t="s">
        <v>9758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13608</v>
      </c>
      <c r="C3587" t="s">
        <v>4840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9759</v>
      </c>
      <c r="C3588" t="s">
        <v>9760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13609</v>
      </c>
      <c r="C3589" t="s">
        <v>4840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9761</v>
      </c>
      <c r="C3590" t="s">
        <v>9762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13610</v>
      </c>
      <c r="C3591" t="s">
        <v>4840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9763</v>
      </c>
      <c r="C3592" t="s">
        <v>9764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9765</v>
      </c>
      <c r="C3593" t="s">
        <v>9766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9767</v>
      </c>
      <c r="C3594" t="s">
        <v>9768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9769</v>
      </c>
      <c r="C3595" t="s">
        <v>9770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9771</v>
      </c>
      <c r="C3596" t="s">
        <v>14586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13611</v>
      </c>
      <c r="C3597" t="s">
        <v>4840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9772</v>
      </c>
      <c r="C3598" t="s">
        <v>9773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9774</v>
      </c>
      <c r="C3599" t="s">
        <v>9775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9776</v>
      </c>
      <c r="C3600" t="s">
        <v>9777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13612</v>
      </c>
      <c r="C3601" t="s">
        <v>4840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9778</v>
      </c>
      <c r="C3602" t="s">
        <v>9779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13613</v>
      </c>
      <c r="C3603" t="s">
        <v>4840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9780</v>
      </c>
      <c r="C3604" t="s">
        <v>9781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13614</v>
      </c>
      <c r="C3605" t="s">
        <v>4840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9782</v>
      </c>
      <c r="C3606" t="s">
        <v>9783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9784</v>
      </c>
      <c r="C3607" t="s">
        <v>9785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9786</v>
      </c>
      <c r="C3608" t="s">
        <v>9787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9788</v>
      </c>
      <c r="C3609" t="s">
        <v>9789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9790</v>
      </c>
      <c r="C3610" t="s">
        <v>9791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9792</v>
      </c>
      <c r="C3611" t="s">
        <v>9793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9794</v>
      </c>
      <c r="C3612" t="s">
        <v>9795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9796</v>
      </c>
      <c r="C3613" t="s">
        <v>9797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13615</v>
      </c>
      <c r="C3614" t="s">
        <v>4840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9798</v>
      </c>
      <c r="C3615" t="s">
        <v>9799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9800</v>
      </c>
      <c r="C3616" t="s">
        <v>9801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9802</v>
      </c>
      <c r="C3617" t="s">
        <v>9803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13616</v>
      </c>
      <c r="C3618" t="s">
        <v>4840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9804</v>
      </c>
      <c r="C3619" t="s">
        <v>9805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9806</v>
      </c>
      <c r="C3620" t="s">
        <v>9807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13617</v>
      </c>
      <c r="C3621" t="s">
        <v>4840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9808</v>
      </c>
      <c r="C3622" t="s">
        <v>9809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13618</v>
      </c>
      <c r="C3623" t="s">
        <v>4840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9810</v>
      </c>
      <c r="C3624" t="s">
        <v>14587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9811</v>
      </c>
      <c r="C3625" t="s">
        <v>9812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9813</v>
      </c>
      <c r="C3626" t="s">
        <v>9814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9815</v>
      </c>
      <c r="C3627" t="s">
        <v>9816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13619</v>
      </c>
      <c r="C3628" t="s">
        <v>4840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9817</v>
      </c>
      <c r="C3629" t="s">
        <v>9737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13620</v>
      </c>
      <c r="C3630" t="s">
        <v>4840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9818</v>
      </c>
      <c r="C3631" t="s">
        <v>9819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13621</v>
      </c>
      <c r="C3632" t="s">
        <v>4840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9820</v>
      </c>
      <c r="C3633" t="s">
        <v>9821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9822</v>
      </c>
      <c r="C3634" t="s">
        <v>9823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9824</v>
      </c>
      <c r="C3635" t="s">
        <v>9825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9826</v>
      </c>
      <c r="C3636" t="s">
        <v>9827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9828</v>
      </c>
      <c r="C3637" t="s">
        <v>9829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9830</v>
      </c>
      <c r="C3638" t="s">
        <v>9831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13622</v>
      </c>
      <c r="C3639" t="s">
        <v>4840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9832</v>
      </c>
      <c r="C3640" t="s">
        <v>9833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9834</v>
      </c>
      <c r="C3641" t="s">
        <v>9835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9836</v>
      </c>
      <c r="C3642" t="s">
        <v>9837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9838</v>
      </c>
      <c r="C3643" t="s">
        <v>9839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13623</v>
      </c>
      <c r="C3644" t="s">
        <v>4840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9840</v>
      </c>
      <c r="C3645" t="s">
        <v>9841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9842</v>
      </c>
      <c r="C3646" t="s">
        <v>9843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9844</v>
      </c>
      <c r="C3647" t="s">
        <v>9845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9846</v>
      </c>
      <c r="C3648" t="s">
        <v>9847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9848</v>
      </c>
      <c r="C3649" t="s">
        <v>9849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13624</v>
      </c>
      <c r="C3650" t="s">
        <v>4840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9850</v>
      </c>
      <c r="C3651" t="s">
        <v>9851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9852</v>
      </c>
      <c r="C3652" t="s">
        <v>9853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13625</v>
      </c>
      <c r="C3653" t="s">
        <v>4840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9854</v>
      </c>
      <c r="C3654" t="s">
        <v>9855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9856</v>
      </c>
      <c r="C3655" t="s">
        <v>9857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9858</v>
      </c>
      <c r="C3656" t="s">
        <v>9859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9860</v>
      </c>
      <c r="C3657" t="s">
        <v>9861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13626</v>
      </c>
      <c r="C3658" t="s">
        <v>4840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9862</v>
      </c>
      <c r="C3659" t="s">
        <v>9863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13627</v>
      </c>
      <c r="C3660" t="s">
        <v>4840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9864</v>
      </c>
      <c r="C3661" t="s">
        <v>9865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13628</v>
      </c>
      <c r="C3662" t="s">
        <v>4840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9866</v>
      </c>
      <c r="C3663" t="s">
        <v>9867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13629</v>
      </c>
      <c r="C3664" t="s">
        <v>4840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9868</v>
      </c>
      <c r="C3665" t="s">
        <v>9869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13630</v>
      </c>
      <c r="C3666" t="s">
        <v>4840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9870</v>
      </c>
      <c r="C3667" t="s">
        <v>9871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13631</v>
      </c>
      <c r="C3668" t="s">
        <v>4840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9872</v>
      </c>
      <c r="C3669" t="s">
        <v>9873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13632</v>
      </c>
      <c r="C3670" t="s">
        <v>4840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9874</v>
      </c>
      <c r="C3671" t="s">
        <v>9875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9876</v>
      </c>
      <c r="C3672" t="s">
        <v>9877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13633</v>
      </c>
      <c r="C3673" t="s">
        <v>4840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9878</v>
      </c>
      <c r="C3674" t="s">
        <v>9879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13634</v>
      </c>
      <c r="C3675" t="s">
        <v>4840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9880</v>
      </c>
      <c r="C3676" t="s">
        <v>9881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13635</v>
      </c>
      <c r="C3677" t="s">
        <v>4840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9882</v>
      </c>
      <c r="C3678" t="s">
        <v>9883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13636</v>
      </c>
      <c r="C3679" t="s">
        <v>4840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9884</v>
      </c>
      <c r="C3680" t="s">
        <v>9885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13637</v>
      </c>
      <c r="C3681" t="s">
        <v>4840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9886</v>
      </c>
      <c r="C3682" t="s">
        <v>9887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13638</v>
      </c>
      <c r="C3683" t="s">
        <v>4840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9888</v>
      </c>
      <c r="C3684" t="s">
        <v>9889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13639</v>
      </c>
      <c r="C3685" t="s">
        <v>4840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9890</v>
      </c>
      <c r="C3686" t="s">
        <v>9891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9892</v>
      </c>
      <c r="C3687" t="s">
        <v>9893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9894</v>
      </c>
      <c r="C3688" t="s">
        <v>9895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9896</v>
      </c>
      <c r="C3689" t="s">
        <v>9897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13640</v>
      </c>
      <c r="C3690" t="s">
        <v>4840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9898</v>
      </c>
      <c r="C3691" t="s">
        <v>9899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13641</v>
      </c>
      <c r="C3692" t="s">
        <v>4840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9900</v>
      </c>
      <c r="C3693" t="s">
        <v>9901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9902</v>
      </c>
      <c r="C3694" t="s">
        <v>9903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9904</v>
      </c>
      <c r="C3695" t="s">
        <v>9905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9906</v>
      </c>
      <c r="C3696" t="s">
        <v>9907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13642</v>
      </c>
      <c r="C3697" t="s">
        <v>4840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9908</v>
      </c>
      <c r="C3698" t="s">
        <v>9909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13643</v>
      </c>
      <c r="C3699" t="s">
        <v>4840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9910</v>
      </c>
      <c r="C3700" t="s">
        <v>9911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9912</v>
      </c>
      <c r="C3701" t="s">
        <v>9913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13644</v>
      </c>
      <c r="C3702" t="s">
        <v>4840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9914</v>
      </c>
      <c r="C3703" t="s">
        <v>9915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13645</v>
      </c>
      <c r="C3704" t="s">
        <v>4840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9916</v>
      </c>
      <c r="C3705" t="s">
        <v>9917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13646</v>
      </c>
      <c r="C3706" t="s">
        <v>4840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9918</v>
      </c>
      <c r="C3707" t="s">
        <v>9919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13647</v>
      </c>
      <c r="C3708" t="s">
        <v>4840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9920</v>
      </c>
      <c r="C3709" t="s">
        <v>9921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13648</v>
      </c>
      <c r="C3710" t="s">
        <v>4840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9922</v>
      </c>
      <c r="C3711" t="s">
        <v>9923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9924</v>
      </c>
      <c r="C3712" t="s">
        <v>9925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13649</v>
      </c>
      <c r="C3713" t="s">
        <v>4840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9926</v>
      </c>
      <c r="C3714" t="s">
        <v>9927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9928</v>
      </c>
      <c r="C3715" t="s">
        <v>9929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9930</v>
      </c>
      <c r="C3716" t="s">
        <v>9931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9932</v>
      </c>
      <c r="C3717" t="s">
        <v>9933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9934</v>
      </c>
      <c r="C3718" t="s">
        <v>9935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13650</v>
      </c>
      <c r="C3719" t="s">
        <v>4840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9936</v>
      </c>
      <c r="C3720" t="s">
        <v>9937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9938</v>
      </c>
      <c r="C3721" t="s">
        <v>9939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13651</v>
      </c>
      <c r="C3722" t="s">
        <v>4840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9940</v>
      </c>
      <c r="C3723" t="s">
        <v>9941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9942</v>
      </c>
      <c r="C3724" t="s">
        <v>9943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9944</v>
      </c>
      <c r="C3725" t="s">
        <v>9945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13652</v>
      </c>
      <c r="C3726" t="s">
        <v>13653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9946</v>
      </c>
      <c r="C3727" t="s">
        <v>9947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13654</v>
      </c>
      <c r="C3728" t="s">
        <v>13655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9948</v>
      </c>
      <c r="C3729" t="s">
        <v>9949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13656</v>
      </c>
      <c r="C3730" t="s">
        <v>13657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13658</v>
      </c>
      <c r="C3731" t="s">
        <v>4840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9950</v>
      </c>
      <c r="C3732" t="s">
        <v>9951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9952</v>
      </c>
      <c r="C3733" t="s">
        <v>9953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13659</v>
      </c>
      <c r="C3734" t="s">
        <v>4840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9954</v>
      </c>
      <c r="C3735" t="s">
        <v>9955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9956</v>
      </c>
      <c r="C3736" t="s">
        <v>9957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9958</v>
      </c>
      <c r="C3737" t="s">
        <v>9959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9960</v>
      </c>
      <c r="C3738" t="s">
        <v>9961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9962</v>
      </c>
      <c r="C3739" t="s">
        <v>9963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9964</v>
      </c>
      <c r="C3740" t="s">
        <v>9965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9966</v>
      </c>
      <c r="C3741" t="s">
        <v>9967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14588</v>
      </c>
      <c r="C3742" t="s">
        <v>14589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14590</v>
      </c>
      <c r="C3743" t="s">
        <v>14591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14592</v>
      </c>
      <c r="C3744" t="s">
        <v>14593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14594</v>
      </c>
      <c r="C3745" t="s">
        <v>14595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14596</v>
      </c>
      <c r="C3746" t="s">
        <v>14597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14598</v>
      </c>
      <c r="C3747" t="s">
        <v>14599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14600</v>
      </c>
      <c r="C3748" t="s">
        <v>14601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14602</v>
      </c>
      <c r="C3749" t="s">
        <v>14603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14604</v>
      </c>
      <c r="C3750" t="s">
        <v>14605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9968</v>
      </c>
      <c r="C3751" t="s">
        <v>9969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9970</v>
      </c>
      <c r="C3752" t="s">
        <v>9971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13660</v>
      </c>
      <c r="C3753" t="s">
        <v>4840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9972</v>
      </c>
      <c r="C3754" t="s">
        <v>9973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13661</v>
      </c>
      <c r="C3755" t="s">
        <v>4840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9974</v>
      </c>
      <c r="C3756" t="s">
        <v>9975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9976</v>
      </c>
      <c r="C3757" t="s">
        <v>9977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13662</v>
      </c>
      <c r="C3758" t="s">
        <v>4840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9978</v>
      </c>
      <c r="C3759" t="s">
        <v>9979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13663</v>
      </c>
      <c r="C3760" t="s">
        <v>4840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9980</v>
      </c>
      <c r="C3761" t="s">
        <v>9981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13664</v>
      </c>
      <c r="C3762" t="s">
        <v>4840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9982</v>
      </c>
      <c r="C3763" t="s">
        <v>9983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9984</v>
      </c>
      <c r="C3764" t="s">
        <v>9985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9986</v>
      </c>
      <c r="C3765" t="s">
        <v>9987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13665</v>
      </c>
      <c r="C3766" t="s">
        <v>4840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9988</v>
      </c>
      <c r="C3767" t="s">
        <v>9989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9990</v>
      </c>
      <c r="C3768" t="s">
        <v>9991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9992</v>
      </c>
      <c r="C3769" t="s">
        <v>9993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9994</v>
      </c>
      <c r="C3770" t="s">
        <v>9995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9996</v>
      </c>
      <c r="C3771" t="s">
        <v>9997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13666</v>
      </c>
      <c r="C3772" t="s">
        <v>4840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9998</v>
      </c>
      <c r="C3773" t="s">
        <v>9999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10000</v>
      </c>
      <c r="C3774" t="s">
        <v>10001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13667</v>
      </c>
      <c r="C3775" t="s">
        <v>4840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10002</v>
      </c>
      <c r="C3776" t="s">
        <v>10003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10004</v>
      </c>
      <c r="C3777" t="s">
        <v>10005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10006</v>
      </c>
      <c r="C3778" t="s">
        <v>10007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10008</v>
      </c>
      <c r="C3779" t="s">
        <v>10009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10010</v>
      </c>
      <c r="C3780" t="s">
        <v>10011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10012</v>
      </c>
      <c r="C3781" t="s">
        <v>10013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10014</v>
      </c>
      <c r="C3782" t="s">
        <v>10015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10016</v>
      </c>
      <c r="C3783" t="s">
        <v>10017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10018</v>
      </c>
      <c r="C3784" t="s">
        <v>10019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10020</v>
      </c>
      <c r="C3785" t="s">
        <v>10021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10022</v>
      </c>
      <c r="C3786" t="s">
        <v>10023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10024</v>
      </c>
      <c r="C3787" t="s">
        <v>10025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10026</v>
      </c>
      <c r="C3788" t="s">
        <v>10027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10028</v>
      </c>
      <c r="C3789" t="s">
        <v>10029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10030</v>
      </c>
      <c r="C3790" t="s">
        <v>10031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10032</v>
      </c>
      <c r="C3791" t="s">
        <v>10033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10034</v>
      </c>
      <c r="C3792" t="s">
        <v>10035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10036</v>
      </c>
      <c r="C3793" t="s">
        <v>10037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10038</v>
      </c>
      <c r="C3794" t="s">
        <v>10039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10040</v>
      </c>
      <c r="C3795" t="s">
        <v>10041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10042</v>
      </c>
      <c r="C3796" t="s">
        <v>10043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10044</v>
      </c>
      <c r="C3797" t="s">
        <v>10045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10046</v>
      </c>
      <c r="C3798" t="s">
        <v>10047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10048</v>
      </c>
      <c r="C3799" t="s">
        <v>10049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10050</v>
      </c>
      <c r="C3800" t="s">
        <v>10051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10052</v>
      </c>
      <c r="C3801" t="s">
        <v>10053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10054</v>
      </c>
      <c r="C3802" t="s">
        <v>10055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10056</v>
      </c>
      <c r="C3803" t="s">
        <v>10057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10058</v>
      </c>
      <c r="C3804" t="s">
        <v>10059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10060</v>
      </c>
      <c r="C3805" t="s">
        <v>10061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10062</v>
      </c>
      <c r="C3806" t="s">
        <v>10063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10064</v>
      </c>
      <c r="C3807" t="s">
        <v>10065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10066</v>
      </c>
      <c r="C3808" t="s">
        <v>10067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10068</v>
      </c>
      <c r="C3809" t="s">
        <v>10069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10070</v>
      </c>
      <c r="C3810" t="s">
        <v>10071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10072</v>
      </c>
      <c r="C3811" t="s">
        <v>10073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10074</v>
      </c>
      <c r="C3812" t="s">
        <v>10075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10076</v>
      </c>
      <c r="C3813" t="s">
        <v>10077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13668</v>
      </c>
      <c r="C3814" t="s">
        <v>4840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10078</v>
      </c>
      <c r="C3815" t="s">
        <v>10079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13669</v>
      </c>
      <c r="C3816" t="s">
        <v>4840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10080</v>
      </c>
      <c r="C3817" t="s">
        <v>10081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13670</v>
      </c>
      <c r="C3818" t="s">
        <v>4840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10082</v>
      </c>
      <c r="C3819" t="s">
        <v>10083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10084</v>
      </c>
      <c r="C3820" t="s">
        <v>10085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10086</v>
      </c>
      <c r="C3821" t="s">
        <v>10087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10088</v>
      </c>
      <c r="C3822" t="s">
        <v>10089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10090</v>
      </c>
      <c r="C3823" t="s">
        <v>10091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10092</v>
      </c>
      <c r="C3824" t="s">
        <v>10093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10094</v>
      </c>
      <c r="C3825" t="s">
        <v>10095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10096</v>
      </c>
      <c r="C3826" t="s">
        <v>10097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10098</v>
      </c>
      <c r="C3827" t="s">
        <v>10099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10100</v>
      </c>
      <c r="C3828" t="s">
        <v>10101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10102</v>
      </c>
      <c r="C3829" t="s">
        <v>10103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10104</v>
      </c>
      <c r="C3830" t="s">
        <v>10105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10106</v>
      </c>
      <c r="C3831" t="s">
        <v>10107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13671</v>
      </c>
      <c r="C3832" t="s">
        <v>4840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13672</v>
      </c>
      <c r="C3833" t="s">
        <v>4840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10108</v>
      </c>
      <c r="C3834" t="s">
        <v>10109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10110</v>
      </c>
      <c r="C3835" t="s">
        <v>10111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10112</v>
      </c>
      <c r="C3836" t="s">
        <v>10113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13673</v>
      </c>
      <c r="C3837" t="s">
        <v>4840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10114</v>
      </c>
      <c r="C3838" t="s">
        <v>10115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13674</v>
      </c>
      <c r="C3839" t="s">
        <v>4840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10116</v>
      </c>
      <c r="C3840" t="s">
        <v>10117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10118</v>
      </c>
      <c r="C3841" t="s">
        <v>10119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13675</v>
      </c>
      <c r="C3842" t="s">
        <v>4840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10120</v>
      </c>
      <c r="C3843" t="s">
        <v>10121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10122</v>
      </c>
      <c r="C3844" t="s">
        <v>10123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13676</v>
      </c>
      <c r="C3845" t="s">
        <v>4840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10124</v>
      </c>
      <c r="C3846" t="s">
        <v>10125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10126</v>
      </c>
      <c r="C3847" t="s">
        <v>10127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10128</v>
      </c>
      <c r="C3848" t="s">
        <v>10129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13677</v>
      </c>
      <c r="C3849" t="s">
        <v>4840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10130</v>
      </c>
      <c r="C3850" t="s">
        <v>10131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10132</v>
      </c>
      <c r="C3851" t="s">
        <v>10133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13678</v>
      </c>
      <c r="C3852" t="s">
        <v>4840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10134</v>
      </c>
      <c r="C3853" t="s">
        <v>10135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13679</v>
      </c>
      <c r="C3854" t="s">
        <v>4840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10136</v>
      </c>
      <c r="C3855" t="s">
        <v>10137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13680</v>
      </c>
      <c r="C3856" t="s">
        <v>4840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10138</v>
      </c>
      <c r="C3857" t="s">
        <v>10139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13681</v>
      </c>
      <c r="C3858" t="s">
        <v>4840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10140</v>
      </c>
      <c r="C3859" t="s">
        <v>10141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10142</v>
      </c>
      <c r="C3860" t="s">
        <v>10143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10144</v>
      </c>
      <c r="C3861" t="s">
        <v>10145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10146</v>
      </c>
      <c r="C3862" t="s">
        <v>10147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10148</v>
      </c>
      <c r="C3863" t="s">
        <v>10149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10150</v>
      </c>
      <c r="C3864" t="s">
        <v>10151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10152</v>
      </c>
      <c r="C3865" t="s">
        <v>10153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10154</v>
      </c>
      <c r="C3866" t="s">
        <v>10155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10156</v>
      </c>
      <c r="C3867" t="s">
        <v>10157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13682</v>
      </c>
      <c r="C3868" t="s">
        <v>4840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10158</v>
      </c>
      <c r="C3869" t="s">
        <v>10159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10160</v>
      </c>
      <c r="C3870" t="s">
        <v>10161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10162</v>
      </c>
      <c r="C3871" t="s">
        <v>10163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13683</v>
      </c>
      <c r="C3872" t="s">
        <v>4840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10164</v>
      </c>
      <c r="C3873" t="s">
        <v>10165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10166</v>
      </c>
      <c r="C3874" t="s">
        <v>10167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10168</v>
      </c>
      <c r="C3875" t="s">
        <v>10169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10170</v>
      </c>
      <c r="C3876" t="s">
        <v>10171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10172</v>
      </c>
      <c r="C3877" t="s">
        <v>10173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13684</v>
      </c>
      <c r="C3878" t="s">
        <v>4840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10174</v>
      </c>
      <c r="C3879" t="s">
        <v>10175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10176</v>
      </c>
      <c r="C3880" t="s">
        <v>4840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10177</v>
      </c>
      <c r="C3881" t="s">
        <v>10178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13685</v>
      </c>
      <c r="C3882" t="s">
        <v>4840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10179</v>
      </c>
      <c r="C3883" t="s">
        <v>10180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13686</v>
      </c>
      <c r="C3884" t="s">
        <v>4840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10181</v>
      </c>
      <c r="C3885" t="s">
        <v>10182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10183</v>
      </c>
      <c r="C3886" t="s">
        <v>10184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13687</v>
      </c>
      <c r="C3887" t="s">
        <v>4840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10185</v>
      </c>
      <c r="C3888" t="s">
        <v>10186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10187</v>
      </c>
      <c r="C3889" t="s">
        <v>10188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10189</v>
      </c>
      <c r="C3890" t="s">
        <v>10190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10191</v>
      </c>
      <c r="C3891" t="s">
        <v>10192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10193</v>
      </c>
      <c r="C3892" t="s">
        <v>10194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10195</v>
      </c>
      <c r="C3893" t="s">
        <v>10196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13688</v>
      </c>
      <c r="C3894" t="s">
        <v>4840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10197</v>
      </c>
      <c r="C3895" t="s">
        <v>10198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10199</v>
      </c>
      <c r="C3896" t="s">
        <v>10200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10201</v>
      </c>
      <c r="C3897" t="s">
        <v>10202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13689</v>
      </c>
      <c r="C3898" t="s">
        <v>4840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10203</v>
      </c>
      <c r="C3899" t="s">
        <v>10204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13690</v>
      </c>
      <c r="C3900" t="s">
        <v>4840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10205</v>
      </c>
      <c r="C3901" t="s">
        <v>10206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10207</v>
      </c>
      <c r="C3902" t="s">
        <v>10208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10209</v>
      </c>
      <c r="C3903" t="s">
        <v>10210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13691</v>
      </c>
      <c r="C3904" t="s">
        <v>4840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10211</v>
      </c>
      <c r="C3905" t="s">
        <v>10212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14606</v>
      </c>
      <c r="C3906" t="s">
        <v>14607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10213</v>
      </c>
      <c r="C3907" t="s">
        <v>10214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10215</v>
      </c>
      <c r="C3908" t="s">
        <v>10216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10217</v>
      </c>
      <c r="C3909" t="s">
        <v>10218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10219</v>
      </c>
      <c r="C3910" t="s">
        <v>10220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10221</v>
      </c>
      <c r="C3911" t="s">
        <v>10222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13692</v>
      </c>
      <c r="C3912" t="s">
        <v>4840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10223</v>
      </c>
      <c r="C3913" t="s">
        <v>10224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10225</v>
      </c>
      <c r="C3914" t="s">
        <v>10226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13693</v>
      </c>
      <c r="C3915" t="s">
        <v>4840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10227</v>
      </c>
      <c r="C3916" t="s">
        <v>10228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10229</v>
      </c>
      <c r="C3917" t="s">
        <v>10230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10231</v>
      </c>
      <c r="C3918" t="s">
        <v>10232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10233</v>
      </c>
      <c r="C3919" t="s">
        <v>10234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10235</v>
      </c>
      <c r="C3920" t="s">
        <v>10236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10237</v>
      </c>
      <c r="C3921" t="s">
        <v>10238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10239</v>
      </c>
      <c r="C3922" t="s">
        <v>10240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10241</v>
      </c>
      <c r="C3923" t="s">
        <v>10242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13694</v>
      </c>
      <c r="C3924" t="s">
        <v>4840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10243</v>
      </c>
      <c r="C3925" t="s">
        <v>10244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13695</v>
      </c>
      <c r="C3926" t="s">
        <v>4840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10245</v>
      </c>
      <c r="C3927" t="s">
        <v>10246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10247</v>
      </c>
      <c r="C3928" t="s">
        <v>10248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13696</v>
      </c>
      <c r="C3929" t="s">
        <v>4840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10249</v>
      </c>
      <c r="C3930" t="s">
        <v>10250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13697</v>
      </c>
      <c r="C3931" t="s">
        <v>4840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10251</v>
      </c>
      <c r="C3932" t="s">
        <v>10252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14608</v>
      </c>
      <c r="C3933" t="s">
        <v>14609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10253</v>
      </c>
      <c r="C3934" t="s">
        <v>10254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13698</v>
      </c>
      <c r="C3935" t="s">
        <v>4840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10255</v>
      </c>
      <c r="C3936" t="s">
        <v>10256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13699</v>
      </c>
      <c r="C3937" t="s">
        <v>4840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10257</v>
      </c>
      <c r="C3938" t="s">
        <v>10258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10259</v>
      </c>
      <c r="C3939" t="s">
        <v>10260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10261</v>
      </c>
      <c r="C3940" t="s">
        <v>10262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10263</v>
      </c>
      <c r="C3941" t="s">
        <v>10264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10265</v>
      </c>
      <c r="C3942" t="s">
        <v>10266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10267</v>
      </c>
      <c r="C3943" t="s">
        <v>10268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10269</v>
      </c>
      <c r="C3944" t="s">
        <v>10270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10271</v>
      </c>
      <c r="C3945" t="s">
        <v>10272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10273</v>
      </c>
      <c r="C3946" t="s">
        <v>10274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13700</v>
      </c>
      <c r="C3947" t="s">
        <v>4840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10275</v>
      </c>
      <c r="C3948" t="s">
        <v>10276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10277</v>
      </c>
      <c r="C3949" t="s">
        <v>10278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13701</v>
      </c>
      <c r="C3950" t="s">
        <v>4840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10279</v>
      </c>
      <c r="C3951" t="s">
        <v>10280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13702</v>
      </c>
      <c r="C3952" t="s">
        <v>4840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10281</v>
      </c>
      <c r="C3953" t="s">
        <v>10282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10283</v>
      </c>
      <c r="C3954" t="s">
        <v>10282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10284</v>
      </c>
      <c r="C3955" t="s">
        <v>10285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10286</v>
      </c>
      <c r="C3956" t="s">
        <v>10287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10288</v>
      </c>
      <c r="C3957" t="s">
        <v>10289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10290</v>
      </c>
      <c r="C3958" t="s">
        <v>10291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10292</v>
      </c>
      <c r="C3959" t="s">
        <v>10293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13703</v>
      </c>
      <c r="C3960" t="s">
        <v>13704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10294</v>
      </c>
      <c r="C3961" t="s">
        <v>10295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10296</v>
      </c>
      <c r="C3962" t="s">
        <v>10297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10298</v>
      </c>
      <c r="C3963" t="s">
        <v>10299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10300</v>
      </c>
      <c r="C3964" t="s">
        <v>10301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10302</v>
      </c>
      <c r="C3965" t="s">
        <v>10303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10304</v>
      </c>
      <c r="C3966" t="s">
        <v>10305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10306</v>
      </c>
      <c r="C3967" t="s">
        <v>10307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10308</v>
      </c>
      <c r="C3968" t="s">
        <v>10309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10310</v>
      </c>
      <c r="C3969" t="s">
        <v>10311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10312</v>
      </c>
      <c r="C3970" t="s">
        <v>10313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10314</v>
      </c>
      <c r="C3971" t="s">
        <v>10315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10316</v>
      </c>
      <c r="C3972" t="s">
        <v>10317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13705</v>
      </c>
      <c r="C3973" t="s">
        <v>4840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10318</v>
      </c>
      <c r="C3974" t="s">
        <v>10319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13706</v>
      </c>
      <c r="C3975" t="s">
        <v>4840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10320</v>
      </c>
      <c r="C3976" t="s">
        <v>10321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10322</v>
      </c>
      <c r="C3977" t="s">
        <v>10323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13707</v>
      </c>
      <c r="C3978" t="s">
        <v>4840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10324</v>
      </c>
      <c r="C3979" t="s">
        <v>10325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10326</v>
      </c>
      <c r="C3980" t="s">
        <v>10327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10328</v>
      </c>
      <c r="C3981" t="s">
        <v>10329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10330</v>
      </c>
      <c r="C3982" t="s">
        <v>10331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13708</v>
      </c>
      <c r="C3983" t="s">
        <v>4840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10332</v>
      </c>
      <c r="C3984" t="s">
        <v>10333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10334</v>
      </c>
      <c r="C3985" t="s">
        <v>10335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10336</v>
      </c>
      <c r="C3986" t="s">
        <v>10337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10338</v>
      </c>
      <c r="C3987" t="s">
        <v>10339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10340</v>
      </c>
      <c r="C3988" t="s">
        <v>10341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10342</v>
      </c>
      <c r="C3989" t="s">
        <v>10343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13709</v>
      </c>
      <c r="C3990" t="s">
        <v>4840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10344</v>
      </c>
      <c r="C3991" t="s">
        <v>10345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10346</v>
      </c>
      <c r="C3992" t="s">
        <v>10347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10348</v>
      </c>
      <c r="C3993" t="s">
        <v>10349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10350</v>
      </c>
      <c r="C3994" t="s">
        <v>10351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13710</v>
      </c>
      <c r="C3995" t="s">
        <v>13711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13712</v>
      </c>
      <c r="C3996" t="s">
        <v>13713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13714</v>
      </c>
      <c r="C3997" t="s">
        <v>13715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10352</v>
      </c>
      <c r="C3998" t="s">
        <v>10353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13716</v>
      </c>
      <c r="C3999" t="s">
        <v>13717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10354</v>
      </c>
      <c r="C4000" t="s">
        <v>10355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13718</v>
      </c>
      <c r="C4001" t="s">
        <v>13719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13720</v>
      </c>
      <c r="C4002" t="s">
        <v>4840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10356</v>
      </c>
      <c r="C4003" t="s">
        <v>10357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10358</v>
      </c>
      <c r="C4004" t="s">
        <v>10359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13721</v>
      </c>
      <c r="C4005" t="s">
        <v>4840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10360</v>
      </c>
      <c r="C4006" t="s">
        <v>10361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10362</v>
      </c>
      <c r="C4007" t="s">
        <v>10363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10364</v>
      </c>
      <c r="C4008" t="s">
        <v>10365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10366</v>
      </c>
      <c r="C4009" t="s">
        <v>10367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10368</v>
      </c>
      <c r="C4010" t="s">
        <v>10369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10370</v>
      </c>
      <c r="C4011" t="s">
        <v>10371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10372</v>
      </c>
      <c r="C4012" t="s">
        <v>10373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10374</v>
      </c>
      <c r="C4013" t="s">
        <v>10375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10376</v>
      </c>
      <c r="C4014" t="s">
        <v>10377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10378</v>
      </c>
      <c r="C4015" t="s">
        <v>10379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10380</v>
      </c>
      <c r="C4016" t="s">
        <v>10381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13722</v>
      </c>
      <c r="C4017" t="s">
        <v>4840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10382</v>
      </c>
      <c r="C4018" t="s">
        <v>10383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10384</v>
      </c>
      <c r="C4019" t="s">
        <v>10385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10386</v>
      </c>
      <c r="C4020" t="s">
        <v>10387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10388</v>
      </c>
      <c r="C4021" t="s">
        <v>10389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10390</v>
      </c>
      <c r="C4022" t="s">
        <v>10391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13723</v>
      </c>
      <c r="C4023" t="s">
        <v>4840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10392</v>
      </c>
      <c r="C4024" t="s">
        <v>10393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10394</v>
      </c>
      <c r="C4025" t="s">
        <v>10395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13724</v>
      </c>
      <c r="C4026" t="s">
        <v>4840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10396</v>
      </c>
      <c r="C4027" t="s">
        <v>10397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13725</v>
      </c>
      <c r="C4028" t="s">
        <v>4840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13726</v>
      </c>
      <c r="C4029" t="s">
        <v>4840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10398</v>
      </c>
      <c r="C4030" t="s">
        <v>10399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13727</v>
      </c>
      <c r="C4031" t="s">
        <v>4840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10400</v>
      </c>
      <c r="C4032" t="s">
        <v>10401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10402</v>
      </c>
      <c r="C4033" t="s">
        <v>10403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13728</v>
      </c>
      <c r="C4034" t="s">
        <v>4840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10404</v>
      </c>
      <c r="C4035" t="s">
        <v>10405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13729</v>
      </c>
      <c r="C4036" t="s">
        <v>4840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10406</v>
      </c>
      <c r="C4037" t="s">
        <v>10407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10408</v>
      </c>
      <c r="C4038" t="s">
        <v>10409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13730</v>
      </c>
      <c r="C4039" t="s">
        <v>4840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10410</v>
      </c>
      <c r="C4040" t="s">
        <v>10411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10412</v>
      </c>
      <c r="C4041" t="s">
        <v>10413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10414</v>
      </c>
      <c r="C4042" t="s">
        <v>10415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13731</v>
      </c>
      <c r="C4043" t="s">
        <v>4840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10416</v>
      </c>
      <c r="C4044" t="s">
        <v>10417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13732</v>
      </c>
      <c r="C4045" t="s">
        <v>4840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10418</v>
      </c>
      <c r="C4046" t="s">
        <v>10419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10420</v>
      </c>
      <c r="C4047" t="s">
        <v>10421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13733</v>
      </c>
      <c r="C4048" t="s">
        <v>4840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10422</v>
      </c>
      <c r="C4049" t="s">
        <v>10423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13734</v>
      </c>
      <c r="C4050" t="s">
        <v>4840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10424</v>
      </c>
      <c r="C4051" t="s">
        <v>10425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10426</v>
      </c>
      <c r="C4052" t="s">
        <v>10427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10428</v>
      </c>
      <c r="C4053" t="s">
        <v>10429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10430</v>
      </c>
      <c r="C4054" t="s">
        <v>10431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10432</v>
      </c>
      <c r="C4055" t="s">
        <v>10433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13735</v>
      </c>
      <c r="C4056" t="s">
        <v>4840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10434</v>
      </c>
      <c r="C4057" t="s">
        <v>10435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10436</v>
      </c>
      <c r="C4058" t="s">
        <v>10437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13736</v>
      </c>
      <c r="C4059" t="s">
        <v>4840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10438</v>
      </c>
      <c r="C4060" t="s">
        <v>10439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10440</v>
      </c>
      <c r="C4061" t="s">
        <v>10441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10442</v>
      </c>
      <c r="C4062" t="s">
        <v>10443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13737</v>
      </c>
      <c r="C4063" t="s">
        <v>4840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10444</v>
      </c>
      <c r="C4064" t="s">
        <v>10445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10446</v>
      </c>
      <c r="C4065" t="s">
        <v>10447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10448</v>
      </c>
      <c r="C4066" t="s">
        <v>10449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13738</v>
      </c>
      <c r="C4067" t="s">
        <v>13739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13740</v>
      </c>
      <c r="C4068" t="s">
        <v>13741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14610</v>
      </c>
      <c r="C4069" t="s">
        <v>13743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13742</v>
      </c>
      <c r="C4070" t="s">
        <v>13743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10450</v>
      </c>
      <c r="C4071" t="s">
        <v>10451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10452</v>
      </c>
      <c r="C4072" t="s">
        <v>10453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13744</v>
      </c>
      <c r="C4073" t="s">
        <v>4840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10454</v>
      </c>
      <c r="C4074" t="s">
        <v>10455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13745</v>
      </c>
      <c r="C4075" t="s">
        <v>4840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10456</v>
      </c>
      <c r="C4076" t="s">
        <v>14611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13746</v>
      </c>
      <c r="C4077" t="s">
        <v>4840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10457</v>
      </c>
      <c r="C4078" t="s">
        <v>10458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10459</v>
      </c>
      <c r="C4079" t="s">
        <v>10460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10461</v>
      </c>
      <c r="C4080" t="s">
        <v>10462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10463</v>
      </c>
      <c r="C4081" t="s">
        <v>10464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10465</v>
      </c>
      <c r="C4082" t="s">
        <v>10466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13747</v>
      </c>
      <c r="C4083" t="s">
        <v>4840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10467</v>
      </c>
      <c r="C4084" t="s">
        <v>10468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10469</v>
      </c>
      <c r="C4085" t="s">
        <v>10470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13748</v>
      </c>
      <c r="C4086" t="s">
        <v>4840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10471</v>
      </c>
      <c r="C4087" t="s">
        <v>10472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10473</v>
      </c>
      <c r="C4088" t="s">
        <v>10474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10475</v>
      </c>
      <c r="C4089" t="s">
        <v>10476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13749</v>
      </c>
      <c r="C4090" t="s">
        <v>4840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10477</v>
      </c>
      <c r="C4091" t="s">
        <v>10478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13750</v>
      </c>
      <c r="C4092" t="s">
        <v>4840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10479</v>
      </c>
      <c r="C4093" t="s">
        <v>10480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13751</v>
      </c>
      <c r="C4094" t="s">
        <v>4840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10481</v>
      </c>
      <c r="C4095" t="s">
        <v>10482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10483</v>
      </c>
      <c r="C4096" t="s">
        <v>10484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13752</v>
      </c>
      <c r="C4097" t="s">
        <v>4840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10485</v>
      </c>
      <c r="C4098" t="s">
        <v>10486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10487</v>
      </c>
      <c r="C4099" t="s">
        <v>10488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10489</v>
      </c>
      <c r="C4100" t="s">
        <v>10490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10491</v>
      </c>
      <c r="C4101" t="s">
        <v>10492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13753</v>
      </c>
      <c r="C4102" t="s">
        <v>4840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10493</v>
      </c>
      <c r="C4103" t="s">
        <v>10494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13754</v>
      </c>
      <c r="C4104" t="s">
        <v>4840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10495</v>
      </c>
      <c r="C4105" t="s">
        <v>10496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13755</v>
      </c>
      <c r="C4106" t="s">
        <v>4840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10497</v>
      </c>
      <c r="C4107" t="s">
        <v>10496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13756</v>
      </c>
      <c r="C4108" t="s">
        <v>4840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10498</v>
      </c>
      <c r="C4109" t="s">
        <v>10499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13757</v>
      </c>
      <c r="C4110" t="s">
        <v>4840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10500</v>
      </c>
      <c r="C4111" t="s">
        <v>10501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13758</v>
      </c>
      <c r="C4112" t="s">
        <v>4840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10502</v>
      </c>
      <c r="C4113" t="s">
        <v>10503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10504</v>
      </c>
      <c r="C4114" t="s">
        <v>10505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10506</v>
      </c>
      <c r="C4115" t="s">
        <v>10507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13759</v>
      </c>
      <c r="C4116" t="s">
        <v>4840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10508</v>
      </c>
      <c r="C4117" t="s">
        <v>10509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13760</v>
      </c>
      <c r="C4118" t="s">
        <v>4840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10510</v>
      </c>
      <c r="C4119" t="s">
        <v>10511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13761</v>
      </c>
      <c r="C4120" t="s">
        <v>4840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10512</v>
      </c>
      <c r="C4121" t="s">
        <v>10513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10514</v>
      </c>
      <c r="C4122" t="s">
        <v>10515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13762</v>
      </c>
      <c r="C4123" t="s">
        <v>4840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10516</v>
      </c>
      <c r="C4124" t="s">
        <v>10517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13763</v>
      </c>
      <c r="C4125" t="s">
        <v>4840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10518</v>
      </c>
      <c r="C4126" t="s">
        <v>10519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13764</v>
      </c>
      <c r="C4127" t="s">
        <v>4840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10520</v>
      </c>
      <c r="C4128" t="s">
        <v>10521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13765</v>
      </c>
      <c r="C4129" t="s">
        <v>4840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10522</v>
      </c>
      <c r="C4130" t="s">
        <v>10523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13766</v>
      </c>
      <c r="C4131" t="s">
        <v>4840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10524</v>
      </c>
      <c r="C4132" t="s">
        <v>10525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13767</v>
      </c>
      <c r="C4133" t="s">
        <v>4840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10526</v>
      </c>
      <c r="C4134" t="s">
        <v>10527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13768</v>
      </c>
      <c r="C4135" t="s">
        <v>4840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10528</v>
      </c>
      <c r="C4136" t="s">
        <v>10529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10530</v>
      </c>
      <c r="C4137" t="s">
        <v>10531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10532</v>
      </c>
      <c r="C4138" t="s">
        <v>4840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10533</v>
      </c>
      <c r="C4139" t="s">
        <v>10534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10535</v>
      </c>
      <c r="C4140" t="s">
        <v>10536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10537</v>
      </c>
      <c r="C4141" t="s">
        <v>10538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10539</v>
      </c>
      <c r="C4142" t="s">
        <v>10540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10541</v>
      </c>
      <c r="C4143" t="s">
        <v>10542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10543</v>
      </c>
      <c r="C4144" t="s">
        <v>10544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10545</v>
      </c>
      <c r="C4145" t="s">
        <v>10546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10547</v>
      </c>
      <c r="C4146" t="s">
        <v>10548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13769</v>
      </c>
      <c r="C4147" t="s">
        <v>4840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10549</v>
      </c>
      <c r="C4148" t="s">
        <v>10550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13770</v>
      </c>
      <c r="C4149" t="s">
        <v>4840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10551</v>
      </c>
      <c r="C4150" t="s">
        <v>10552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10553</v>
      </c>
      <c r="C4151" t="s">
        <v>10554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10555</v>
      </c>
      <c r="C4152" t="s">
        <v>10556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13771</v>
      </c>
      <c r="C4153" t="s">
        <v>4840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10557</v>
      </c>
      <c r="C4154" t="s">
        <v>10558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10559</v>
      </c>
      <c r="C4155" t="s">
        <v>10560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13772</v>
      </c>
      <c r="C4156" t="s">
        <v>4840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10561</v>
      </c>
      <c r="C4157" t="s">
        <v>10562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10563</v>
      </c>
      <c r="C4158" t="s">
        <v>10564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13773</v>
      </c>
      <c r="C4159" t="s">
        <v>4840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10565</v>
      </c>
      <c r="C4160" t="s">
        <v>10566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10567</v>
      </c>
      <c r="C4161" t="s">
        <v>10568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13774</v>
      </c>
      <c r="C4162" t="s">
        <v>4840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10569</v>
      </c>
      <c r="C4163" t="s">
        <v>10570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13775</v>
      </c>
      <c r="C4164" t="s">
        <v>4840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10571</v>
      </c>
      <c r="C4165" t="s">
        <v>10572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10573</v>
      </c>
      <c r="C4166" t="s">
        <v>10574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10575</v>
      </c>
      <c r="C4167" t="s">
        <v>10576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10577</v>
      </c>
      <c r="C4168" t="s">
        <v>10578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13776</v>
      </c>
      <c r="C4169" t="s">
        <v>4840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10579</v>
      </c>
      <c r="C4170" t="s">
        <v>10580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10581</v>
      </c>
      <c r="C4171" t="s">
        <v>10582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10584</v>
      </c>
      <c r="C4172" t="s">
        <v>10585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13777</v>
      </c>
      <c r="C4173" t="s">
        <v>4840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10586</v>
      </c>
      <c r="C4174" t="s">
        <v>10587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10588</v>
      </c>
      <c r="C4175" t="s">
        <v>10589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10590</v>
      </c>
      <c r="C4176" t="s">
        <v>10591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13778</v>
      </c>
      <c r="C4177" t="s">
        <v>4840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10592</v>
      </c>
      <c r="C4178" t="s">
        <v>10593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13779</v>
      </c>
      <c r="C4179" t="s">
        <v>4840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10594</v>
      </c>
      <c r="C4180" t="s">
        <v>10595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10596</v>
      </c>
      <c r="C4181" t="s">
        <v>10597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10598</v>
      </c>
      <c r="C4182" t="s">
        <v>10599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13780</v>
      </c>
      <c r="C4183" t="s">
        <v>4840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10600</v>
      </c>
      <c r="C4184" t="s">
        <v>10601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13781</v>
      </c>
      <c r="C4185" t="s">
        <v>4840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10602</v>
      </c>
      <c r="C4186" t="s">
        <v>10603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13782</v>
      </c>
      <c r="C4187" t="s">
        <v>4840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10604</v>
      </c>
      <c r="C4188" t="s">
        <v>10605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10606</v>
      </c>
      <c r="C4189" t="s">
        <v>10607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13783</v>
      </c>
      <c r="C4190" t="s">
        <v>4840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10608</v>
      </c>
      <c r="C4191" t="s">
        <v>10609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13784</v>
      </c>
      <c r="C4192" t="s">
        <v>4840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10610</v>
      </c>
      <c r="C4193" t="s">
        <v>10611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13785</v>
      </c>
      <c r="C4194" t="s">
        <v>4840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10612</v>
      </c>
      <c r="C4195" t="s">
        <v>10613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13786</v>
      </c>
      <c r="C4196" t="s">
        <v>4840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10614</v>
      </c>
      <c r="C4197" t="s">
        <v>10615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10616</v>
      </c>
      <c r="C4198" t="s">
        <v>10617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10618</v>
      </c>
      <c r="C4199" t="s">
        <v>10619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10620</v>
      </c>
      <c r="C4200" t="s">
        <v>10621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13787</v>
      </c>
      <c r="C4201" t="s">
        <v>4840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10622</v>
      </c>
      <c r="C4202" t="s">
        <v>10623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10624</v>
      </c>
      <c r="C4203" t="s">
        <v>10625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10626</v>
      </c>
      <c r="C4204" t="s">
        <v>10627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10628</v>
      </c>
      <c r="C4205" t="s">
        <v>14612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13788</v>
      </c>
      <c r="C4206" t="s">
        <v>4840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10629</v>
      </c>
      <c r="C4207" t="s">
        <v>10630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10631</v>
      </c>
      <c r="C4208" t="s">
        <v>10632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13789</v>
      </c>
      <c r="C4209" t="s">
        <v>4840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10633</v>
      </c>
      <c r="C4210" t="s">
        <v>10634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10635</v>
      </c>
      <c r="C4211" t="s">
        <v>10636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13790</v>
      </c>
      <c r="C4212" t="s">
        <v>4840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10637</v>
      </c>
      <c r="C4213" t="s">
        <v>10638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13791</v>
      </c>
      <c r="C4214" t="s">
        <v>4840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10639</v>
      </c>
      <c r="C4215" t="s">
        <v>10640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10641</v>
      </c>
      <c r="C4216" t="s">
        <v>10642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13792</v>
      </c>
      <c r="C4217" t="s">
        <v>4840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10643</v>
      </c>
      <c r="C4218" t="s">
        <v>10644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10645</v>
      </c>
      <c r="C4219" t="s">
        <v>10646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10647</v>
      </c>
      <c r="C4220" t="s">
        <v>10648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10649</v>
      </c>
      <c r="C4221" t="s">
        <v>10650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10651</v>
      </c>
      <c r="C4222" t="s">
        <v>10652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13793</v>
      </c>
      <c r="C4223" t="s">
        <v>4840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10653</v>
      </c>
      <c r="C4224" t="s">
        <v>10654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13794</v>
      </c>
      <c r="C4225" t="s">
        <v>4840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10655</v>
      </c>
      <c r="C4226" t="s">
        <v>10656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10657</v>
      </c>
      <c r="C4227" t="s">
        <v>10658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10659</v>
      </c>
      <c r="C4228" t="s">
        <v>10660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13795</v>
      </c>
      <c r="C4229" t="s">
        <v>4840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10661</v>
      </c>
      <c r="C4230" t="s">
        <v>10662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13796</v>
      </c>
      <c r="C4231" t="s">
        <v>4840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10663</v>
      </c>
      <c r="C4232" t="s">
        <v>10664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13797</v>
      </c>
      <c r="C4233" t="s">
        <v>4840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10665</v>
      </c>
      <c r="C4234" t="s">
        <v>10666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13798</v>
      </c>
      <c r="C4235" t="s">
        <v>4840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10667</v>
      </c>
      <c r="C4236" t="s">
        <v>10668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13799</v>
      </c>
      <c r="C4237" t="s">
        <v>4840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10669</v>
      </c>
      <c r="C4238" t="s">
        <v>10670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10671</v>
      </c>
      <c r="C4239" t="s">
        <v>10672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10673</v>
      </c>
      <c r="C4240" t="s">
        <v>10674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10675</v>
      </c>
      <c r="C4241" t="s">
        <v>10676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13800</v>
      </c>
      <c r="C4242" t="s">
        <v>4840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10677</v>
      </c>
      <c r="C4243" t="s">
        <v>10678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10679</v>
      </c>
      <c r="C4244" t="s">
        <v>10680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10681</v>
      </c>
      <c r="C4245" t="s">
        <v>10682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10683</v>
      </c>
      <c r="C4246" t="s">
        <v>10684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13801</v>
      </c>
      <c r="C4247" t="s">
        <v>4840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10685</v>
      </c>
      <c r="C4248" t="s">
        <v>10686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10687</v>
      </c>
      <c r="C4249" t="s">
        <v>10688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10689</v>
      </c>
      <c r="C4250" t="s">
        <v>10690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10691</v>
      </c>
      <c r="C4251" t="s">
        <v>10692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10693</v>
      </c>
      <c r="C4252" t="s">
        <v>10694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10695</v>
      </c>
      <c r="C4253" t="s">
        <v>10696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10697</v>
      </c>
      <c r="C4254" t="s">
        <v>10698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13802</v>
      </c>
      <c r="C4255" t="s">
        <v>4840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10699</v>
      </c>
      <c r="C4256" t="s">
        <v>10700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10701</v>
      </c>
      <c r="C4257" t="s">
        <v>10702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10703</v>
      </c>
      <c r="C4258" t="s">
        <v>10704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10705</v>
      </c>
      <c r="C4259" t="s">
        <v>10706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13803</v>
      </c>
      <c r="C4260" t="s">
        <v>4840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13804</v>
      </c>
      <c r="C4261" t="s">
        <v>13805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10707</v>
      </c>
      <c r="C4262" t="s">
        <v>10708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13806</v>
      </c>
      <c r="C4263" t="s">
        <v>4840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10709</v>
      </c>
      <c r="C4264" t="s">
        <v>10710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10711</v>
      </c>
      <c r="C4265" t="s">
        <v>10712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13807</v>
      </c>
      <c r="C4266" t="s">
        <v>4840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10713</v>
      </c>
      <c r="C4267" t="s">
        <v>10714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13808</v>
      </c>
      <c r="C4268" t="s">
        <v>4840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10715</v>
      </c>
      <c r="C4269" t="s">
        <v>10525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10716</v>
      </c>
      <c r="C4270" t="s">
        <v>10717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10718</v>
      </c>
      <c r="C4271" t="s">
        <v>10719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13809</v>
      </c>
      <c r="C4272" t="s">
        <v>4840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10720</v>
      </c>
      <c r="C4273" t="s">
        <v>10721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10722</v>
      </c>
      <c r="C4274" t="s">
        <v>10723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10724</v>
      </c>
      <c r="C4275" t="s">
        <v>10725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13810</v>
      </c>
      <c r="C4276" t="s">
        <v>4840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10726</v>
      </c>
      <c r="C4277" t="s">
        <v>10727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10728</v>
      </c>
      <c r="C4278" t="s">
        <v>10729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13811</v>
      </c>
      <c r="C4279" t="s">
        <v>4840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10730</v>
      </c>
      <c r="C4280" t="s">
        <v>10731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10732</v>
      </c>
      <c r="C4281" t="s">
        <v>10733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10734</v>
      </c>
      <c r="C4282" t="s">
        <v>10735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10736</v>
      </c>
      <c r="C4283" t="s">
        <v>10737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10738</v>
      </c>
      <c r="C4284" t="s">
        <v>10739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10740</v>
      </c>
      <c r="C4285" t="s">
        <v>10741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10742</v>
      </c>
      <c r="C4286" t="s">
        <v>10743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13812</v>
      </c>
      <c r="C4287" t="s">
        <v>4840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10744</v>
      </c>
      <c r="C4288" t="s">
        <v>10745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13813</v>
      </c>
      <c r="C4289" t="s">
        <v>4840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10746</v>
      </c>
      <c r="C4290" t="s">
        <v>10747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10748</v>
      </c>
      <c r="C4291" t="s">
        <v>10749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10750</v>
      </c>
      <c r="C4292" t="s">
        <v>10751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10752</v>
      </c>
      <c r="C4293" t="s">
        <v>10753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13814</v>
      </c>
      <c r="C4294" t="s">
        <v>4840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10754</v>
      </c>
      <c r="C4295" t="s">
        <v>10755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13815</v>
      </c>
      <c r="C4296" t="s">
        <v>4840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10756</v>
      </c>
      <c r="C4297" t="s">
        <v>4840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13816</v>
      </c>
      <c r="C4298" t="s">
        <v>4840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10757</v>
      </c>
      <c r="C4299" t="s">
        <v>10758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10759</v>
      </c>
      <c r="C4300" t="s">
        <v>10760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13817</v>
      </c>
      <c r="C4301" t="s">
        <v>4840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10761</v>
      </c>
      <c r="C4302" t="s">
        <v>10762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10763</v>
      </c>
      <c r="C4303" t="s">
        <v>10764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10765</v>
      </c>
      <c r="C4304" t="s">
        <v>10766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10767</v>
      </c>
      <c r="C4305" t="s">
        <v>10768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10769</v>
      </c>
      <c r="C4306" t="s">
        <v>10770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13818</v>
      </c>
      <c r="C4307" t="s">
        <v>4840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10771</v>
      </c>
      <c r="C4308" t="s">
        <v>10772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13819</v>
      </c>
      <c r="C4309" t="s">
        <v>4840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10773</v>
      </c>
      <c r="C4310" t="s">
        <v>10774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13820</v>
      </c>
      <c r="C4311" t="s">
        <v>4840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10775</v>
      </c>
      <c r="C4312" t="s">
        <v>10776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13821</v>
      </c>
      <c r="C4313" t="s">
        <v>4840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10777</v>
      </c>
      <c r="C4314" t="s">
        <v>10778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13822</v>
      </c>
      <c r="C4315" t="s">
        <v>4840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10779</v>
      </c>
      <c r="C4316" t="s">
        <v>10780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13823</v>
      </c>
      <c r="C4317" t="s">
        <v>4840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10781</v>
      </c>
      <c r="C4318" t="s">
        <v>10782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13824</v>
      </c>
      <c r="C4319" t="s">
        <v>4840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10783</v>
      </c>
      <c r="C4320" t="s">
        <v>10784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10785</v>
      </c>
      <c r="C4321" t="s">
        <v>10786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10787</v>
      </c>
      <c r="C4322" t="s">
        <v>10788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13825</v>
      </c>
      <c r="C4323" t="s">
        <v>4840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10789</v>
      </c>
      <c r="C4324" t="s">
        <v>10790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13826</v>
      </c>
      <c r="C4325" t="s">
        <v>4840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10791</v>
      </c>
      <c r="C4326" t="s">
        <v>10792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13827</v>
      </c>
      <c r="C4327" t="s">
        <v>4840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10793</v>
      </c>
      <c r="C4328" t="s">
        <v>10794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13828</v>
      </c>
      <c r="C4329" t="s">
        <v>4840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10795</v>
      </c>
      <c r="C4330" t="s">
        <v>10796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13829</v>
      </c>
      <c r="C4331" t="s">
        <v>4840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10797</v>
      </c>
      <c r="C4332" t="s">
        <v>10798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10799</v>
      </c>
      <c r="C4333" t="s">
        <v>10800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10801</v>
      </c>
      <c r="C4334" t="s">
        <v>10802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13830</v>
      </c>
      <c r="C4335" t="s">
        <v>4840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10803</v>
      </c>
      <c r="C4336" t="s">
        <v>10804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13831</v>
      </c>
      <c r="C4337" t="s">
        <v>4840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10805</v>
      </c>
      <c r="C4338" t="s">
        <v>10806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10807</v>
      </c>
      <c r="C4339" t="s">
        <v>10808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10809</v>
      </c>
      <c r="C4340" t="s">
        <v>10810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10811</v>
      </c>
      <c r="C4341" t="s">
        <v>10812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13832</v>
      </c>
      <c r="C4342" t="s">
        <v>4840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10813</v>
      </c>
      <c r="C4343" t="s">
        <v>10814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10815</v>
      </c>
      <c r="C4344" t="s">
        <v>10816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10817</v>
      </c>
      <c r="C4345" t="s">
        <v>10818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13833</v>
      </c>
      <c r="C4346" t="s">
        <v>4840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10819</v>
      </c>
      <c r="C4347" t="s">
        <v>10820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13834</v>
      </c>
      <c r="C4348" t="s">
        <v>4840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10821</v>
      </c>
      <c r="C4349" t="s">
        <v>10822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13835</v>
      </c>
      <c r="C4350" t="s">
        <v>4840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10823</v>
      </c>
      <c r="C4351" t="s">
        <v>10824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10825</v>
      </c>
      <c r="C4352" t="s">
        <v>10826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10827</v>
      </c>
      <c r="C4353" t="s">
        <v>10828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10829</v>
      </c>
      <c r="C4354" t="s">
        <v>10830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10831</v>
      </c>
      <c r="C4355" t="s">
        <v>14613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10832</v>
      </c>
      <c r="C4356" t="s">
        <v>10833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10834</v>
      </c>
      <c r="C4357" t="s">
        <v>10835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10836</v>
      </c>
      <c r="C4358" t="s">
        <v>10837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14614</v>
      </c>
      <c r="C4359" t="s">
        <v>14615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13836</v>
      </c>
      <c r="C4360" t="s">
        <v>4840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10838</v>
      </c>
      <c r="C4361" t="s">
        <v>10839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10840</v>
      </c>
      <c r="C4362" t="s">
        <v>10841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10842</v>
      </c>
      <c r="C4363" t="s">
        <v>10843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10844</v>
      </c>
      <c r="C4364" t="s">
        <v>10845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13837</v>
      </c>
      <c r="C4365" t="s">
        <v>4840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10846</v>
      </c>
      <c r="C4366" t="s">
        <v>10847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10848</v>
      </c>
      <c r="C4367" t="s">
        <v>10849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10850</v>
      </c>
      <c r="C4368" t="s">
        <v>10851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13838</v>
      </c>
      <c r="C4369" t="s">
        <v>4840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10852</v>
      </c>
      <c r="C4370" t="s">
        <v>10853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10854</v>
      </c>
      <c r="C4371" t="s">
        <v>10855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13839</v>
      </c>
      <c r="C4372" t="s">
        <v>4840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10856</v>
      </c>
      <c r="C4373" t="s">
        <v>10857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10858</v>
      </c>
      <c r="C4374" t="s">
        <v>10859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10860</v>
      </c>
      <c r="C4375" t="s">
        <v>4840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10861</v>
      </c>
      <c r="C4376" t="s">
        <v>10862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10863</v>
      </c>
      <c r="C4377" t="s">
        <v>10864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10865</v>
      </c>
      <c r="C4378" t="s">
        <v>10866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13840</v>
      </c>
      <c r="C4379" t="s">
        <v>4840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10867</v>
      </c>
      <c r="C4380" t="s">
        <v>10868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13841</v>
      </c>
      <c r="C4381" t="s">
        <v>4840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10869</v>
      </c>
      <c r="C4382" t="s">
        <v>10870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10871</v>
      </c>
      <c r="C4383" t="s">
        <v>10872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10873</v>
      </c>
      <c r="C4384" t="s">
        <v>10874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10875</v>
      </c>
      <c r="C4385" t="s">
        <v>10876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10877</v>
      </c>
      <c r="C4386" t="s">
        <v>10878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10879</v>
      </c>
      <c r="C4387" t="s">
        <v>10880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10881</v>
      </c>
      <c r="C4388" t="s">
        <v>10882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13842</v>
      </c>
      <c r="C4389" t="s">
        <v>4840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10883</v>
      </c>
      <c r="C4390" t="s">
        <v>10884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13843</v>
      </c>
      <c r="C4391" t="s">
        <v>4840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10885</v>
      </c>
      <c r="C4392" t="s">
        <v>10886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10887</v>
      </c>
      <c r="C4393" t="s">
        <v>10888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10889</v>
      </c>
      <c r="C4394" t="s">
        <v>10890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10891</v>
      </c>
      <c r="C4395" t="s">
        <v>10892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10893</v>
      </c>
      <c r="C4396" t="s">
        <v>10894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13844</v>
      </c>
      <c r="C4397" t="s">
        <v>4840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10895</v>
      </c>
      <c r="C4398" t="s">
        <v>10583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10896</v>
      </c>
      <c r="C4399" t="s">
        <v>10897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10898</v>
      </c>
      <c r="C4400" t="s">
        <v>10899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10900</v>
      </c>
      <c r="C4401" t="s">
        <v>10901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13845</v>
      </c>
      <c r="C4402" t="s">
        <v>4840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10902</v>
      </c>
      <c r="C4403" t="s">
        <v>10583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10903</v>
      </c>
      <c r="C4404" t="s">
        <v>10904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10905</v>
      </c>
      <c r="C4405" t="s">
        <v>10906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10907</v>
      </c>
      <c r="C4406" t="s">
        <v>10908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10909</v>
      </c>
      <c r="C4407" t="s">
        <v>10910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10911</v>
      </c>
      <c r="C4408" t="s">
        <v>14616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13846</v>
      </c>
      <c r="C4409" t="s">
        <v>4840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10912</v>
      </c>
      <c r="C4410" t="s">
        <v>10913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13847</v>
      </c>
      <c r="C4411" t="s">
        <v>4840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10914</v>
      </c>
      <c r="C4412" t="s">
        <v>10915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13848</v>
      </c>
      <c r="C4413" t="s">
        <v>4840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10916</v>
      </c>
      <c r="C4414" t="s">
        <v>10917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13849</v>
      </c>
      <c r="C4415" t="s">
        <v>4840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10918</v>
      </c>
      <c r="C4416" t="s">
        <v>10919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10920</v>
      </c>
      <c r="C4417" t="s">
        <v>10921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10922</v>
      </c>
      <c r="C4418" t="s">
        <v>10923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10924</v>
      </c>
      <c r="C4419" t="s">
        <v>10925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13850</v>
      </c>
      <c r="C4420" t="s">
        <v>4840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10926</v>
      </c>
      <c r="C4421" t="s">
        <v>10927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14617</v>
      </c>
      <c r="C4422" t="s">
        <v>14618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10928</v>
      </c>
      <c r="C4423" t="s">
        <v>10929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10930</v>
      </c>
      <c r="C4424" t="s">
        <v>10931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10932</v>
      </c>
      <c r="C4425" t="s">
        <v>10933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14619</v>
      </c>
      <c r="C4426" t="s">
        <v>14620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10934</v>
      </c>
      <c r="C4427" t="s">
        <v>10935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10936</v>
      </c>
      <c r="C4428" t="s">
        <v>10937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10938</v>
      </c>
      <c r="C4429" t="s">
        <v>10939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13851</v>
      </c>
      <c r="C4430" t="s">
        <v>4840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10940</v>
      </c>
      <c r="C4431" t="s">
        <v>10941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10942</v>
      </c>
      <c r="C4432" t="s">
        <v>10943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10944</v>
      </c>
      <c r="C4433" t="s">
        <v>10945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10946</v>
      </c>
      <c r="C4434" t="s">
        <v>10947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10948</v>
      </c>
      <c r="C4435" t="s">
        <v>10949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10950</v>
      </c>
      <c r="C4436" t="s">
        <v>10951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10952</v>
      </c>
      <c r="C4437" t="s">
        <v>10953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13852</v>
      </c>
      <c r="C4438" t="s">
        <v>4840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10954</v>
      </c>
      <c r="C4439" t="s">
        <v>10955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10956</v>
      </c>
      <c r="C4440" t="s">
        <v>10957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10958</v>
      </c>
      <c r="C4441" t="s">
        <v>10959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10960</v>
      </c>
      <c r="C4442" t="s">
        <v>10961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13853</v>
      </c>
      <c r="C4443" t="s">
        <v>4840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10962</v>
      </c>
      <c r="C4444" t="s">
        <v>10963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13854</v>
      </c>
      <c r="C4445" t="s">
        <v>4840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10964</v>
      </c>
      <c r="C4446" t="s">
        <v>10965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10966</v>
      </c>
      <c r="C4447" t="s">
        <v>10967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10968</v>
      </c>
      <c r="C4448" t="s">
        <v>10969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13855</v>
      </c>
      <c r="C4449" t="s">
        <v>4840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10970</v>
      </c>
      <c r="C4450" t="s">
        <v>10971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10972</v>
      </c>
      <c r="C4451" t="s">
        <v>10973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10974</v>
      </c>
      <c r="C4452" t="s">
        <v>10975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10976</v>
      </c>
      <c r="C4453" t="s">
        <v>10977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13856</v>
      </c>
      <c r="C4454" t="s">
        <v>4840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10978</v>
      </c>
      <c r="C4455" t="s">
        <v>10979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13857</v>
      </c>
      <c r="C4456" t="s">
        <v>4840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10980</v>
      </c>
      <c r="C4457" t="s">
        <v>10981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13858</v>
      </c>
      <c r="C4458" t="s">
        <v>4840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10982</v>
      </c>
      <c r="C4459" t="s">
        <v>10983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13859</v>
      </c>
      <c r="C4460" t="s">
        <v>4840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10984</v>
      </c>
      <c r="C4461" t="s">
        <v>10985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10986</v>
      </c>
      <c r="C4462" t="s">
        <v>10987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10988</v>
      </c>
      <c r="C4463" t="s">
        <v>10989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13860</v>
      </c>
      <c r="C4464" t="s">
        <v>4840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10990</v>
      </c>
      <c r="C4465" t="s">
        <v>10991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10992</v>
      </c>
      <c r="C4466" t="s">
        <v>10993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13861</v>
      </c>
      <c r="C4467" t="s">
        <v>4840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10994</v>
      </c>
      <c r="C4468" t="s">
        <v>10995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13862</v>
      </c>
      <c r="C4469" t="s">
        <v>4840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10996</v>
      </c>
      <c r="C4470" t="s">
        <v>10997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13863</v>
      </c>
      <c r="C4471" t="s">
        <v>4840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10998</v>
      </c>
      <c r="C4472" t="s">
        <v>10999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11000</v>
      </c>
      <c r="C4473" t="s">
        <v>11001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11002</v>
      </c>
      <c r="C4474" t="s">
        <v>11003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11004</v>
      </c>
      <c r="C4475" t="s">
        <v>11005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13864</v>
      </c>
      <c r="C4476" t="s">
        <v>4840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11006</v>
      </c>
      <c r="C4477" t="s">
        <v>11007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13865</v>
      </c>
      <c r="C4478" t="s">
        <v>4840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11008</v>
      </c>
      <c r="C4479" t="s">
        <v>10981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13866</v>
      </c>
      <c r="C4480" t="s">
        <v>4840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11009</v>
      </c>
      <c r="C4481" t="s">
        <v>11010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13867</v>
      </c>
      <c r="C4482" t="s">
        <v>4840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11011</v>
      </c>
      <c r="C4483" t="s">
        <v>11012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13868</v>
      </c>
      <c r="C4484" t="s">
        <v>4840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11013</v>
      </c>
      <c r="C4485" t="s">
        <v>11012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13869</v>
      </c>
      <c r="C4486" t="s">
        <v>4840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11014</v>
      </c>
      <c r="C4487" t="s">
        <v>11015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13870</v>
      </c>
      <c r="C4488" t="s">
        <v>4840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11016</v>
      </c>
      <c r="C4489" t="s">
        <v>10583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11017</v>
      </c>
      <c r="C4490" t="s">
        <v>4840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11018</v>
      </c>
      <c r="C4491" t="s">
        <v>11019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11020</v>
      </c>
      <c r="C4492" t="s">
        <v>11021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11022</v>
      </c>
      <c r="C4493" t="s">
        <v>11023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11024</v>
      </c>
      <c r="C4494" t="s">
        <v>11025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11026</v>
      </c>
      <c r="C4495" t="s">
        <v>4840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11027</v>
      </c>
      <c r="C4496" t="s">
        <v>11028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11029</v>
      </c>
      <c r="C4497" t="s">
        <v>11030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13871</v>
      </c>
      <c r="C4498" t="s">
        <v>4840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11031</v>
      </c>
      <c r="C4499" t="s">
        <v>11032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11033</v>
      </c>
      <c r="C4500" t="s">
        <v>11034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11035</v>
      </c>
      <c r="C4501" t="s">
        <v>11036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11037</v>
      </c>
      <c r="C4502" t="s">
        <v>11038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13872</v>
      </c>
      <c r="C4503" t="s">
        <v>4840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11039</v>
      </c>
      <c r="C4504" t="s">
        <v>11040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11041</v>
      </c>
      <c r="C4505" t="s">
        <v>11042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11043</v>
      </c>
      <c r="C4506" t="s">
        <v>11044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11045</v>
      </c>
      <c r="C4507" t="s">
        <v>11046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13873</v>
      </c>
      <c r="C4508" t="s">
        <v>4840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11047</v>
      </c>
      <c r="C4509" t="s">
        <v>11048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11049</v>
      </c>
      <c r="C4510" t="s">
        <v>11050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13874</v>
      </c>
      <c r="C4511" t="s">
        <v>4840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11051</v>
      </c>
      <c r="C4512" t="s">
        <v>11052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11053</v>
      </c>
      <c r="C4513" t="s">
        <v>11054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11055</v>
      </c>
      <c r="C4514" t="s">
        <v>11056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11057</v>
      </c>
      <c r="C4515" t="s">
        <v>11058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13875</v>
      </c>
      <c r="C4516" t="s">
        <v>4840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11059</v>
      </c>
      <c r="C4517" t="s">
        <v>11060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11061</v>
      </c>
      <c r="C4518" t="s">
        <v>11062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13876</v>
      </c>
      <c r="C4519" t="s">
        <v>4840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11063</v>
      </c>
      <c r="C4520" t="s">
        <v>11064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11065</v>
      </c>
      <c r="C4521" t="s">
        <v>14621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13877</v>
      </c>
      <c r="C4522" t="s">
        <v>4840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11066</v>
      </c>
      <c r="C4523" t="s">
        <v>11067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11068</v>
      </c>
      <c r="C4524" t="s">
        <v>11069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11070</v>
      </c>
      <c r="C4525" t="s">
        <v>11071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11072</v>
      </c>
      <c r="C4526" t="s">
        <v>11073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11074</v>
      </c>
      <c r="C4527" t="s">
        <v>11075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11076</v>
      </c>
      <c r="C4528" t="s">
        <v>11077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11078</v>
      </c>
      <c r="C4529" t="s">
        <v>11079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11080</v>
      </c>
      <c r="C4530" t="s">
        <v>11081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11082</v>
      </c>
      <c r="C4531" t="s">
        <v>11083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13878</v>
      </c>
      <c r="C4532" t="s">
        <v>4840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11084</v>
      </c>
      <c r="C4533" t="s">
        <v>11085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11086</v>
      </c>
      <c r="C4534" t="s">
        <v>11087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11088</v>
      </c>
      <c r="C4535" t="s">
        <v>11089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11090</v>
      </c>
      <c r="C4536" t="s">
        <v>11091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11092</v>
      </c>
      <c r="C4537" t="s">
        <v>11093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11094</v>
      </c>
      <c r="C4538" t="s">
        <v>11095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11096</v>
      </c>
      <c r="C4539" t="s">
        <v>11097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11098</v>
      </c>
      <c r="C4540" t="s">
        <v>11099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11100</v>
      </c>
      <c r="C4541" t="s">
        <v>11101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13879</v>
      </c>
      <c r="C4542" t="s">
        <v>4840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11102</v>
      </c>
      <c r="C4543" t="s">
        <v>11103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11104</v>
      </c>
      <c r="C4544" t="s">
        <v>11105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13880</v>
      </c>
      <c r="C4545" t="s">
        <v>13881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13882</v>
      </c>
      <c r="C4546" t="s">
        <v>13883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13884</v>
      </c>
      <c r="C4547" t="s">
        <v>13885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13886</v>
      </c>
      <c r="C4548" t="s">
        <v>13887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13888</v>
      </c>
      <c r="C4549" t="s">
        <v>13889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13890</v>
      </c>
      <c r="C4550" t="s">
        <v>13891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13892</v>
      </c>
      <c r="C4551" t="s">
        <v>13893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13894</v>
      </c>
      <c r="C4552" t="s">
        <v>13895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13896</v>
      </c>
      <c r="C4553" t="s">
        <v>13897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13898</v>
      </c>
      <c r="C4554" t="s">
        <v>4840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11106</v>
      </c>
      <c r="C4555" t="s">
        <v>11107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11108</v>
      </c>
      <c r="C4556" t="s">
        <v>11109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11110</v>
      </c>
      <c r="C4557" t="s">
        <v>11111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13899</v>
      </c>
      <c r="C4558" t="s">
        <v>4840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11112</v>
      </c>
      <c r="C4559" t="s">
        <v>11113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11114</v>
      </c>
      <c r="C4560" t="s">
        <v>11115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11116</v>
      </c>
      <c r="C4561" t="s">
        <v>11117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11118</v>
      </c>
      <c r="C4562" t="s">
        <v>11119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11120</v>
      </c>
      <c r="C4563" t="s">
        <v>11121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11122</v>
      </c>
      <c r="C4564" t="s">
        <v>11123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13900</v>
      </c>
      <c r="C4565" t="s">
        <v>13901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13902</v>
      </c>
      <c r="C4566" t="s">
        <v>13903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13904</v>
      </c>
      <c r="C4567" t="s">
        <v>13905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13906</v>
      </c>
      <c r="C4568" t="s">
        <v>13907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13908</v>
      </c>
      <c r="C4569" t="s">
        <v>13909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13910</v>
      </c>
      <c r="C4570" t="s">
        <v>13911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13912</v>
      </c>
      <c r="C4571" t="s">
        <v>13913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13914</v>
      </c>
      <c r="C4572" t="s">
        <v>13915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13916</v>
      </c>
      <c r="C4573" t="s">
        <v>13917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13918</v>
      </c>
      <c r="C4574" t="s">
        <v>13919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13920</v>
      </c>
      <c r="C4575" t="s">
        <v>13921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13922</v>
      </c>
      <c r="C4576" t="s">
        <v>13923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13924</v>
      </c>
      <c r="C4577" t="s">
        <v>4840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11124</v>
      </c>
      <c r="C4578" t="s">
        <v>11125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13925</v>
      </c>
      <c r="C4579" t="s">
        <v>4840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11126</v>
      </c>
      <c r="C4580" t="s">
        <v>11127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11128</v>
      </c>
      <c r="C4581" t="s">
        <v>11129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11130</v>
      </c>
      <c r="C4582" t="s">
        <v>11131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11132</v>
      </c>
      <c r="C4583" t="s">
        <v>11133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11134</v>
      </c>
      <c r="C4584" t="s">
        <v>11135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13926</v>
      </c>
      <c r="C4585" t="s">
        <v>4840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11136</v>
      </c>
      <c r="C4586" t="s">
        <v>11137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11138</v>
      </c>
      <c r="C4587" t="s">
        <v>11139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13927</v>
      </c>
      <c r="C4588" t="s">
        <v>4840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11140</v>
      </c>
      <c r="C4589" t="s">
        <v>11141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11142</v>
      </c>
      <c r="C4590" t="s">
        <v>11143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11144</v>
      </c>
      <c r="C4591" t="s">
        <v>11145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13928</v>
      </c>
      <c r="C4592" t="s">
        <v>4840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11146</v>
      </c>
      <c r="C4593" t="s">
        <v>11147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11148</v>
      </c>
      <c r="C4594" t="s">
        <v>11149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11150</v>
      </c>
      <c r="C4595" t="s">
        <v>11151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11152</v>
      </c>
      <c r="C4596" t="s">
        <v>11153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11154</v>
      </c>
      <c r="C4597" t="s">
        <v>11155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13929</v>
      </c>
      <c r="C4598" t="s">
        <v>4840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11156</v>
      </c>
      <c r="C4599" t="s">
        <v>11157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13930</v>
      </c>
      <c r="C4600" t="s">
        <v>4840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11158</v>
      </c>
      <c r="C4601" t="s">
        <v>11159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11160</v>
      </c>
      <c r="C4602" t="s">
        <v>11161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11162</v>
      </c>
      <c r="C4603" t="s">
        <v>11163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11164</v>
      </c>
      <c r="C4604" t="s">
        <v>11165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11166</v>
      </c>
      <c r="C4605" t="s">
        <v>11167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11168</v>
      </c>
      <c r="C4606" t="s">
        <v>11169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11170</v>
      </c>
      <c r="C4607" t="s">
        <v>11171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11172</v>
      </c>
      <c r="C4608" t="s">
        <v>11173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11174</v>
      </c>
      <c r="C4609" t="s">
        <v>11175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11176</v>
      </c>
      <c r="C4610" t="s">
        <v>11177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11178</v>
      </c>
      <c r="C4611" t="s">
        <v>11179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11180</v>
      </c>
      <c r="C4612" t="s">
        <v>11181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11182</v>
      </c>
      <c r="C4613" t="s">
        <v>11183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13931</v>
      </c>
      <c r="C4614" t="s">
        <v>4840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11184</v>
      </c>
      <c r="C4615" t="s">
        <v>11185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11186</v>
      </c>
      <c r="C4616" t="s">
        <v>11187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11188</v>
      </c>
      <c r="C4617" t="s">
        <v>11189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11190</v>
      </c>
      <c r="C4618" t="s">
        <v>11191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11192</v>
      </c>
      <c r="C4619" t="s">
        <v>11193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11194</v>
      </c>
      <c r="C4620" t="s">
        <v>11195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11196</v>
      </c>
      <c r="C4621" t="s">
        <v>11197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11198</v>
      </c>
      <c r="C4622" t="s">
        <v>11199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11200</v>
      </c>
      <c r="C4623" t="s">
        <v>11201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11202</v>
      </c>
      <c r="C4624" t="s">
        <v>11203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11204</v>
      </c>
      <c r="C4625" t="s">
        <v>11205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11206</v>
      </c>
      <c r="C4626" t="s">
        <v>11207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13932</v>
      </c>
      <c r="C4627" t="s">
        <v>4840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11208</v>
      </c>
      <c r="C4628" t="s">
        <v>11209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13933</v>
      </c>
      <c r="C4629" t="s">
        <v>4840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11210</v>
      </c>
      <c r="C4630" t="s">
        <v>11211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13934</v>
      </c>
      <c r="C4631" t="s">
        <v>4840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11212</v>
      </c>
      <c r="C4632" t="s">
        <v>11213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11214</v>
      </c>
      <c r="C4633" t="s">
        <v>11215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11216</v>
      </c>
      <c r="C4634" t="s">
        <v>11217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13935</v>
      </c>
      <c r="C4635" t="s">
        <v>4840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11218</v>
      </c>
      <c r="C4636" t="s">
        <v>11219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11220</v>
      </c>
      <c r="C4637" t="s">
        <v>11221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11222</v>
      </c>
      <c r="C4638" t="s">
        <v>11223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11224</v>
      </c>
      <c r="C4639" t="s">
        <v>11225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11226</v>
      </c>
      <c r="C4640" t="s">
        <v>11227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11228</v>
      </c>
      <c r="C4641" t="s">
        <v>11229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11230</v>
      </c>
      <c r="C4642" t="s">
        <v>11231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11232</v>
      </c>
      <c r="C4643" t="s">
        <v>11233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11234</v>
      </c>
      <c r="C4644" t="s">
        <v>11235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11236</v>
      </c>
      <c r="C4645" t="s">
        <v>11237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11238</v>
      </c>
      <c r="C4646" t="s">
        <v>11239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11240</v>
      </c>
      <c r="C4647" t="s">
        <v>11241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11242</v>
      </c>
      <c r="C4648" t="s">
        <v>11243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11244</v>
      </c>
      <c r="C4649" t="s">
        <v>11245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13936</v>
      </c>
      <c r="C4650" t="s">
        <v>4840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11246</v>
      </c>
      <c r="C4651" t="s">
        <v>11247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13937</v>
      </c>
      <c r="C4652" t="s">
        <v>4840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11248</v>
      </c>
      <c r="C4653" t="s">
        <v>11249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11250</v>
      </c>
      <c r="C4654" t="s">
        <v>11251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11252</v>
      </c>
      <c r="C4655" t="s">
        <v>11253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11254</v>
      </c>
      <c r="C4656" t="s">
        <v>11255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11256</v>
      </c>
      <c r="C4657" t="s">
        <v>11257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13938</v>
      </c>
      <c r="C4658" t="s">
        <v>4840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11258</v>
      </c>
      <c r="C4659" t="s">
        <v>11259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13939</v>
      </c>
      <c r="C4660" t="s">
        <v>4840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11260</v>
      </c>
      <c r="C4661" t="s">
        <v>11261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11262</v>
      </c>
      <c r="C4662" t="s">
        <v>11263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11264</v>
      </c>
      <c r="C4663" t="s">
        <v>11265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13940</v>
      </c>
      <c r="C4664" t="s">
        <v>4840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11266</v>
      </c>
      <c r="C4665" t="s">
        <v>11267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13941</v>
      </c>
      <c r="C4666" t="s">
        <v>4840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11268</v>
      </c>
      <c r="C4667" t="s">
        <v>11269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11270</v>
      </c>
      <c r="C4668" t="s">
        <v>11271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11272</v>
      </c>
      <c r="C4669" t="s">
        <v>11273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11274</v>
      </c>
      <c r="C4670" t="s">
        <v>11275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11276</v>
      </c>
      <c r="C4671" t="s">
        <v>11277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11278</v>
      </c>
      <c r="C4672" t="s">
        <v>11279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11280</v>
      </c>
      <c r="C4673" t="s">
        <v>11281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11282</v>
      </c>
      <c r="C4674" t="s">
        <v>11283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13942</v>
      </c>
      <c r="C4675" t="s">
        <v>4840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11284</v>
      </c>
      <c r="C4676" t="s">
        <v>11285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11286</v>
      </c>
      <c r="C4677" t="s">
        <v>11287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11288</v>
      </c>
      <c r="C4678" t="s">
        <v>11289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11290</v>
      </c>
      <c r="C4679" t="s">
        <v>11291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11292</v>
      </c>
      <c r="C4680" t="s">
        <v>14622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13943</v>
      </c>
      <c r="C4681" t="s">
        <v>4840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11293</v>
      </c>
      <c r="C4682" t="s">
        <v>11294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11295</v>
      </c>
      <c r="C4683" t="s">
        <v>11296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11297</v>
      </c>
      <c r="C4684" t="s">
        <v>11298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11299</v>
      </c>
      <c r="C4685" t="s">
        <v>11300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11301</v>
      </c>
      <c r="C4686" t="s">
        <v>11302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11303</v>
      </c>
      <c r="C4687" t="s">
        <v>11304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13944</v>
      </c>
      <c r="C4688" t="s">
        <v>4840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11305</v>
      </c>
      <c r="C4689" t="s">
        <v>11306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11307</v>
      </c>
      <c r="C4690" t="s">
        <v>11308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11309</v>
      </c>
      <c r="C4691" t="s">
        <v>11310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11311</v>
      </c>
      <c r="C4692" t="s">
        <v>11312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11313</v>
      </c>
      <c r="C4693" t="s">
        <v>11314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11315</v>
      </c>
      <c r="C4694" t="s">
        <v>11316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11317</v>
      </c>
      <c r="C4695" t="s">
        <v>11318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11319</v>
      </c>
      <c r="C4696" t="s">
        <v>11320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13945</v>
      </c>
      <c r="C4697" t="s">
        <v>4840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11321</v>
      </c>
      <c r="C4698" t="s">
        <v>11322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11323</v>
      </c>
      <c r="C4699" t="s">
        <v>11324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13946</v>
      </c>
      <c r="C4700" t="s">
        <v>4840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11325</v>
      </c>
      <c r="C4701" t="s">
        <v>11326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11327</v>
      </c>
      <c r="C4702" t="s">
        <v>11328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13947</v>
      </c>
      <c r="C4703" t="s">
        <v>4840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11329</v>
      </c>
      <c r="C4704" t="s">
        <v>11330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11331</v>
      </c>
      <c r="C4705" t="s">
        <v>11332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11333</v>
      </c>
      <c r="C4706" t="s">
        <v>11334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11335</v>
      </c>
      <c r="C4707" t="s">
        <v>4840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11336</v>
      </c>
      <c r="C4708" t="s">
        <v>11337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11338</v>
      </c>
      <c r="C4709" t="s">
        <v>11339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11340</v>
      </c>
      <c r="C4710" t="s">
        <v>11341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11342</v>
      </c>
      <c r="C4711" t="s">
        <v>11343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11344</v>
      </c>
      <c r="C4712" t="s">
        <v>11345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11346</v>
      </c>
      <c r="C4713" t="s">
        <v>11347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11348</v>
      </c>
      <c r="C4714" t="s">
        <v>11349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11350</v>
      </c>
      <c r="C4715" t="s">
        <v>11351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11352</v>
      </c>
      <c r="C4716" t="s">
        <v>11353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11354</v>
      </c>
      <c r="C4717" t="s">
        <v>11355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11356</v>
      </c>
      <c r="C4718" t="s">
        <v>11357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11358</v>
      </c>
      <c r="C4719" t="s">
        <v>11359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11360</v>
      </c>
      <c r="C4720" t="s">
        <v>11361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11362</v>
      </c>
      <c r="C4721" t="s">
        <v>11363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11364</v>
      </c>
      <c r="C4722" t="s">
        <v>11365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11366</v>
      </c>
      <c r="C4723" t="s">
        <v>11367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11368</v>
      </c>
      <c r="C4724" t="s">
        <v>11369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11370</v>
      </c>
      <c r="C4725" t="s">
        <v>11371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13948</v>
      </c>
      <c r="C4726" t="s">
        <v>4840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11372</v>
      </c>
      <c r="C4727" t="s">
        <v>11373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11374</v>
      </c>
      <c r="C4728" t="s">
        <v>11375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11376</v>
      </c>
      <c r="C4729" t="s">
        <v>11377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11378</v>
      </c>
      <c r="C4730" t="s">
        <v>11379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11380</v>
      </c>
      <c r="C4731" t="s">
        <v>11381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13949</v>
      </c>
      <c r="C4732" t="s">
        <v>4840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11382</v>
      </c>
      <c r="C4733" t="s">
        <v>11383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11384</v>
      </c>
      <c r="C4734" t="s">
        <v>11385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11386</v>
      </c>
      <c r="C4735" t="s">
        <v>11387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11388</v>
      </c>
      <c r="C4736" t="s">
        <v>11389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11390</v>
      </c>
      <c r="C4737" t="s">
        <v>11391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11392</v>
      </c>
      <c r="C4738" t="s">
        <v>11393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11394</v>
      </c>
      <c r="C4739" t="s">
        <v>11395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11396</v>
      </c>
      <c r="C4740" t="s">
        <v>11397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11398</v>
      </c>
      <c r="C4741" t="s">
        <v>11399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11400</v>
      </c>
      <c r="C4742" t="s">
        <v>11401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11402</v>
      </c>
      <c r="C4743" t="s">
        <v>11403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11404</v>
      </c>
      <c r="C4744" t="s">
        <v>11405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11406</v>
      </c>
      <c r="C4745" t="s">
        <v>11407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11408</v>
      </c>
      <c r="C4746" t="s">
        <v>11409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11410</v>
      </c>
      <c r="C4747" t="s">
        <v>11411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11412</v>
      </c>
      <c r="C4748" t="s">
        <v>11413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11414</v>
      </c>
      <c r="C4749" t="s">
        <v>11415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11416</v>
      </c>
      <c r="C4750" t="s">
        <v>11417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11418</v>
      </c>
      <c r="C4751" t="s">
        <v>11419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11420</v>
      </c>
      <c r="C4752" t="s">
        <v>11421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11422</v>
      </c>
      <c r="C4753" t="s">
        <v>11423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11424</v>
      </c>
      <c r="C4754" t="s">
        <v>11425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11426</v>
      </c>
      <c r="C4755" t="s">
        <v>11427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11428</v>
      </c>
      <c r="C4756" t="s">
        <v>11429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11430</v>
      </c>
      <c r="C4757" t="s">
        <v>11431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11432</v>
      </c>
      <c r="C4758" t="s">
        <v>11433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11434</v>
      </c>
      <c r="C4759" t="s">
        <v>11435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11436</v>
      </c>
      <c r="C4760" t="s">
        <v>11437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11438</v>
      </c>
      <c r="C4761" t="s">
        <v>11439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11440</v>
      </c>
      <c r="C4762" t="s">
        <v>11441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11442</v>
      </c>
      <c r="C4763" t="s">
        <v>11443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11444</v>
      </c>
      <c r="C4764" t="s">
        <v>11445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13950</v>
      </c>
      <c r="C4765" t="s">
        <v>4840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11446</v>
      </c>
      <c r="C4766" t="s">
        <v>11447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13951</v>
      </c>
      <c r="C4767" t="s">
        <v>4840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11448</v>
      </c>
      <c r="C4768" t="s">
        <v>11449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11450</v>
      </c>
      <c r="C4769" t="s">
        <v>11451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11452</v>
      </c>
      <c r="C4770" t="s">
        <v>11271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11453</v>
      </c>
      <c r="C4771" t="s">
        <v>11454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11455</v>
      </c>
      <c r="C4772" t="s">
        <v>11456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11457</v>
      </c>
      <c r="C4773" t="s">
        <v>11458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11459</v>
      </c>
      <c r="C4774" t="s">
        <v>11460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13952</v>
      </c>
      <c r="C4775" t="s">
        <v>4840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11461</v>
      </c>
      <c r="C4776" t="s">
        <v>11462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11463</v>
      </c>
      <c r="C4777" t="s">
        <v>11464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11465</v>
      </c>
      <c r="C4778" t="s">
        <v>11466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13953</v>
      </c>
      <c r="C4779" t="s">
        <v>4840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11467</v>
      </c>
      <c r="C4780" t="s">
        <v>11468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13954</v>
      </c>
      <c r="C4781" t="s">
        <v>4840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11469</v>
      </c>
      <c r="C4782" t="s">
        <v>9381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11470</v>
      </c>
      <c r="C4783" t="s">
        <v>11471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11472</v>
      </c>
      <c r="C4784" t="s">
        <v>11473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11474</v>
      </c>
      <c r="C4785" t="s">
        <v>11475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11476</v>
      </c>
      <c r="C4786" t="s">
        <v>11477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11478</v>
      </c>
      <c r="C4787" t="s">
        <v>11479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13955</v>
      </c>
      <c r="C4788" t="s">
        <v>4840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11480</v>
      </c>
      <c r="C4789" t="s">
        <v>11481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11482</v>
      </c>
      <c r="C4790" t="s">
        <v>11483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11484</v>
      </c>
      <c r="C4791" t="s">
        <v>11485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11486</v>
      </c>
      <c r="C4792" t="s">
        <v>11487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11488</v>
      </c>
      <c r="C4793" t="s">
        <v>11489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11490</v>
      </c>
      <c r="C4794" t="s">
        <v>11491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11492</v>
      </c>
      <c r="C4795" t="s">
        <v>11493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11494</v>
      </c>
      <c r="C4796" t="s">
        <v>11495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13956</v>
      </c>
      <c r="C4797" t="s">
        <v>4840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11496</v>
      </c>
      <c r="C4798" t="s">
        <v>11497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11498</v>
      </c>
      <c r="C4799" t="s">
        <v>11499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11500</v>
      </c>
      <c r="C4800" t="s">
        <v>11501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13957</v>
      </c>
      <c r="C4801" t="s">
        <v>4840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11502</v>
      </c>
      <c r="C4802" t="s">
        <v>11503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11504</v>
      </c>
      <c r="C4803" t="s">
        <v>11505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11506</v>
      </c>
      <c r="C4804" t="s">
        <v>11507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11508</v>
      </c>
      <c r="C4805" t="s">
        <v>11509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11510</v>
      </c>
      <c r="C4806" t="s">
        <v>11511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11512</v>
      </c>
      <c r="C4807" t="s">
        <v>11513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11514</v>
      </c>
      <c r="C4808" t="s">
        <v>11515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11516</v>
      </c>
      <c r="C4809" t="s">
        <v>11517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11518</v>
      </c>
      <c r="C4810" t="s">
        <v>11519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11520</v>
      </c>
      <c r="C4811" t="s">
        <v>11521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11522</v>
      </c>
      <c r="C4812" t="s">
        <v>11523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11524</v>
      </c>
      <c r="C4813" t="s">
        <v>11525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11526</v>
      </c>
      <c r="C4814" t="s">
        <v>11527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11528</v>
      </c>
      <c r="C4815" t="s">
        <v>11529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11530</v>
      </c>
      <c r="C4816" t="s">
        <v>11531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11532</v>
      </c>
      <c r="C4817" t="s">
        <v>11533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11534</v>
      </c>
      <c r="C4818" t="s">
        <v>11535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11536</v>
      </c>
      <c r="C4819" t="s">
        <v>11537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13958</v>
      </c>
      <c r="C4820" t="s">
        <v>4840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11538</v>
      </c>
      <c r="C4821" t="s">
        <v>11539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13959</v>
      </c>
      <c r="C4822" t="s">
        <v>4840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11540</v>
      </c>
      <c r="C4823" t="s">
        <v>11541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13960</v>
      </c>
      <c r="C4824" t="s">
        <v>4840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11542</v>
      </c>
      <c r="C4825" t="s">
        <v>11543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13961</v>
      </c>
      <c r="C4826" t="s">
        <v>4840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11544</v>
      </c>
      <c r="C4827" t="s">
        <v>11545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11546</v>
      </c>
      <c r="C4828" t="s">
        <v>11547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13962</v>
      </c>
      <c r="C4829" t="s">
        <v>4840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11548</v>
      </c>
      <c r="C4830" t="s">
        <v>11549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13963</v>
      </c>
      <c r="C4831" t="s">
        <v>4840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11550</v>
      </c>
      <c r="C4832" t="s">
        <v>11551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11552</v>
      </c>
      <c r="C4833" t="s">
        <v>11553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13964</v>
      </c>
      <c r="C4834" t="s">
        <v>4840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11554</v>
      </c>
      <c r="C4835" t="s">
        <v>11555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11556</v>
      </c>
      <c r="C4836" t="s">
        <v>11557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11558</v>
      </c>
      <c r="C4837" t="s">
        <v>11559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11560</v>
      </c>
      <c r="C4838" t="s">
        <v>11561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11562</v>
      </c>
      <c r="C4839" t="s">
        <v>11563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11564</v>
      </c>
      <c r="C4840" t="s">
        <v>11565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11566</v>
      </c>
      <c r="C4841" t="s">
        <v>11567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13965</v>
      </c>
      <c r="C4842" t="s">
        <v>4840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11568</v>
      </c>
      <c r="C4843" t="s">
        <v>11569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13966</v>
      </c>
      <c r="C4844" t="s">
        <v>4840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11570</v>
      </c>
      <c r="C4845" t="s">
        <v>11571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13967</v>
      </c>
      <c r="C4846" t="s">
        <v>4840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11572</v>
      </c>
      <c r="C4847" t="s">
        <v>11573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11574</v>
      </c>
      <c r="C4848" t="s">
        <v>11575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11576</v>
      </c>
      <c r="C4849" t="s">
        <v>11577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11578</v>
      </c>
      <c r="C4850" t="s">
        <v>11579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11580</v>
      </c>
      <c r="C4851" t="s">
        <v>11581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11582</v>
      </c>
      <c r="C4852" t="s">
        <v>11583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13968</v>
      </c>
      <c r="C4853" t="s">
        <v>4840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11584</v>
      </c>
      <c r="C4854" t="s">
        <v>11585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13969</v>
      </c>
      <c r="C4855" t="s">
        <v>4840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11586</v>
      </c>
      <c r="C4856" t="s">
        <v>11587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11588</v>
      </c>
      <c r="C4857" t="s">
        <v>11589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11590</v>
      </c>
      <c r="C4858" t="s">
        <v>11591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13970</v>
      </c>
      <c r="C4859" t="s">
        <v>4840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11592</v>
      </c>
      <c r="C4860" t="s">
        <v>4840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13971</v>
      </c>
      <c r="C4861" t="s">
        <v>4840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11593</v>
      </c>
      <c r="C4862" t="s">
        <v>11594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11595</v>
      </c>
      <c r="C4863" t="s">
        <v>11596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11597</v>
      </c>
      <c r="C4864" t="s">
        <v>11598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13972</v>
      </c>
      <c r="C4865" t="s">
        <v>4840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11599</v>
      </c>
      <c r="C4866" t="s">
        <v>11600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13973</v>
      </c>
      <c r="C4867" t="s">
        <v>4840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11601</v>
      </c>
      <c r="C4868" t="s">
        <v>11602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11603</v>
      </c>
      <c r="C4869" t="s">
        <v>11604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13974</v>
      </c>
      <c r="C4870" t="s">
        <v>4840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11605</v>
      </c>
      <c r="C4871" t="s">
        <v>11606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13975</v>
      </c>
      <c r="C4872" t="s">
        <v>4840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11607</v>
      </c>
      <c r="C4873" t="s">
        <v>11608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11609</v>
      </c>
      <c r="C4874" t="s">
        <v>11610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13976</v>
      </c>
      <c r="C4875" t="s">
        <v>4840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11611</v>
      </c>
      <c r="C4876" t="s">
        <v>11612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11613</v>
      </c>
      <c r="C4877" t="s">
        <v>11614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11615</v>
      </c>
      <c r="C4878" t="s">
        <v>11616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11617</v>
      </c>
      <c r="C4879" t="s">
        <v>11618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11619</v>
      </c>
      <c r="C4880" t="s">
        <v>11620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11621</v>
      </c>
      <c r="C4881" t="s">
        <v>11622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11623</v>
      </c>
      <c r="C4882" t="s">
        <v>11624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11625</v>
      </c>
      <c r="C4883" t="s">
        <v>11626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13977</v>
      </c>
      <c r="C4884" t="s">
        <v>4840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11627</v>
      </c>
      <c r="C4885" t="s">
        <v>11628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11629</v>
      </c>
      <c r="C4886" t="s">
        <v>11630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11631</v>
      </c>
      <c r="C4887" t="s">
        <v>11569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11632</v>
      </c>
      <c r="C4888" t="s">
        <v>11633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11634</v>
      </c>
      <c r="C4889" t="s">
        <v>11635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11636</v>
      </c>
      <c r="C4890" t="s">
        <v>11637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11638</v>
      </c>
      <c r="C4891" t="s">
        <v>11639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11640</v>
      </c>
      <c r="C4892" t="s">
        <v>11641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11642</v>
      </c>
      <c r="C4893" t="s">
        <v>11643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13978</v>
      </c>
      <c r="C4894" t="s">
        <v>4840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11644</v>
      </c>
      <c r="C4895" t="s">
        <v>11645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11646</v>
      </c>
      <c r="C4896" t="s">
        <v>11647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11648</v>
      </c>
      <c r="C4897" t="s">
        <v>11649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13979</v>
      </c>
      <c r="C4898" t="s">
        <v>4840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11650</v>
      </c>
      <c r="C4899" t="s">
        <v>11651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11652</v>
      </c>
      <c r="C4900" t="s">
        <v>11653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11654</v>
      </c>
      <c r="C4901" t="s">
        <v>11655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13980</v>
      </c>
      <c r="C4902" t="s">
        <v>4840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11656</v>
      </c>
      <c r="C4903" t="s">
        <v>11657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11658</v>
      </c>
      <c r="C4904" t="s">
        <v>11659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13981</v>
      </c>
      <c r="C4905" t="s">
        <v>4840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11660</v>
      </c>
      <c r="C4906" t="s">
        <v>11661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11662</v>
      </c>
      <c r="C4907" t="s">
        <v>11663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11664</v>
      </c>
      <c r="C4908" t="s">
        <v>11665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11666</v>
      </c>
      <c r="C4909" t="s">
        <v>11667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11668</v>
      </c>
      <c r="C4910" t="s">
        <v>11669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13982</v>
      </c>
      <c r="C4911" t="s">
        <v>4840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11670</v>
      </c>
      <c r="C4912" t="s">
        <v>11671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11672</v>
      </c>
      <c r="C4913" t="s">
        <v>11673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11674</v>
      </c>
      <c r="C4914" t="s">
        <v>11675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11676</v>
      </c>
      <c r="C4915" t="s">
        <v>11677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11678</v>
      </c>
      <c r="C4916" t="s">
        <v>11679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11680</v>
      </c>
      <c r="C4917" t="s">
        <v>11681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11682</v>
      </c>
      <c r="C4918" t="s">
        <v>11683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11684</v>
      </c>
      <c r="C4919" t="s">
        <v>11685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11686</v>
      </c>
      <c r="C4920" t="s">
        <v>11687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13983</v>
      </c>
      <c r="C4921" t="s">
        <v>4840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11688</v>
      </c>
      <c r="C4922" t="s">
        <v>11689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13984</v>
      </c>
      <c r="C4923" t="s">
        <v>4840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11690</v>
      </c>
      <c r="C4924" t="s">
        <v>11691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11692</v>
      </c>
      <c r="C4925" t="s">
        <v>11693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11694</v>
      </c>
      <c r="C4926" t="s">
        <v>11695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11696</v>
      </c>
      <c r="C4927" t="s">
        <v>11697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13985</v>
      </c>
      <c r="C4928" t="s">
        <v>4840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11698</v>
      </c>
      <c r="C4929" t="s">
        <v>11699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11700</v>
      </c>
      <c r="C4930" t="s">
        <v>11701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13986</v>
      </c>
      <c r="C4931" t="s">
        <v>4840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11702</v>
      </c>
      <c r="C4932" t="s">
        <v>11703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11704</v>
      </c>
      <c r="C4933" t="s">
        <v>11705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11706</v>
      </c>
      <c r="C4934" t="s">
        <v>11707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13987</v>
      </c>
      <c r="C4935" t="s">
        <v>4840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11708</v>
      </c>
      <c r="C4936" t="s">
        <v>11709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11710</v>
      </c>
      <c r="C4937" t="s">
        <v>11711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11712</v>
      </c>
      <c r="C4938" t="s">
        <v>11713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11714</v>
      </c>
      <c r="C4939" t="s">
        <v>11715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11716</v>
      </c>
      <c r="C4940" t="s">
        <v>11717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11718</v>
      </c>
      <c r="C4941" t="s">
        <v>11719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11720</v>
      </c>
      <c r="C4942" t="s">
        <v>11721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11722</v>
      </c>
      <c r="C4943" t="s">
        <v>11723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11724</v>
      </c>
      <c r="C4944" t="s">
        <v>11725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13988</v>
      </c>
      <c r="C4945" t="s">
        <v>4840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11726</v>
      </c>
      <c r="C4946" t="s">
        <v>11727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11728</v>
      </c>
      <c r="C4947" t="s">
        <v>11729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11730</v>
      </c>
      <c r="C4948" t="s">
        <v>11731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13989</v>
      </c>
      <c r="C4949" t="s">
        <v>4840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11732</v>
      </c>
      <c r="C4950" t="s">
        <v>11733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11734</v>
      </c>
      <c r="C4951" t="s">
        <v>11735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11736</v>
      </c>
      <c r="C4952" t="s">
        <v>11737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11738</v>
      </c>
      <c r="C4953" t="s">
        <v>11739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11740</v>
      </c>
      <c r="C4954" t="s">
        <v>11741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13990</v>
      </c>
      <c r="C4955" t="s">
        <v>4840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11742</v>
      </c>
      <c r="C4956" t="s">
        <v>11743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11744</v>
      </c>
      <c r="C4957" t="s">
        <v>11745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11746</v>
      </c>
      <c r="C4958" t="s">
        <v>11747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11748</v>
      </c>
      <c r="C4959" t="s">
        <v>11749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11750</v>
      </c>
      <c r="C4960" t="s">
        <v>4840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11751</v>
      </c>
      <c r="C4961" t="s">
        <v>11752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13991</v>
      </c>
      <c r="C4962" t="s">
        <v>4840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11753</v>
      </c>
      <c r="C4963" t="s">
        <v>11754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13992</v>
      </c>
      <c r="C4964" t="s">
        <v>4840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11755</v>
      </c>
      <c r="C4965" t="s">
        <v>11756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13993</v>
      </c>
      <c r="C4966" t="s">
        <v>4840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11757</v>
      </c>
      <c r="C4967" t="s">
        <v>11758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13994</v>
      </c>
      <c r="C4968" t="s">
        <v>4840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11759</v>
      </c>
      <c r="C4969" t="s">
        <v>11760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13995</v>
      </c>
      <c r="C4970" t="s">
        <v>4840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11761</v>
      </c>
      <c r="C4971" t="s">
        <v>11762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13996</v>
      </c>
      <c r="C4972" t="s">
        <v>4840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11763</v>
      </c>
      <c r="C4973" t="s">
        <v>11764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13997</v>
      </c>
      <c r="C4974" t="s">
        <v>4840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11765</v>
      </c>
      <c r="C4975" t="s">
        <v>11766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11767</v>
      </c>
      <c r="C4976" t="s">
        <v>11768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11769</v>
      </c>
      <c r="C4977" t="s">
        <v>11770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13998</v>
      </c>
      <c r="C4978" t="s">
        <v>13999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14000</v>
      </c>
      <c r="C4979" t="s">
        <v>4840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11771</v>
      </c>
      <c r="C4980" t="s">
        <v>11772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11773</v>
      </c>
      <c r="C4981" t="s">
        <v>11774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11775</v>
      </c>
      <c r="C4982" t="s">
        <v>11776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11777</v>
      </c>
      <c r="C4983" t="s">
        <v>11778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11779</v>
      </c>
      <c r="C4984" t="s">
        <v>11780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11781</v>
      </c>
      <c r="C4985" t="s">
        <v>11782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14001</v>
      </c>
      <c r="C4986" t="s">
        <v>4840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11783</v>
      </c>
      <c r="C4987" t="s">
        <v>11784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11785</v>
      </c>
      <c r="C4988" t="s">
        <v>11786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11787</v>
      </c>
      <c r="C4989" t="s">
        <v>11788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11789</v>
      </c>
      <c r="C4990" t="s">
        <v>11790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11791</v>
      </c>
      <c r="C4991" t="s">
        <v>11792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11793</v>
      </c>
      <c r="C4992" t="s">
        <v>11794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11795</v>
      </c>
      <c r="C4993" t="s">
        <v>11796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11797</v>
      </c>
      <c r="C4994" t="s">
        <v>11798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11799</v>
      </c>
      <c r="C4995" t="s">
        <v>11800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11801</v>
      </c>
      <c r="C4996" t="s">
        <v>11802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11803</v>
      </c>
      <c r="C4997" t="s">
        <v>11804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11805</v>
      </c>
      <c r="C4998" t="s">
        <v>11806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11807</v>
      </c>
      <c r="C4999" t="s">
        <v>11808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11809</v>
      </c>
      <c r="C5000" t="s">
        <v>11810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11811</v>
      </c>
      <c r="C5001" t="s">
        <v>11812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11813</v>
      </c>
      <c r="C5002" t="s">
        <v>11814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11815</v>
      </c>
      <c r="C5003" t="s">
        <v>11816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14002</v>
      </c>
      <c r="C5004" t="s">
        <v>4840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11817</v>
      </c>
      <c r="C5005" t="s">
        <v>11818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14003</v>
      </c>
      <c r="C5006" t="s">
        <v>4840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11819</v>
      </c>
      <c r="C5007" t="s">
        <v>11820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14004</v>
      </c>
      <c r="C5008" t="s">
        <v>4840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11821</v>
      </c>
      <c r="C5009" t="s">
        <v>11822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14005</v>
      </c>
      <c r="C5010" t="s">
        <v>4840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11823</v>
      </c>
      <c r="C5011" t="s">
        <v>11824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11825</v>
      </c>
      <c r="C5012" t="s">
        <v>11826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11827</v>
      </c>
      <c r="C5013" t="s">
        <v>11828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11829</v>
      </c>
      <c r="C5014" t="s">
        <v>11830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11831</v>
      </c>
      <c r="C5015" t="s">
        <v>11832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11833</v>
      </c>
      <c r="C5016" t="s">
        <v>11834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11835</v>
      </c>
      <c r="C5017" t="s">
        <v>11836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11837</v>
      </c>
      <c r="C5018" t="s">
        <v>11838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14006</v>
      </c>
      <c r="C5019" t="s">
        <v>4840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11839</v>
      </c>
      <c r="C5020" t="s">
        <v>11840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11841</v>
      </c>
      <c r="C5021" t="s">
        <v>11842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14007</v>
      </c>
      <c r="C5022" t="s">
        <v>4840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11843</v>
      </c>
      <c r="C5023" t="s">
        <v>11844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11845</v>
      </c>
      <c r="C5024" t="s">
        <v>11846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11847</v>
      </c>
      <c r="C5025" t="s">
        <v>11848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11849</v>
      </c>
      <c r="C5026" t="s">
        <v>11850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11851</v>
      </c>
      <c r="C5027" t="s">
        <v>11852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11853</v>
      </c>
      <c r="C5028" t="s">
        <v>11854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11855</v>
      </c>
      <c r="C5029" t="s">
        <v>11856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11857</v>
      </c>
      <c r="C5030" t="s">
        <v>11858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11859</v>
      </c>
      <c r="C5031" t="s">
        <v>11860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11861</v>
      </c>
      <c r="C5032" t="s">
        <v>11862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11863</v>
      </c>
      <c r="C5033" t="s">
        <v>11864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11865</v>
      </c>
      <c r="C5034" t="s">
        <v>11866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11867</v>
      </c>
      <c r="C5035" t="s">
        <v>11868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11869</v>
      </c>
      <c r="C5036" t="s">
        <v>11870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11871</v>
      </c>
      <c r="C5037" t="s">
        <v>11872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11873</v>
      </c>
      <c r="C5038" t="s">
        <v>11874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11875</v>
      </c>
      <c r="C5039" t="s">
        <v>11876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11877</v>
      </c>
      <c r="C5040" t="s">
        <v>11878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11879</v>
      </c>
      <c r="C5041" t="s">
        <v>11880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11881</v>
      </c>
      <c r="C5042" t="s">
        <v>11882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11883</v>
      </c>
      <c r="C5043" t="s">
        <v>11884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11885</v>
      </c>
      <c r="C5044" t="s">
        <v>11886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11887</v>
      </c>
      <c r="C5045" t="s">
        <v>11888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11889</v>
      </c>
      <c r="C5046" t="s">
        <v>11890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11891</v>
      </c>
      <c r="C5047" t="s">
        <v>11892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11893</v>
      </c>
      <c r="C5048" t="s">
        <v>11894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11895</v>
      </c>
      <c r="C5049" t="s">
        <v>11896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11897</v>
      </c>
      <c r="C5050" t="s">
        <v>11898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11899</v>
      </c>
      <c r="C5051" t="s">
        <v>11900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11901</v>
      </c>
      <c r="C5052" t="s">
        <v>11902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11903</v>
      </c>
      <c r="C5053" t="s">
        <v>11904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11905</v>
      </c>
      <c r="C5054" t="s">
        <v>11906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11907</v>
      </c>
      <c r="C5055" t="s">
        <v>11908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11909</v>
      </c>
      <c r="C5056" t="s">
        <v>11910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11911</v>
      </c>
      <c r="C5057" t="s">
        <v>11912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11913</v>
      </c>
      <c r="C5058" t="s">
        <v>11914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14008</v>
      </c>
      <c r="C5059" t="s">
        <v>4840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11915</v>
      </c>
      <c r="C5060" t="s">
        <v>11916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11917</v>
      </c>
      <c r="C5061" t="s">
        <v>11918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11919</v>
      </c>
      <c r="C5062" t="s">
        <v>11920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11921</v>
      </c>
      <c r="C5063" t="s">
        <v>11922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11923</v>
      </c>
      <c r="C5064" t="s">
        <v>11924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11925</v>
      </c>
      <c r="C5065" t="s">
        <v>11926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11927</v>
      </c>
      <c r="C5066" t="s">
        <v>11928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11929</v>
      </c>
      <c r="C5067" t="s">
        <v>11930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11931</v>
      </c>
      <c r="C5068" t="s">
        <v>11932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11933</v>
      </c>
      <c r="C5069" t="s">
        <v>11934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11935</v>
      </c>
      <c r="C5070" t="s">
        <v>11936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11937</v>
      </c>
      <c r="C5071" t="s">
        <v>11938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11939</v>
      </c>
      <c r="C5072" t="s">
        <v>11940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11941</v>
      </c>
      <c r="C5073" t="s">
        <v>11942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11943</v>
      </c>
      <c r="C5074" t="s">
        <v>11944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11945</v>
      </c>
      <c r="C5075" t="s">
        <v>11946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11947</v>
      </c>
      <c r="C5076" t="s">
        <v>11948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11949</v>
      </c>
      <c r="C5077" t="s">
        <v>11950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14009</v>
      </c>
      <c r="C5078" t="s">
        <v>4840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11951</v>
      </c>
      <c r="C5079" t="s">
        <v>11952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11953</v>
      </c>
      <c r="C5080" t="s">
        <v>11954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14010</v>
      </c>
      <c r="C5081" t="s">
        <v>4840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11955</v>
      </c>
      <c r="C5082" t="s">
        <v>11956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14011</v>
      </c>
      <c r="C5083" t="s">
        <v>4840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11957</v>
      </c>
      <c r="C5084" t="s">
        <v>11958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11959</v>
      </c>
      <c r="C5085" t="s">
        <v>11960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11961</v>
      </c>
      <c r="C5086" t="s">
        <v>11962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11963</v>
      </c>
      <c r="C5087" t="s">
        <v>11964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11965</v>
      </c>
      <c r="C5088" t="s">
        <v>11966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11967</v>
      </c>
      <c r="C5089" t="s">
        <v>11968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11969</v>
      </c>
      <c r="C5090" t="s">
        <v>11970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11971</v>
      </c>
      <c r="C5091" t="s">
        <v>11972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11973</v>
      </c>
      <c r="C5092" t="s">
        <v>11974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14012</v>
      </c>
      <c r="C5093" t="s">
        <v>4840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11975</v>
      </c>
      <c r="C5094" t="s">
        <v>11976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11977</v>
      </c>
      <c r="C5095" t="s">
        <v>11271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11978</v>
      </c>
      <c r="C5096" t="s">
        <v>11979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11980</v>
      </c>
      <c r="C5097" t="s">
        <v>11981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11982</v>
      </c>
      <c r="C5098" t="s">
        <v>11983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11984</v>
      </c>
      <c r="C5099" t="s">
        <v>11985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11986</v>
      </c>
      <c r="C5100" t="s">
        <v>11987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11988</v>
      </c>
      <c r="C5101" t="s">
        <v>11989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11990</v>
      </c>
      <c r="C5102" t="s">
        <v>11991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11992</v>
      </c>
      <c r="C5103" t="s">
        <v>11993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11994</v>
      </c>
      <c r="C5104" t="s">
        <v>11995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11996</v>
      </c>
      <c r="C5105" t="s">
        <v>11997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11998</v>
      </c>
      <c r="C5106" t="s">
        <v>11999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12000</v>
      </c>
      <c r="C5107" t="s">
        <v>12001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12002</v>
      </c>
      <c r="C5108" t="s">
        <v>12003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12004</v>
      </c>
      <c r="C5109" t="s">
        <v>12005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12006</v>
      </c>
      <c r="C5110" t="s">
        <v>12007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12008</v>
      </c>
      <c r="C5111" t="s">
        <v>12009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12010</v>
      </c>
      <c r="C5112" t="s">
        <v>12011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12012</v>
      </c>
      <c r="C5113" t="s">
        <v>12013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12014</v>
      </c>
      <c r="C5114" t="s">
        <v>12015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12016</v>
      </c>
      <c r="C5115" t="s">
        <v>12017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14013</v>
      </c>
      <c r="C5116" t="s">
        <v>4840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12018</v>
      </c>
      <c r="C5117" t="s">
        <v>12019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12020</v>
      </c>
      <c r="C5118" t="s">
        <v>12021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12022</v>
      </c>
      <c r="C5119" t="s">
        <v>12023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12024</v>
      </c>
      <c r="C5120" t="s">
        <v>12025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12026</v>
      </c>
      <c r="C5121" t="s">
        <v>12027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14014</v>
      </c>
      <c r="C5122" t="s">
        <v>4840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12028</v>
      </c>
      <c r="C5123" t="s">
        <v>12029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12030</v>
      </c>
      <c r="C5124" t="s">
        <v>12031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12032</v>
      </c>
      <c r="C5125" t="s">
        <v>12033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12034</v>
      </c>
      <c r="C5126" t="s">
        <v>12035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12036</v>
      </c>
      <c r="C5127" t="s">
        <v>12037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12038</v>
      </c>
      <c r="C5128" t="s">
        <v>12039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12040</v>
      </c>
      <c r="C5129" t="s">
        <v>12041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12042</v>
      </c>
      <c r="C5130" t="s">
        <v>12043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14015</v>
      </c>
      <c r="C5131" t="s">
        <v>4840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12044</v>
      </c>
      <c r="C5132" t="s">
        <v>12045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12046</v>
      </c>
      <c r="C5133" t="s">
        <v>12047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14016</v>
      </c>
      <c r="C5134" t="s">
        <v>4840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12048</v>
      </c>
      <c r="C5135" t="s">
        <v>12049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14017</v>
      </c>
      <c r="C5136" t="s">
        <v>4840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12050</v>
      </c>
      <c r="C5137" t="s">
        <v>12051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12052</v>
      </c>
      <c r="C5138" t="s">
        <v>12053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12054</v>
      </c>
      <c r="C5139" t="s">
        <v>12055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12056</v>
      </c>
      <c r="C5140" t="s">
        <v>12057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12058</v>
      </c>
      <c r="C5141" t="s">
        <v>4840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12059</v>
      </c>
      <c r="C5142" t="s">
        <v>12060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14018</v>
      </c>
      <c r="C5143" t="s">
        <v>4840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12061</v>
      </c>
      <c r="C5144" t="s">
        <v>12062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14019</v>
      </c>
      <c r="C5145" t="s">
        <v>4840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12063</v>
      </c>
      <c r="C5146" t="s">
        <v>12064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14020</v>
      </c>
      <c r="C5147" t="s">
        <v>4840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12065</v>
      </c>
      <c r="C5148" t="s">
        <v>10583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12066</v>
      </c>
      <c r="C5149" t="s">
        <v>12067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12068</v>
      </c>
      <c r="C5150" t="s">
        <v>12069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14021</v>
      </c>
      <c r="C5151" t="s">
        <v>4840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12070</v>
      </c>
      <c r="C5152" t="s">
        <v>10583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14022</v>
      </c>
      <c r="C5153" t="s">
        <v>4840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12071</v>
      </c>
      <c r="C5154" t="s">
        <v>12072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14023</v>
      </c>
      <c r="C5155" t="s">
        <v>4840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12073</v>
      </c>
      <c r="C5156" t="s">
        <v>12074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14024</v>
      </c>
      <c r="C5157" t="s">
        <v>4840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12075</v>
      </c>
      <c r="C5158" t="s">
        <v>12076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14025</v>
      </c>
      <c r="C5159" t="s">
        <v>4840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12077</v>
      </c>
      <c r="C5160" t="s">
        <v>12078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14026</v>
      </c>
      <c r="C5161" t="s">
        <v>4840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12079</v>
      </c>
      <c r="C5162" t="s">
        <v>12080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14027</v>
      </c>
      <c r="C5163" t="s">
        <v>4840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12081</v>
      </c>
      <c r="C5164" t="s">
        <v>12082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14028</v>
      </c>
      <c r="C5165" t="s">
        <v>4840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12083</v>
      </c>
      <c r="C5166" t="s">
        <v>12084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14029</v>
      </c>
      <c r="C5167" t="s">
        <v>4840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12085</v>
      </c>
      <c r="C5168" t="s">
        <v>12086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14030</v>
      </c>
      <c r="C5169" t="s">
        <v>4840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12087</v>
      </c>
      <c r="C5170" t="s">
        <v>12088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14031</v>
      </c>
      <c r="C5171" t="s">
        <v>4840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12089</v>
      </c>
      <c r="C5172" t="s">
        <v>12090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14032</v>
      </c>
      <c r="C5173" t="s">
        <v>4840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12091</v>
      </c>
      <c r="C5174" t="s">
        <v>12092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14033</v>
      </c>
      <c r="C5175" t="s">
        <v>4840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12093</v>
      </c>
      <c r="C5176" t="s">
        <v>12094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14034</v>
      </c>
      <c r="C5177" t="s">
        <v>4840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12095</v>
      </c>
      <c r="C5178" t="s">
        <v>12096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14035</v>
      </c>
      <c r="C5179" t="s">
        <v>4840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12097</v>
      </c>
      <c r="C5180" t="s">
        <v>12098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14036</v>
      </c>
      <c r="C5181" t="s">
        <v>4840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12099</v>
      </c>
      <c r="C5182" t="s">
        <v>12100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14037</v>
      </c>
      <c r="C5183" t="s">
        <v>4840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12101</v>
      </c>
      <c r="C5184" t="s">
        <v>12102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14038</v>
      </c>
      <c r="C5185" t="s">
        <v>4840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12103</v>
      </c>
      <c r="C5186" t="s">
        <v>12104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14039</v>
      </c>
      <c r="C5187" t="s">
        <v>4840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12105</v>
      </c>
      <c r="C5188" t="s">
        <v>12106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14040</v>
      </c>
      <c r="C5189" t="s">
        <v>4840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12107</v>
      </c>
      <c r="C5190" t="s">
        <v>12108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14041</v>
      </c>
      <c r="C5191" t="s">
        <v>4840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12109</v>
      </c>
      <c r="C5192" t="s">
        <v>12110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14042</v>
      </c>
      <c r="C5193" t="s">
        <v>4840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12111</v>
      </c>
      <c r="C5194" t="s">
        <v>12112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14043</v>
      </c>
      <c r="C5195" t="s">
        <v>4840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12113</v>
      </c>
      <c r="C5196" t="s">
        <v>12114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14044</v>
      </c>
      <c r="C5197" t="s">
        <v>4840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12115</v>
      </c>
      <c r="C5198" t="s">
        <v>12116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14045</v>
      </c>
      <c r="C5199" t="s">
        <v>4840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12117</v>
      </c>
      <c r="C5200" t="s">
        <v>12118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14046</v>
      </c>
      <c r="C5201" t="s">
        <v>4840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12119</v>
      </c>
      <c r="C5202" t="s">
        <v>12120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14047</v>
      </c>
      <c r="C5203" t="s">
        <v>4840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12121</v>
      </c>
      <c r="C5204" t="s">
        <v>12122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14048</v>
      </c>
      <c r="C5205" t="s">
        <v>4840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12123</v>
      </c>
      <c r="C5206" t="s">
        <v>12124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12125</v>
      </c>
      <c r="C5207" t="s">
        <v>12126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14049</v>
      </c>
      <c r="C5208" t="s">
        <v>4840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12127</v>
      </c>
      <c r="C5209" t="s">
        <v>12128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14050</v>
      </c>
      <c r="C5210" t="s">
        <v>4840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12129</v>
      </c>
      <c r="C5211" t="s">
        <v>12130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12131</v>
      </c>
      <c r="C5212" t="s">
        <v>12132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12133</v>
      </c>
      <c r="C5213" t="s">
        <v>12134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12135</v>
      </c>
      <c r="C5214" t="s">
        <v>12136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14051</v>
      </c>
      <c r="C5215" t="s">
        <v>4840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12137</v>
      </c>
      <c r="C5216" t="s">
        <v>10583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12138</v>
      </c>
      <c r="C5217" t="s">
        <v>12139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12140</v>
      </c>
      <c r="C5218" t="s">
        <v>12141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12142</v>
      </c>
      <c r="C5219" t="s">
        <v>12143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14052</v>
      </c>
      <c r="C5220" t="s">
        <v>4840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12144</v>
      </c>
      <c r="C5221" t="s">
        <v>12145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14053</v>
      </c>
      <c r="C5222" t="s">
        <v>4840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12146</v>
      </c>
      <c r="C5223" t="s">
        <v>12147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14054</v>
      </c>
      <c r="C5224" t="s">
        <v>4840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12148</v>
      </c>
      <c r="C5225" t="s">
        <v>12149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12150</v>
      </c>
      <c r="C5226" t="s">
        <v>12151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12152</v>
      </c>
      <c r="C5227" t="s">
        <v>12153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12154</v>
      </c>
      <c r="C5228" t="s">
        <v>12155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14055</v>
      </c>
      <c r="C5229" t="s">
        <v>4840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12156</v>
      </c>
      <c r="C5230" t="s">
        <v>12157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14056</v>
      </c>
      <c r="C5231" t="s">
        <v>4840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12158</v>
      </c>
      <c r="C5232" t="s">
        <v>12159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12160</v>
      </c>
      <c r="C5233" t="s">
        <v>12161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12162</v>
      </c>
      <c r="C5234" t="s">
        <v>12163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12164</v>
      </c>
      <c r="C5235" t="s">
        <v>12165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12166</v>
      </c>
      <c r="C5236" t="s">
        <v>12167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12168</v>
      </c>
      <c r="C5237" t="s">
        <v>12169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12170</v>
      </c>
      <c r="C5238" t="s">
        <v>12171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12172</v>
      </c>
      <c r="C5239" t="s">
        <v>12173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14057</v>
      </c>
      <c r="C5240" t="s">
        <v>4840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12174</v>
      </c>
      <c r="C5241" t="s">
        <v>12175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12176</v>
      </c>
      <c r="C5242" t="s">
        <v>12177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14058</v>
      </c>
      <c r="C5243" t="s">
        <v>4840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12178</v>
      </c>
      <c r="C5244" t="s">
        <v>12179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12180</v>
      </c>
      <c r="C5245" t="s">
        <v>12181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12182</v>
      </c>
      <c r="C5246" t="s">
        <v>12183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12184</v>
      </c>
      <c r="C5247" t="s">
        <v>12185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14059</v>
      </c>
      <c r="C5248" t="s">
        <v>4840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12186</v>
      </c>
      <c r="C5249" t="s">
        <v>12187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12188</v>
      </c>
      <c r="C5250" t="s">
        <v>12189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12190</v>
      </c>
      <c r="C5251" t="s">
        <v>12191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14060</v>
      </c>
      <c r="C5252" t="s">
        <v>4840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12192</v>
      </c>
      <c r="C5253" t="s">
        <v>12193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12194</v>
      </c>
      <c r="C5254" t="s">
        <v>12195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12196</v>
      </c>
      <c r="C5255" t="s">
        <v>12179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14061</v>
      </c>
      <c r="C5256" t="s">
        <v>4840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12197</v>
      </c>
      <c r="C5257" t="s">
        <v>12198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12199</v>
      </c>
      <c r="C5258" t="s">
        <v>12200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12201</v>
      </c>
      <c r="C5259" t="s">
        <v>12202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12203</v>
      </c>
      <c r="C5260" t="s">
        <v>12204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12205</v>
      </c>
      <c r="C5261" t="s">
        <v>12206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12207</v>
      </c>
      <c r="C5262" t="s">
        <v>12208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12209</v>
      </c>
      <c r="C5263" t="s">
        <v>4840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12210</v>
      </c>
      <c r="C5264" t="s">
        <v>12211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12212</v>
      </c>
      <c r="C5265" t="s">
        <v>12213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12214</v>
      </c>
      <c r="C5266" t="s">
        <v>4840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12215</v>
      </c>
      <c r="C5267" t="s">
        <v>12216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12217</v>
      </c>
      <c r="C5268" t="s">
        <v>4840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12218</v>
      </c>
      <c r="C5269" t="s">
        <v>12219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12220</v>
      </c>
      <c r="C5270" t="s">
        <v>12221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12222</v>
      </c>
      <c r="C5271" t="s">
        <v>4840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12223</v>
      </c>
      <c r="C5272" t="s">
        <v>12224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12225</v>
      </c>
      <c r="C5273" t="s">
        <v>4840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12226</v>
      </c>
      <c r="C5274" t="s">
        <v>12227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14062</v>
      </c>
      <c r="C5275" t="s">
        <v>4840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12228</v>
      </c>
      <c r="C5276" t="s">
        <v>12229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12230</v>
      </c>
      <c r="C5277" t="s">
        <v>4840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12231</v>
      </c>
      <c r="C5278" t="s">
        <v>12232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12233</v>
      </c>
      <c r="C5279" t="s">
        <v>4840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12234</v>
      </c>
      <c r="C5280" t="s">
        <v>12235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12236</v>
      </c>
      <c r="C5281" t="s">
        <v>4840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12237</v>
      </c>
      <c r="C5282" t="s">
        <v>12238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14063</v>
      </c>
      <c r="C5283" t="s">
        <v>4840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12239</v>
      </c>
      <c r="C5284" t="s">
        <v>12240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12241</v>
      </c>
      <c r="C5285" t="s">
        <v>12242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12243</v>
      </c>
      <c r="C5286" t="s">
        <v>12244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14064</v>
      </c>
      <c r="C5287" t="s">
        <v>14065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12245</v>
      </c>
      <c r="C5288" t="s">
        <v>12246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12247</v>
      </c>
      <c r="C5289" t="s">
        <v>4840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12248</v>
      </c>
      <c r="C5290" t="s">
        <v>12216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12249</v>
      </c>
      <c r="C5291" t="s">
        <v>4840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12250</v>
      </c>
      <c r="C5292" t="s">
        <v>12251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12252</v>
      </c>
      <c r="C5293" t="s">
        <v>4840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12253</v>
      </c>
      <c r="C5294" t="s">
        <v>12254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12255</v>
      </c>
      <c r="C5295" t="s">
        <v>4840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12256</v>
      </c>
      <c r="C5296" t="s">
        <v>12257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12258</v>
      </c>
      <c r="C5297" t="s">
        <v>4840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12259</v>
      </c>
      <c r="C5298" t="s">
        <v>12260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12261</v>
      </c>
      <c r="C5299" t="s">
        <v>4840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12262</v>
      </c>
      <c r="C5300" t="s">
        <v>12263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12264</v>
      </c>
      <c r="C5301" t="s">
        <v>4840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12265</v>
      </c>
      <c r="C5302" t="s">
        <v>12266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12267</v>
      </c>
      <c r="C5303" t="s">
        <v>4840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12268</v>
      </c>
      <c r="C5304" t="s">
        <v>12269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12270</v>
      </c>
      <c r="C5305" t="s">
        <v>4840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12271</v>
      </c>
      <c r="C5306" t="s">
        <v>12272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12273</v>
      </c>
      <c r="C5307" t="s">
        <v>4840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12274</v>
      </c>
      <c r="C5308" t="s">
        <v>10583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12275</v>
      </c>
      <c r="C5309" t="s">
        <v>4840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12276</v>
      </c>
      <c r="C5310" t="s">
        <v>10983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12277</v>
      </c>
      <c r="C5311" t="s">
        <v>4840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12278</v>
      </c>
      <c r="C5312" t="s">
        <v>10985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12279</v>
      </c>
      <c r="C5313" t="s">
        <v>4840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12280</v>
      </c>
      <c r="C5314" t="s">
        <v>12281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12282</v>
      </c>
      <c r="C5315" t="s">
        <v>12283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12285</v>
      </c>
      <c r="C5316" t="s">
        <v>4840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12286</v>
      </c>
      <c r="C5317" t="s">
        <v>12287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12288</v>
      </c>
      <c r="C5318" t="s">
        <v>12289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12290</v>
      </c>
      <c r="C5319" t="s">
        <v>4840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12291</v>
      </c>
      <c r="C5320" t="s">
        <v>12292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12293</v>
      </c>
      <c r="C5321" t="s">
        <v>4840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12294</v>
      </c>
      <c r="C5322" t="s">
        <v>12295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12296</v>
      </c>
      <c r="C5323" t="s">
        <v>4840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12297</v>
      </c>
      <c r="C5324" t="s">
        <v>12298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12299</v>
      </c>
      <c r="C5325" t="s">
        <v>12300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12301</v>
      </c>
      <c r="C5326" t="s">
        <v>12302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12303</v>
      </c>
      <c r="C5327" t="s">
        <v>12304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12305</v>
      </c>
      <c r="C5328" t="s">
        <v>12306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12307</v>
      </c>
      <c r="C5329" t="s">
        <v>12308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12309</v>
      </c>
      <c r="C5330" t="s">
        <v>12310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12311</v>
      </c>
      <c r="C5331" t="s">
        <v>12312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12313</v>
      </c>
      <c r="C5332" t="s">
        <v>12314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12315</v>
      </c>
      <c r="C5333" t="s">
        <v>12316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12317</v>
      </c>
      <c r="C5334" t="s">
        <v>12318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12319</v>
      </c>
      <c r="C5335" t="s">
        <v>12320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12321</v>
      </c>
      <c r="C5336" t="s">
        <v>4840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12322</v>
      </c>
      <c r="C5337" t="s">
        <v>12323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12324</v>
      </c>
      <c r="C5338" t="s">
        <v>12325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12326</v>
      </c>
      <c r="C5339" t="s">
        <v>12327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12329</v>
      </c>
      <c r="C5340" t="s">
        <v>12330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12331</v>
      </c>
      <c r="C5341" t="s">
        <v>12332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12333</v>
      </c>
      <c r="C5342" t="s">
        <v>12334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12335</v>
      </c>
      <c r="C5343" t="s">
        <v>12336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12337</v>
      </c>
      <c r="C5344" t="s">
        <v>12338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12339</v>
      </c>
      <c r="C5345" t="s">
        <v>12340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12341</v>
      </c>
      <c r="C5346" t="s">
        <v>12342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12343</v>
      </c>
      <c r="C5347" t="s">
        <v>12344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12345</v>
      </c>
      <c r="C5348" t="s">
        <v>12346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12347</v>
      </c>
      <c r="C5349" t="s">
        <v>12348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12349</v>
      </c>
      <c r="C5350" t="s">
        <v>12350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12351</v>
      </c>
      <c r="C5351" t="s">
        <v>12352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12353</v>
      </c>
      <c r="C5352" t="s">
        <v>12354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12355</v>
      </c>
      <c r="C5353" t="s">
        <v>12356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14066</v>
      </c>
      <c r="C5354" t="s">
        <v>14067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12357</v>
      </c>
      <c r="C5355" t="s">
        <v>12358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12359</v>
      </c>
      <c r="C5356" t="s">
        <v>12360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12361</v>
      </c>
      <c r="C5357" t="s">
        <v>12362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12363</v>
      </c>
      <c r="C5358" t="s">
        <v>12364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12365</v>
      </c>
      <c r="C5359" t="s">
        <v>12366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12367</v>
      </c>
      <c r="C5360" t="s">
        <v>4840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12368</v>
      </c>
      <c r="C5361" t="s">
        <v>12369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12370</v>
      </c>
      <c r="C5362" t="s">
        <v>12371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12372</v>
      </c>
      <c r="C5363" t="s">
        <v>12373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12374</v>
      </c>
      <c r="C5364" t="s">
        <v>12375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12376</v>
      </c>
      <c r="C5365" t="s">
        <v>12377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12378</v>
      </c>
      <c r="C5366" t="s">
        <v>12379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12380</v>
      </c>
      <c r="C5367" t="s">
        <v>12381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12382</v>
      </c>
      <c r="C5368" t="s">
        <v>12383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12385</v>
      </c>
      <c r="C5369" t="s">
        <v>12386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12387</v>
      </c>
      <c r="C5370" t="s">
        <v>12388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12389</v>
      </c>
      <c r="C5371" t="s">
        <v>12390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12391</v>
      </c>
      <c r="C5372" t="s">
        <v>12392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12393</v>
      </c>
      <c r="C5373" t="s">
        <v>12394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12395</v>
      </c>
      <c r="C5374" t="s">
        <v>12396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12397</v>
      </c>
      <c r="C5375" t="s">
        <v>12398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12399</v>
      </c>
      <c r="C5376" t="s">
        <v>12400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12401</v>
      </c>
      <c r="C5377" t="s">
        <v>12400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12402</v>
      </c>
      <c r="C5378" t="s">
        <v>12403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12404</v>
      </c>
      <c r="C5379" t="s">
        <v>12405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12406</v>
      </c>
      <c r="C5380" t="s">
        <v>12407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12408</v>
      </c>
      <c r="C5381" t="s">
        <v>12409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12410</v>
      </c>
      <c r="C5382" t="s">
        <v>12411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12412</v>
      </c>
      <c r="C5383" t="s">
        <v>12413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12414</v>
      </c>
      <c r="C5384" t="s">
        <v>12415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12416</v>
      </c>
      <c r="C5385" t="s">
        <v>12417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12418</v>
      </c>
      <c r="C5386" t="s">
        <v>12419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12420</v>
      </c>
      <c r="C5387" t="s">
        <v>12421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12422</v>
      </c>
      <c r="C5388" t="s">
        <v>12423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12424</v>
      </c>
      <c r="C5389" t="s">
        <v>12425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12426</v>
      </c>
      <c r="C5390" t="s">
        <v>12427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12428</v>
      </c>
      <c r="C5391" t="s">
        <v>12429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12430</v>
      </c>
      <c r="C5392" t="s">
        <v>12431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12432</v>
      </c>
      <c r="C5393" t="s">
        <v>12433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12434</v>
      </c>
      <c r="C5394" t="s">
        <v>12435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12436</v>
      </c>
      <c r="C5395" t="s">
        <v>12437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12438</v>
      </c>
      <c r="C5396" t="s">
        <v>12437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14068</v>
      </c>
      <c r="C5397" t="s">
        <v>14069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14070</v>
      </c>
      <c r="C5398" t="s">
        <v>14071</v>
      </c>
      <c r="D5398">
        <v>678.62</v>
      </c>
      <c r="E5398">
        <v>407.17</v>
      </c>
    </row>
    <row r="5399" spans="1:5" x14ac:dyDescent="0.2">
      <c r="B5399" t="s">
        <v>12439</v>
      </c>
      <c r="C5399" t="s">
        <v>12440</v>
      </c>
      <c r="D5399">
        <v>0</v>
      </c>
      <c r="E5399">
        <v>0</v>
      </c>
    </row>
    <row r="5400" spans="1:5" x14ac:dyDescent="0.2">
      <c r="B5400" t="s">
        <v>14072</v>
      </c>
      <c r="C5400" t="s">
        <v>14073</v>
      </c>
      <c r="D5400">
        <v>366.9</v>
      </c>
      <c r="E5400">
        <v>220.14</v>
      </c>
    </row>
    <row r="5401" spans="1:5" x14ac:dyDescent="0.2">
      <c r="B5401" t="s">
        <v>12441</v>
      </c>
      <c r="C5401" t="s">
        <v>4840</v>
      </c>
      <c r="D5401">
        <v>0</v>
      </c>
      <c r="E5401">
        <v>0</v>
      </c>
    </row>
    <row r="5402" spans="1:5" x14ac:dyDescent="0.2">
      <c r="B5402" t="s">
        <v>12442</v>
      </c>
      <c r="C5402" t="s">
        <v>4840</v>
      </c>
      <c r="D5402">
        <v>0</v>
      </c>
      <c r="E5402">
        <v>0</v>
      </c>
    </row>
    <row r="5403" spans="1:5" x14ac:dyDescent="0.2">
      <c r="B5403" t="s">
        <v>12443</v>
      </c>
      <c r="C5403" t="s">
        <v>4840</v>
      </c>
      <c r="D5403">
        <v>0</v>
      </c>
      <c r="E5403">
        <v>0</v>
      </c>
    </row>
    <row r="5404" spans="1:5" x14ac:dyDescent="0.2">
      <c r="B5404" t="s">
        <v>12444</v>
      </c>
      <c r="C5404" t="s">
        <v>4840</v>
      </c>
      <c r="D5404">
        <v>0</v>
      </c>
      <c r="E5404">
        <v>0</v>
      </c>
    </row>
    <row r="5405" spans="1:5" x14ac:dyDescent="0.2">
      <c r="B5405" t="s">
        <v>12445</v>
      </c>
      <c r="C5405" t="s">
        <v>4840</v>
      </c>
      <c r="D5405">
        <v>0</v>
      </c>
      <c r="E5405">
        <v>0</v>
      </c>
    </row>
    <row r="5406" spans="1:5" x14ac:dyDescent="0.2">
      <c r="B5406" t="s">
        <v>14074</v>
      </c>
      <c r="C5406" t="s">
        <v>6344</v>
      </c>
      <c r="D5406">
        <v>0</v>
      </c>
      <c r="E5406">
        <v>0</v>
      </c>
    </row>
    <row r="5407" spans="1:5" x14ac:dyDescent="0.2">
      <c r="B5407" t="s">
        <v>12446</v>
      </c>
      <c r="C5407" t="s">
        <v>12447</v>
      </c>
      <c r="D5407">
        <v>0</v>
      </c>
      <c r="E5407">
        <v>0</v>
      </c>
    </row>
    <row r="5408" spans="1:5" x14ac:dyDescent="0.2">
      <c r="B5408" t="s">
        <v>12448</v>
      </c>
      <c r="C5408" t="s">
        <v>4837</v>
      </c>
      <c r="D5408">
        <v>0</v>
      </c>
      <c r="E5408">
        <v>0</v>
      </c>
    </row>
    <row r="5409" spans="2:5" x14ac:dyDescent="0.2">
      <c r="B5409" t="s">
        <v>12449</v>
      </c>
      <c r="C5409" t="s">
        <v>12449</v>
      </c>
      <c r="D5409">
        <v>0</v>
      </c>
      <c r="E5409">
        <v>0</v>
      </c>
    </row>
    <row r="5410" spans="2:5" x14ac:dyDescent="0.2">
      <c r="B5410" t="s">
        <v>12450</v>
      </c>
      <c r="C5410" t="s">
        <v>12451</v>
      </c>
      <c r="D5410">
        <v>0</v>
      </c>
      <c r="E5410">
        <v>0</v>
      </c>
    </row>
    <row r="5411" spans="2:5" x14ac:dyDescent="0.2">
      <c r="B5411" t="s">
        <v>12452</v>
      </c>
      <c r="C5411" t="s">
        <v>12453</v>
      </c>
      <c r="D5411">
        <v>0</v>
      </c>
      <c r="E5411">
        <v>0</v>
      </c>
    </row>
    <row r="5412" spans="2:5" x14ac:dyDescent="0.2">
      <c r="B5412" t="s">
        <v>12454</v>
      </c>
      <c r="C5412" t="s">
        <v>12455</v>
      </c>
      <c r="D5412">
        <v>0</v>
      </c>
      <c r="E5412">
        <v>0</v>
      </c>
    </row>
    <row r="5413" spans="2:5" x14ac:dyDescent="0.2">
      <c r="B5413" t="s">
        <v>11012</v>
      </c>
      <c r="C5413" t="s">
        <v>4840</v>
      </c>
      <c r="D5413">
        <v>0</v>
      </c>
      <c r="E5413">
        <v>0</v>
      </c>
    </row>
    <row r="5414" spans="2:5" x14ac:dyDescent="0.2">
      <c r="B5414" t="s">
        <v>12456</v>
      </c>
      <c r="C5414" t="s">
        <v>4840</v>
      </c>
      <c r="D5414">
        <v>0</v>
      </c>
      <c r="E5414">
        <v>0</v>
      </c>
    </row>
    <row r="5415" spans="2:5" x14ac:dyDescent="0.2">
      <c r="B5415" t="s">
        <v>12457</v>
      </c>
      <c r="C5415" t="s">
        <v>4840</v>
      </c>
      <c r="D5415">
        <v>0</v>
      </c>
      <c r="E5415">
        <v>0</v>
      </c>
    </row>
    <row r="5416" spans="2:5" x14ac:dyDescent="0.2">
      <c r="B5416" t="s">
        <v>12458</v>
      </c>
      <c r="C5416" t="s">
        <v>12459</v>
      </c>
      <c r="D5416">
        <v>0</v>
      </c>
      <c r="E5416">
        <v>0</v>
      </c>
    </row>
    <row r="5417" spans="2:5" x14ac:dyDescent="0.2">
      <c r="B5417" t="s">
        <v>12460</v>
      </c>
      <c r="C5417" t="s">
        <v>4840</v>
      </c>
      <c r="D5417">
        <v>0</v>
      </c>
      <c r="E5417">
        <v>0</v>
      </c>
    </row>
    <row r="5418" spans="2:5" x14ac:dyDescent="0.2">
      <c r="B5418" t="s">
        <v>12461</v>
      </c>
      <c r="C5418" t="s">
        <v>12462</v>
      </c>
      <c r="D5418">
        <v>0</v>
      </c>
      <c r="E5418">
        <v>0</v>
      </c>
    </row>
    <row r="5419" spans="2:5" x14ac:dyDescent="0.2">
      <c r="B5419" t="s">
        <v>12463</v>
      </c>
      <c r="C5419" t="s">
        <v>12464</v>
      </c>
      <c r="D5419">
        <v>0</v>
      </c>
      <c r="E5419">
        <v>0</v>
      </c>
    </row>
    <row r="5420" spans="2:5" x14ac:dyDescent="0.2">
      <c r="B5420" t="s">
        <v>12465</v>
      </c>
      <c r="C5420" t="s">
        <v>12466</v>
      </c>
      <c r="D5420">
        <v>0</v>
      </c>
      <c r="E5420">
        <v>0</v>
      </c>
    </row>
    <row r="5421" spans="2:5" x14ac:dyDescent="0.2">
      <c r="B5421" t="s">
        <v>12467</v>
      </c>
      <c r="C5421" t="s">
        <v>12468</v>
      </c>
      <c r="D5421">
        <v>0</v>
      </c>
      <c r="E5421">
        <v>0</v>
      </c>
    </row>
    <row r="5422" spans="2:5" x14ac:dyDescent="0.2">
      <c r="B5422" t="s">
        <v>12469</v>
      </c>
      <c r="C5422" t="s">
        <v>12470</v>
      </c>
      <c r="D5422">
        <v>0</v>
      </c>
      <c r="E5422">
        <v>0</v>
      </c>
    </row>
    <row r="5423" spans="2:5" x14ac:dyDescent="0.2">
      <c r="B5423" t="s">
        <v>12471</v>
      </c>
      <c r="C5423" t="s">
        <v>12472</v>
      </c>
      <c r="D5423">
        <v>0</v>
      </c>
      <c r="E5423">
        <v>0</v>
      </c>
    </row>
    <row r="5424" spans="2:5" x14ac:dyDescent="0.2">
      <c r="B5424" t="s">
        <v>12473</v>
      </c>
      <c r="C5424" t="s">
        <v>12474</v>
      </c>
      <c r="D5424">
        <v>0</v>
      </c>
      <c r="E5424">
        <v>0</v>
      </c>
    </row>
    <row r="5425" spans="2:5" x14ac:dyDescent="0.2">
      <c r="B5425" t="s">
        <v>12475</v>
      </c>
      <c r="C5425" t="s">
        <v>12476</v>
      </c>
      <c r="D5425">
        <v>0</v>
      </c>
      <c r="E5425">
        <v>0</v>
      </c>
    </row>
    <row r="5426" spans="2:5" x14ac:dyDescent="0.2">
      <c r="B5426" t="s">
        <v>12477</v>
      </c>
      <c r="C5426" t="s">
        <v>12478</v>
      </c>
      <c r="D5426">
        <v>0</v>
      </c>
      <c r="E5426">
        <v>0</v>
      </c>
    </row>
    <row r="5427" spans="2:5" x14ac:dyDescent="0.2">
      <c r="B5427" t="s">
        <v>12479</v>
      </c>
      <c r="C5427" t="s">
        <v>12480</v>
      </c>
      <c r="D5427">
        <v>0</v>
      </c>
      <c r="E5427">
        <v>0</v>
      </c>
    </row>
    <row r="5428" spans="2:5" x14ac:dyDescent="0.2">
      <c r="B5428" t="s">
        <v>12481</v>
      </c>
      <c r="C5428" t="s">
        <v>12482</v>
      </c>
      <c r="D5428">
        <v>0</v>
      </c>
      <c r="E5428">
        <v>0</v>
      </c>
    </row>
    <row r="5429" spans="2:5" x14ac:dyDescent="0.2">
      <c r="B5429" t="s">
        <v>12483</v>
      </c>
      <c r="C5429" t="s">
        <v>4940</v>
      </c>
      <c r="D5429">
        <v>0</v>
      </c>
      <c r="E5429">
        <v>0</v>
      </c>
    </row>
    <row r="5430" spans="2:5" x14ac:dyDescent="0.2">
      <c r="B5430" t="s">
        <v>12484</v>
      </c>
      <c r="C5430" t="s">
        <v>4940</v>
      </c>
      <c r="D5430">
        <v>0</v>
      </c>
      <c r="E5430">
        <v>0</v>
      </c>
    </row>
    <row r="5431" spans="2:5" x14ac:dyDescent="0.2">
      <c r="B5431" t="s">
        <v>12485</v>
      </c>
      <c r="C5431" t="s">
        <v>4940</v>
      </c>
      <c r="D5431">
        <v>0</v>
      </c>
      <c r="E5431">
        <v>0</v>
      </c>
    </row>
    <row r="5432" spans="2:5" x14ac:dyDescent="0.2">
      <c r="B5432" t="s">
        <v>14075</v>
      </c>
      <c r="C5432" t="s">
        <v>14076</v>
      </c>
      <c r="D5432">
        <v>637.46</v>
      </c>
      <c r="E5432">
        <v>382.48</v>
      </c>
    </row>
    <row r="5433" spans="2:5" x14ac:dyDescent="0.2">
      <c r="B5433" t="s">
        <v>14077</v>
      </c>
      <c r="C5433" t="s">
        <v>14078</v>
      </c>
      <c r="D5433">
        <v>703.87</v>
      </c>
      <c r="E5433">
        <v>422.32</v>
      </c>
    </row>
    <row r="5434" spans="2:5" x14ac:dyDescent="0.2">
      <c r="B5434" t="s">
        <v>14079</v>
      </c>
      <c r="C5434" t="s">
        <v>14078</v>
      </c>
      <c r="D5434">
        <v>743.71</v>
      </c>
      <c r="E5434">
        <v>446.23</v>
      </c>
    </row>
    <row r="5435" spans="2:5" x14ac:dyDescent="0.2">
      <c r="B5435" t="s">
        <v>12486</v>
      </c>
      <c r="C5435" t="s">
        <v>12487</v>
      </c>
      <c r="D5435">
        <v>0</v>
      </c>
      <c r="E5435">
        <v>0</v>
      </c>
    </row>
    <row r="5436" spans="2:5" x14ac:dyDescent="0.2">
      <c r="B5436" t="s">
        <v>12488</v>
      </c>
      <c r="C5436" t="s">
        <v>12489</v>
      </c>
      <c r="D5436">
        <v>0</v>
      </c>
      <c r="E5436">
        <v>0</v>
      </c>
    </row>
    <row r="5437" spans="2:5" x14ac:dyDescent="0.2">
      <c r="B5437" t="s">
        <v>12490</v>
      </c>
      <c r="C5437" t="s">
        <v>12489</v>
      </c>
      <c r="D5437">
        <v>0</v>
      </c>
      <c r="E5437">
        <v>0</v>
      </c>
    </row>
    <row r="5438" spans="2:5" x14ac:dyDescent="0.2">
      <c r="B5438" t="s">
        <v>12491</v>
      </c>
      <c r="C5438" t="s">
        <v>12492</v>
      </c>
      <c r="D5438">
        <v>0</v>
      </c>
      <c r="E5438">
        <v>0</v>
      </c>
    </row>
    <row r="5439" spans="2:5" x14ac:dyDescent="0.2">
      <c r="B5439" t="s">
        <v>12493</v>
      </c>
      <c r="C5439" t="s">
        <v>4940</v>
      </c>
      <c r="D5439">
        <v>0</v>
      </c>
      <c r="E5439">
        <v>0</v>
      </c>
    </row>
    <row r="5440" spans="2:5" x14ac:dyDescent="0.2">
      <c r="B5440" t="s">
        <v>12494</v>
      </c>
      <c r="C5440" t="s">
        <v>4940</v>
      </c>
      <c r="D5440">
        <v>0</v>
      </c>
      <c r="E5440">
        <v>0</v>
      </c>
    </row>
    <row r="5441" spans="2:5" x14ac:dyDescent="0.2">
      <c r="B5441" t="s">
        <v>12495</v>
      </c>
      <c r="C5441" t="s">
        <v>12496</v>
      </c>
      <c r="D5441">
        <v>0</v>
      </c>
      <c r="E5441">
        <v>0</v>
      </c>
    </row>
    <row r="5442" spans="2:5" x14ac:dyDescent="0.2">
      <c r="B5442" t="s">
        <v>12497</v>
      </c>
      <c r="C5442" t="s">
        <v>12498</v>
      </c>
      <c r="D5442">
        <v>0</v>
      </c>
      <c r="E5442">
        <v>0</v>
      </c>
    </row>
    <row r="5443" spans="2:5" x14ac:dyDescent="0.2">
      <c r="B5443" t="s">
        <v>12499</v>
      </c>
      <c r="C5443" t="s">
        <v>12500</v>
      </c>
      <c r="D5443">
        <v>0</v>
      </c>
      <c r="E5443">
        <v>0</v>
      </c>
    </row>
    <row r="5444" spans="2:5" x14ac:dyDescent="0.2">
      <c r="B5444" t="s">
        <v>12501</v>
      </c>
      <c r="C5444" t="s">
        <v>12502</v>
      </c>
      <c r="D5444">
        <v>0</v>
      </c>
      <c r="E5444">
        <v>0</v>
      </c>
    </row>
    <row r="5445" spans="2:5" x14ac:dyDescent="0.2">
      <c r="B5445" t="s">
        <v>12502</v>
      </c>
      <c r="C5445" t="s">
        <v>4840</v>
      </c>
      <c r="D5445">
        <v>0</v>
      </c>
      <c r="E5445">
        <v>0</v>
      </c>
    </row>
    <row r="5446" spans="2:5" x14ac:dyDescent="0.2">
      <c r="B5446" t="s">
        <v>12503</v>
      </c>
      <c r="C5446" t="s">
        <v>12504</v>
      </c>
      <c r="D5446">
        <v>0</v>
      </c>
      <c r="E5446">
        <v>0</v>
      </c>
    </row>
    <row r="5447" spans="2:5" x14ac:dyDescent="0.2">
      <c r="B5447" t="s">
        <v>14080</v>
      </c>
      <c r="C5447" t="s">
        <v>14081</v>
      </c>
      <c r="D5447">
        <v>398.42</v>
      </c>
      <c r="E5447">
        <v>239.05</v>
      </c>
    </row>
    <row r="5448" spans="2:5" x14ac:dyDescent="0.2">
      <c r="B5448" t="s">
        <v>12328</v>
      </c>
      <c r="C5448" t="s">
        <v>4840</v>
      </c>
      <c r="D5448">
        <v>0</v>
      </c>
      <c r="E5448">
        <v>0</v>
      </c>
    </row>
    <row r="5449" spans="2:5" x14ac:dyDescent="0.2">
      <c r="B5449" t="s">
        <v>12505</v>
      </c>
      <c r="C5449" t="s">
        <v>12506</v>
      </c>
      <c r="D5449">
        <v>0</v>
      </c>
      <c r="E5449">
        <v>0</v>
      </c>
    </row>
    <row r="5450" spans="2:5" x14ac:dyDescent="0.2">
      <c r="B5450" t="s">
        <v>12507</v>
      </c>
      <c r="C5450" t="s">
        <v>12369</v>
      </c>
      <c r="D5450">
        <v>0</v>
      </c>
      <c r="E5450">
        <v>0</v>
      </c>
    </row>
    <row r="5451" spans="2:5" x14ac:dyDescent="0.2">
      <c r="B5451" t="s">
        <v>12508</v>
      </c>
      <c r="C5451" t="s">
        <v>12509</v>
      </c>
      <c r="D5451">
        <v>0</v>
      </c>
      <c r="E5451">
        <v>0</v>
      </c>
    </row>
    <row r="5452" spans="2:5" x14ac:dyDescent="0.2">
      <c r="B5452" t="s">
        <v>12510</v>
      </c>
      <c r="C5452" t="s">
        <v>12511</v>
      </c>
      <c r="D5452">
        <v>0</v>
      </c>
      <c r="E5452">
        <v>0</v>
      </c>
    </row>
    <row r="5453" spans="2:5" x14ac:dyDescent="0.2">
      <c r="B5453" t="s">
        <v>12512</v>
      </c>
      <c r="C5453" t="s">
        <v>12513</v>
      </c>
      <c r="D5453">
        <v>0</v>
      </c>
      <c r="E5453">
        <v>0</v>
      </c>
    </row>
    <row r="5454" spans="2:5" x14ac:dyDescent="0.2">
      <c r="B5454" t="s">
        <v>14082</v>
      </c>
      <c r="C5454" t="s">
        <v>14083</v>
      </c>
      <c r="D5454">
        <v>160.69</v>
      </c>
      <c r="E5454">
        <v>96.41</v>
      </c>
    </row>
    <row r="5455" spans="2:5" x14ac:dyDescent="0.2">
      <c r="B5455" t="s">
        <v>12384</v>
      </c>
      <c r="C5455" t="s">
        <v>4840</v>
      </c>
      <c r="D5455">
        <v>0</v>
      </c>
      <c r="E5455">
        <v>0</v>
      </c>
    </row>
    <row r="5456" spans="2:5" x14ac:dyDescent="0.2">
      <c r="B5456" t="s">
        <v>12514</v>
      </c>
      <c r="C5456" t="s">
        <v>12515</v>
      </c>
      <c r="D5456">
        <v>0</v>
      </c>
      <c r="E5456">
        <v>0</v>
      </c>
    </row>
    <row r="5457" spans="2:5" x14ac:dyDescent="0.2">
      <c r="B5457" t="s">
        <v>12516</v>
      </c>
      <c r="C5457" t="s">
        <v>12517</v>
      </c>
      <c r="D5457">
        <v>0</v>
      </c>
      <c r="E5457">
        <v>0</v>
      </c>
    </row>
    <row r="5458" spans="2:5" x14ac:dyDescent="0.2">
      <c r="B5458" t="s">
        <v>12518</v>
      </c>
      <c r="C5458" t="s">
        <v>12519</v>
      </c>
      <c r="D5458">
        <v>545.9</v>
      </c>
      <c r="E5458">
        <v>327.54000000000002</v>
      </c>
    </row>
    <row r="5459" spans="2:5" x14ac:dyDescent="0.2">
      <c r="B5459" t="s">
        <v>12520</v>
      </c>
      <c r="C5459" t="s">
        <v>12521</v>
      </c>
      <c r="D5459">
        <v>0</v>
      </c>
      <c r="E5459">
        <v>0</v>
      </c>
    </row>
    <row r="5460" spans="2:5" x14ac:dyDescent="0.2">
      <c r="B5460" t="s">
        <v>12522</v>
      </c>
      <c r="C5460" t="s">
        <v>4840</v>
      </c>
      <c r="D5460">
        <v>0</v>
      </c>
      <c r="E5460">
        <v>0</v>
      </c>
    </row>
    <row r="5461" spans="2:5" x14ac:dyDescent="0.2">
      <c r="B5461" t="s">
        <v>12523</v>
      </c>
      <c r="C5461" t="s">
        <v>4840</v>
      </c>
      <c r="D5461">
        <v>0</v>
      </c>
      <c r="E5461">
        <v>0</v>
      </c>
    </row>
    <row r="5462" spans="2:5" x14ac:dyDescent="0.2">
      <c r="B5462" t="s">
        <v>12524</v>
      </c>
      <c r="C5462" t="s">
        <v>12525</v>
      </c>
      <c r="D5462">
        <v>0</v>
      </c>
      <c r="E5462">
        <v>0</v>
      </c>
    </row>
    <row r="5463" spans="2:5" x14ac:dyDescent="0.2">
      <c r="B5463" t="s">
        <v>12526</v>
      </c>
      <c r="C5463" t="s">
        <v>12388</v>
      </c>
      <c r="D5463">
        <v>0</v>
      </c>
      <c r="E5463">
        <v>0</v>
      </c>
    </row>
    <row r="5464" spans="2:5" x14ac:dyDescent="0.2">
      <c r="B5464" t="s">
        <v>12527</v>
      </c>
      <c r="C5464" t="s">
        <v>12527</v>
      </c>
      <c r="D5464">
        <v>0</v>
      </c>
      <c r="E5464">
        <v>0</v>
      </c>
    </row>
    <row r="5465" spans="2:5" x14ac:dyDescent="0.2">
      <c r="B5465" t="s">
        <v>4954</v>
      </c>
      <c r="C5465" t="s">
        <v>12528</v>
      </c>
      <c r="D5465">
        <v>0</v>
      </c>
      <c r="E5465">
        <v>0</v>
      </c>
    </row>
    <row r="5466" spans="2:5" x14ac:dyDescent="0.2">
      <c r="B5466" t="s">
        <v>12529</v>
      </c>
      <c r="C5466" t="s">
        <v>12530</v>
      </c>
      <c r="D5466">
        <v>0</v>
      </c>
      <c r="E5466">
        <v>0</v>
      </c>
    </row>
    <row r="5467" spans="2:5" x14ac:dyDescent="0.2">
      <c r="B5467" t="s">
        <v>12531</v>
      </c>
      <c r="C5467" t="s">
        <v>12532</v>
      </c>
      <c r="D5467">
        <v>0</v>
      </c>
      <c r="E5467">
        <v>0</v>
      </c>
    </row>
    <row r="5468" spans="2:5" x14ac:dyDescent="0.2">
      <c r="B5468" t="s">
        <v>12533</v>
      </c>
      <c r="C5468" t="s">
        <v>12534</v>
      </c>
      <c r="D5468">
        <v>0</v>
      </c>
      <c r="E5468">
        <v>0</v>
      </c>
    </row>
    <row r="5469" spans="2:5" x14ac:dyDescent="0.2">
      <c r="B5469" t="s">
        <v>12535</v>
      </c>
      <c r="C5469" t="s">
        <v>12536</v>
      </c>
      <c r="D5469">
        <v>0</v>
      </c>
      <c r="E5469">
        <v>0</v>
      </c>
    </row>
    <row r="5470" spans="2:5" x14ac:dyDescent="0.2">
      <c r="B5470" t="s">
        <v>12537</v>
      </c>
      <c r="C5470" t="s">
        <v>12538</v>
      </c>
      <c r="D5470">
        <v>0</v>
      </c>
      <c r="E5470">
        <v>0</v>
      </c>
    </row>
    <row r="5471" spans="2:5" x14ac:dyDescent="0.2">
      <c r="B5471" t="s">
        <v>12539</v>
      </c>
      <c r="C5471" t="s">
        <v>12539</v>
      </c>
      <c r="D5471">
        <v>0</v>
      </c>
      <c r="E5471">
        <v>0</v>
      </c>
    </row>
    <row r="5472" spans="2:5" x14ac:dyDescent="0.2">
      <c r="B5472" t="s">
        <v>9285</v>
      </c>
      <c r="C5472" t="s">
        <v>4840</v>
      </c>
      <c r="D5472">
        <v>0</v>
      </c>
      <c r="E5472">
        <v>0</v>
      </c>
    </row>
    <row r="5473" spans="2:5" x14ac:dyDescent="0.2">
      <c r="B5473" t="s">
        <v>12540</v>
      </c>
      <c r="C5473" t="s">
        <v>12541</v>
      </c>
      <c r="D5473">
        <v>0</v>
      </c>
      <c r="E5473">
        <v>0</v>
      </c>
    </row>
    <row r="5474" spans="2:5" x14ac:dyDescent="0.2">
      <c r="B5474" t="s">
        <v>12542</v>
      </c>
      <c r="C5474" t="s">
        <v>12543</v>
      </c>
      <c r="D5474">
        <v>0</v>
      </c>
      <c r="E5474">
        <v>0</v>
      </c>
    </row>
    <row r="5475" spans="2:5" x14ac:dyDescent="0.2">
      <c r="B5475" t="s">
        <v>12544</v>
      </c>
      <c r="C5475" t="s">
        <v>12545</v>
      </c>
      <c r="D5475">
        <v>0</v>
      </c>
      <c r="E5475">
        <v>0</v>
      </c>
    </row>
    <row r="5476" spans="2:5" x14ac:dyDescent="0.2">
      <c r="B5476" t="s">
        <v>12546</v>
      </c>
      <c r="C5476" t="s">
        <v>12547</v>
      </c>
      <c r="D5476">
        <v>0</v>
      </c>
      <c r="E5476">
        <v>0</v>
      </c>
    </row>
    <row r="5477" spans="2:5" x14ac:dyDescent="0.2">
      <c r="B5477" t="s">
        <v>12548</v>
      </c>
      <c r="C5477" t="s">
        <v>12549</v>
      </c>
      <c r="D5477">
        <v>0</v>
      </c>
      <c r="E5477">
        <v>0</v>
      </c>
    </row>
    <row r="5478" spans="2:5" x14ac:dyDescent="0.2">
      <c r="B5478" t="s">
        <v>12550</v>
      </c>
      <c r="C5478" t="s">
        <v>4940</v>
      </c>
      <c r="D5478">
        <v>0</v>
      </c>
      <c r="E5478">
        <v>0</v>
      </c>
    </row>
    <row r="5479" spans="2:5" x14ac:dyDescent="0.2">
      <c r="B5479" t="s">
        <v>12551</v>
      </c>
      <c r="C5479" t="s">
        <v>12552</v>
      </c>
      <c r="D5479">
        <v>0</v>
      </c>
      <c r="E5479">
        <v>0</v>
      </c>
    </row>
    <row r="5480" spans="2:5" x14ac:dyDescent="0.2">
      <c r="B5480" t="s">
        <v>12553</v>
      </c>
      <c r="C5480" t="s">
        <v>4954</v>
      </c>
      <c r="D5480">
        <v>0</v>
      </c>
      <c r="E5480">
        <v>0</v>
      </c>
    </row>
    <row r="5481" spans="2:5" x14ac:dyDescent="0.2">
      <c r="B5481" t="s">
        <v>12554</v>
      </c>
      <c r="C5481" t="s">
        <v>12555</v>
      </c>
      <c r="D5481">
        <v>0</v>
      </c>
      <c r="E5481">
        <v>0</v>
      </c>
    </row>
    <row r="5482" spans="2:5" x14ac:dyDescent="0.2">
      <c r="B5482" t="s">
        <v>12556</v>
      </c>
      <c r="C5482" t="s">
        <v>12557</v>
      </c>
      <c r="D5482">
        <v>0</v>
      </c>
      <c r="E5482">
        <v>0</v>
      </c>
    </row>
    <row r="5483" spans="2:5" x14ac:dyDescent="0.2">
      <c r="B5483" t="s">
        <v>12558</v>
      </c>
      <c r="C5483" t="s">
        <v>12559</v>
      </c>
      <c r="D5483">
        <v>0</v>
      </c>
      <c r="E5483">
        <v>0</v>
      </c>
    </row>
    <row r="5484" spans="2:5" x14ac:dyDescent="0.2">
      <c r="B5484" t="s">
        <v>12560</v>
      </c>
      <c r="C5484" t="s">
        <v>12561</v>
      </c>
      <c r="D5484">
        <v>0</v>
      </c>
      <c r="E5484">
        <v>0</v>
      </c>
    </row>
    <row r="5485" spans="2:5" x14ac:dyDescent="0.2">
      <c r="B5485" t="s">
        <v>12562</v>
      </c>
      <c r="C5485" t="s">
        <v>12563</v>
      </c>
      <c r="D5485">
        <v>0</v>
      </c>
      <c r="E5485">
        <v>0</v>
      </c>
    </row>
    <row r="5486" spans="2:5" x14ac:dyDescent="0.2">
      <c r="B5486" t="s">
        <v>12284</v>
      </c>
      <c r="C5486" t="s">
        <v>12564</v>
      </c>
      <c r="D5486">
        <v>0</v>
      </c>
      <c r="E5486">
        <v>0</v>
      </c>
    </row>
    <row r="5487" spans="2:5" x14ac:dyDescent="0.2">
      <c r="B5487" t="s">
        <v>12565</v>
      </c>
      <c r="C5487" t="s">
        <v>4840</v>
      </c>
      <c r="D5487">
        <v>0</v>
      </c>
      <c r="E5487">
        <v>0</v>
      </c>
    </row>
    <row r="5488" spans="2:5" x14ac:dyDescent="0.2">
      <c r="B5488" t="s">
        <v>12566</v>
      </c>
      <c r="C5488" t="s">
        <v>12567</v>
      </c>
      <c r="D5488">
        <v>0</v>
      </c>
      <c r="E5488">
        <v>0</v>
      </c>
    </row>
    <row r="5489" spans="2:5" x14ac:dyDescent="0.2">
      <c r="B5489" t="s">
        <v>12568</v>
      </c>
      <c r="C5489" t="s">
        <v>12569</v>
      </c>
      <c r="D5489">
        <v>0</v>
      </c>
      <c r="E5489">
        <v>0</v>
      </c>
    </row>
    <row r="5490" spans="2:5" x14ac:dyDescent="0.2">
      <c r="B5490" t="s">
        <v>6301</v>
      </c>
      <c r="C5490" t="s">
        <v>6301</v>
      </c>
      <c r="D5490">
        <v>0</v>
      </c>
      <c r="E5490">
        <v>0</v>
      </c>
    </row>
    <row r="5491" spans="2:5" x14ac:dyDescent="0.2">
      <c r="B5491" t="s">
        <v>12570</v>
      </c>
      <c r="C5491" t="s">
        <v>12571</v>
      </c>
      <c r="D5491">
        <v>0</v>
      </c>
      <c r="E5491">
        <v>0</v>
      </c>
    </row>
    <row r="5492" spans="2:5" x14ac:dyDescent="0.2">
      <c r="B5492" t="s">
        <v>12572</v>
      </c>
      <c r="C5492" t="s">
        <v>12573</v>
      </c>
      <c r="D5492">
        <v>0</v>
      </c>
      <c r="E5492">
        <v>0</v>
      </c>
    </row>
    <row r="5493" spans="2:5" x14ac:dyDescent="0.2">
      <c r="B5493" t="s">
        <v>12574</v>
      </c>
      <c r="C5493" t="s">
        <v>12575</v>
      </c>
      <c r="D5493">
        <v>0</v>
      </c>
      <c r="E5493">
        <v>0</v>
      </c>
    </row>
    <row r="5494" spans="2:5" x14ac:dyDescent="0.2">
      <c r="B5494" t="s">
        <v>12576</v>
      </c>
      <c r="C5494" t="s">
        <v>12576</v>
      </c>
      <c r="D5494">
        <v>0</v>
      </c>
      <c r="E5494">
        <v>0</v>
      </c>
    </row>
    <row r="5495" spans="2:5" x14ac:dyDescent="0.2">
      <c r="B5495" t="s">
        <v>14084</v>
      </c>
      <c r="C5495" t="s">
        <v>14084</v>
      </c>
      <c r="D5495">
        <v>0</v>
      </c>
      <c r="E5495">
        <v>0</v>
      </c>
    </row>
    <row r="5496" spans="2:5" x14ac:dyDescent="0.2">
      <c r="B5496" t="s">
        <v>12577</v>
      </c>
      <c r="C5496" t="s">
        <v>12578</v>
      </c>
      <c r="D5496">
        <v>0</v>
      </c>
      <c r="E5496">
        <v>0</v>
      </c>
    </row>
    <row r="5497" spans="2:5" x14ac:dyDescent="0.2">
      <c r="B5497" t="s">
        <v>12579</v>
      </c>
      <c r="C5497" t="s">
        <v>4840</v>
      </c>
      <c r="D5497">
        <v>0</v>
      </c>
      <c r="E5497">
        <v>0</v>
      </c>
    </row>
    <row r="5498" spans="2:5" x14ac:dyDescent="0.2">
      <c r="B5498" t="s">
        <v>12580</v>
      </c>
      <c r="C5498" t="s">
        <v>12581</v>
      </c>
      <c r="D5498">
        <v>0</v>
      </c>
      <c r="E5498">
        <v>0</v>
      </c>
    </row>
    <row r="5499" spans="2:5" x14ac:dyDescent="0.2">
      <c r="B5499" t="s">
        <v>12582</v>
      </c>
      <c r="C5499" t="s">
        <v>4840</v>
      </c>
      <c r="D5499">
        <v>0</v>
      </c>
      <c r="E5499">
        <v>0</v>
      </c>
    </row>
    <row r="5500" spans="2:5" x14ac:dyDescent="0.2">
      <c r="B5500" t="s">
        <v>12583</v>
      </c>
      <c r="C5500" t="s">
        <v>4840</v>
      </c>
      <c r="D5500">
        <v>0</v>
      </c>
      <c r="E5500">
        <v>0</v>
      </c>
    </row>
    <row r="5501" spans="2:5" x14ac:dyDescent="0.2">
      <c r="B5501" t="s">
        <v>12584</v>
      </c>
      <c r="C5501" t="s">
        <v>4840</v>
      </c>
      <c r="D5501">
        <v>0</v>
      </c>
      <c r="E5501">
        <v>0</v>
      </c>
    </row>
    <row r="5502" spans="2:5" x14ac:dyDescent="0.2">
      <c r="B5502" t="s">
        <v>12585</v>
      </c>
      <c r="C5502" t="s">
        <v>4840</v>
      </c>
      <c r="D5502">
        <v>0</v>
      </c>
      <c r="E5502">
        <v>0</v>
      </c>
    </row>
    <row r="5503" spans="2:5" x14ac:dyDescent="0.2">
      <c r="B5503" t="s">
        <v>12586</v>
      </c>
      <c r="C5503" t="s">
        <v>12587</v>
      </c>
      <c r="D5503">
        <v>0</v>
      </c>
      <c r="E5503">
        <v>0</v>
      </c>
    </row>
    <row r="5504" spans="2:5" x14ac:dyDescent="0.2">
      <c r="B5504" t="s">
        <v>12588</v>
      </c>
      <c r="C5504" t="s">
        <v>12589</v>
      </c>
      <c r="D5504">
        <v>0</v>
      </c>
      <c r="E5504">
        <v>0</v>
      </c>
    </row>
    <row r="5505" spans="2:5" x14ac:dyDescent="0.2">
      <c r="B5505" t="s">
        <v>12590</v>
      </c>
      <c r="C5505" t="s">
        <v>12591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2022-05-11T13:41:36Z</cp:lastPrinted>
  <dcterms:created xsi:type="dcterms:W3CDTF">2015-11-18T15:54:23Z</dcterms:created>
  <dcterms:modified xsi:type="dcterms:W3CDTF">2022-05-11T13:43:09Z</dcterms:modified>
</cp:coreProperties>
</file>